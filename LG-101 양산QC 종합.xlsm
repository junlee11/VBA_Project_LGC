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31.58.50\공유폴더\01. LOT Data\"/>
    </mc:Choice>
  </mc:AlternateContent>
  <bookViews>
    <workbookView xWindow="0" yWindow="0" windowWidth="28800" windowHeight="12285" tabRatio="364" firstSheet="1" activeTab="1"/>
  </bookViews>
  <sheets>
    <sheet name="종합" sheetId="17" state="hidden" r:id="rId1"/>
    <sheet name="101소자평가Data" sheetId="4" r:id="rId2"/>
    <sheet name="101소자평가Data (2)" sheetId="18" state="hidden" r:id="rId3"/>
    <sheet name="Raw Data(101)" sheetId="5" r:id="rId4"/>
    <sheet name="Raw Data(102)" sheetId="19" state="hidden" r:id="rId5"/>
    <sheet name="진단정리" sheetId="22" state="hidden" r:id="rId6"/>
    <sheet name="SPC 관리" sheetId="23" r:id="rId7"/>
    <sheet name="Setting" sheetId="25" r:id="rId8"/>
  </sheets>
  <definedNames>
    <definedName name="_Order1" hidden="1">255</definedName>
    <definedName name="_Order2" hidden="1">255</definedName>
    <definedName name="fdfsd" localSheetId="7" hidden="1">{#N/A,#N/A,FALSE,"96자동차사 계획";#N/A,#N/A,FALSE,"96자동차사 계획"}</definedName>
    <definedName name="fdfsd" hidden="1">{#N/A,#N/A,FALSE,"96자동차사 계획";#N/A,#N/A,FALSE,"96자동차사 계획"}</definedName>
    <definedName name="fdsfdsfds" localSheetId="7" hidden="1">{#N/A,#N/A,FALSE,"96자동차사 계획";#N/A,#N/A,FALSE,"96자동차사 계획"}</definedName>
    <definedName name="fdsfdsfds" hidden="1">{#N/A,#N/A,FALSE,"96자동차사 계획";#N/A,#N/A,FALSE,"96자동차사 계획"}</definedName>
    <definedName name="fsdfsdfdsfdsfds" localSheetId="7" hidden="1">{#N/A,#N/A,FALSE,"96자동차사 계획";#N/A,#N/A,FALSE,"96자동차사 계획"}</definedName>
    <definedName name="fsdfsdfdsfdsfds" hidden="1">{#N/A,#N/A,FALSE,"96자동차사 계획";#N/A,#N/A,FALSE,"96자동차사 계획"}</definedName>
    <definedName name="HTML1_1" hidden="1">"'[106_process.xls]Acylation'!$B$5:$D$7"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"106_process"</definedName>
    <definedName name="HTML1_4" hidden="1">"Acylation"</definedName>
    <definedName name="HTML1_5" hidden="1">""</definedName>
    <definedName name="HTML1_6" hidden="1">-4146</definedName>
    <definedName name="HTML1_7" hidden="1">-4146</definedName>
    <definedName name="HTML1_8" hidden="1">"96-02-22"</definedName>
    <definedName name="HTML1_9" hidden="1">"허태호"</definedName>
    <definedName name="HTML2_1" hidden="1">"'[106_process.xls]Acylation'!$A$1:$H$46"</definedName>
    <definedName name="HTML2_10" hidden="1">""</definedName>
    <definedName name="HTML2_11" hidden="1">1</definedName>
    <definedName name="HTML2_12" hidden="1">"C:\My Documents\MyHTML.htm"</definedName>
    <definedName name="HTML2_2" hidden="1">1</definedName>
    <definedName name="HTML2_3" hidden="1">"106_process"</definedName>
    <definedName name="HTML2_4" hidden="1">"Acylation"</definedName>
    <definedName name="HTML2_5" hidden="1">""</definedName>
    <definedName name="HTML2_6" hidden="1">-4146</definedName>
    <definedName name="HTML2_7" hidden="1">-4146</definedName>
    <definedName name="HTML2_8" hidden="1">"96-02-22"</definedName>
    <definedName name="HTML2_9" hidden="1">"허태호"</definedName>
    <definedName name="HTML3_1" hidden="1">"'[106_process.xls]Acylation'!$B$1:$H$46"</definedName>
    <definedName name="HTML3_10" hidden="1">""</definedName>
    <definedName name="HTML3_11" hidden="1">1</definedName>
    <definedName name="HTML3_12" hidden="1">"C:\My Documents\MyHTML.htm"</definedName>
    <definedName name="HTML3_2" hidden="1">1</definedName>
    <definedName name="HTML3_3" hidden="1">"106_process"</definedName>
    <definedName name="HTML3_4" hidden="1">"Acylation"</definedName>
    <definedName name="HTML3_5" hidden="1">""</definedName>
    <definedName name="HTML3_6" hidden="1">1</definedName>
    <definedName name="HTML3_7" hidden="1">1</definedName>
    <definedName name="HTML3_8" hidden="1">"96-02-22"</definedName>
    <definedName name="HTML3_9" hidden="1">"허태호"</definedName>
    <definedName name="HTMLCount" hidden="1">3</definedName>
    <definedName name="Setting" localSheetId="7" hidden="1">{#N/A,#N/A,FALSE,"96자동차사 계획";#N/A,#N/A,FALSE,"96자동차사 계획"}</definedName>
    <definedName name="Setting" hidden="1">{#N/A,#N/A,FALSE,"96자동차사 계획";#N/A,#N/A,FALSE,"96자동차사 계획"}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rn.96사업계획." localSheetId="7" hidden="1">{#N/A,#N/A,FALSE,"96자동차사 계획";#N/A,#N/A,FALSE,"96자동차사 계획"}</definedName>
    <definedName name="wrn.96사업계획." hidden="1">{#N/A,#N/A,FALSE,"96자동차사 계획";#N/A,#N/A,FALSE,"96자동차사 계획"}</definedName>
  </definedNames>
  <calcPr calcId="162913"/>
</workbook>
</file>

<file path=xl/calcChain.xml><?xml version="1.0" encoding="utf-8"?>
<calcChain xmlns="http://schemas.openxmlformats.org/spreadsheetml/2006/main">
  <c r="AC151" i="4" l="1"/>
  <c r="AB151" i="4"/>
  <c r="AA151" i="4"/>
  <c r="Z151" i="4"/>
  <c r="Y151" i="4"/>
  <c r="X151" i="4"/>
  <c r="W151" i="4"/>
  <c r="V151" i="4"/>
  <c r="U151" i="4"/>
  <c r="T151" i="4"/>
  <c r="S151" i="4"/>
  <c r="M2678" i="5"/>
  <c r="M2677" i="5"/>
  <c r="M2676" i="5"/>
  <c r="M2675" i="5"/>
  <c r="M2674" i="5"/>
  <c r="M2673" i="5"/>
  <c r="L2673" i="5"/>
  <c r="D2672" i="5"/>
  <c r="K2672" i="5" s="1"/>
  <c r="K2678" i="5" s="1"/>
  <c r="I2671" i="5"/>
  <c r="H2671" i="5"/>
  <c r="G2671" i="5"/>
  <c r="F2671" i="5"/>
  <c r="E2671" i="5"/>
  <c r="D2671" i="5"/>
  <c r="L2671" i="5" s="1"/>
  <c r="L2677" i="5" s="1"/>
  <c r="K2670" i="5"/>
  <c r="K2676" i="5" s="1"/>
  <c r="J2670" i="5"/>
  <c r="I2670" i="5"/>
  <c r="H2670" i="5"/>
  <c r="G2670" i="5"/>
  <c r="D2670" i="5"/>
  <c r="F2670" i="5" s="1"/>
  <c r="C2670" i="5"/>
  <c r="D2669" i="5"/>
  <c r="I2669" i="5" s="1"/>
  <c r="D2668" i="5"/>
  <c r="K2668" i="5" s="1"/>
  <c r="K2674" i="5" s="1"/>
  <c r="K2666" i="5"/>
  <c r="J2666" i="5"/>
  <c r="I2666" i="5"/>
  <c r="H2666" i="5"/>
  <c r="G2666" i="5"/>
  <c r="F2666" i="5"/>
  <c r="E2666" i="5"/>
  <c r="K2664" i="5"/>
  <c r="J2664" i="5"/>
  <c r="I2664" i="5"/>
  <c r="H2664" i="5"/>
  <c r="G2664" i="5"/>
  <c r="F2664" i="5"/>
  <c r="E2664" i="5"/>
  <c r="K2663" i="5"/>
  <c r="J2663" i="5"/>
  <c r="I2663" i="5"/>
  <c r="H2663" i="5"/>
  <c r="G2663" i="5"/>
  <c r="F2663" i="5"/>
  <c r="E2663" i="5"/>
  <c r="E2665" i="5" s="1"/>
  <c r="K2662" i="5"/>
  <c r="J2662" i="5"/>
  <c r="I2662" i="5"/>
  <c r="H2662" i="5"/>
  <c r="G2662" i="5"/>
  <c r="F2662" i="5"/>
  <c r="E2662" i="5"/>
  <c r="K2661" i="5"/>
  <c r="J2661" i="5"/>
  <c r="I2661" i="5"/>
  <c r="H2661" i="5"/>
  <c r="G2661" i="5"/>
  <c r="F2661" i="5"/>
  <c r="E2661" i="5"/>
  <c r="K2660" i="5"/>
  <c r="J2660" i="5"/>
  <c r="I2660" i="5"/>
  <c r="H2660" i="5"/>
  <c r="G2660" i="5"/>
  <c r="F2660" i="5"/>
  <c r="E2660" i="5"/>
  <c r="K2654" i="5"/>
  <c r="J2654" i="5"/>
  <c r="I2654" i="5"/>
  <c r="H2654" i="5"/>
  <c r="G2654" i="5"/>
  <c r="F2654" i="5"/>
  <c r="E2654" i="5"/>
  <c r="K2648" i="5"/>
  <c r="J2648" i="5"/>
  <c r="I2648" i="5"/>
  <c r="H2648" i="5"/>
  <c r="G2648" i="5"/>
  <c r="F2648" i="5"/>
  <c r="E2648" i="5"/>
  <c r="K2642" i="5"/>
  <c r="J2642" i="5"/>
  <c r="I2642" i="5"/>
  <c r="H2642" i="5"/>
  <c r="G2642" i="5"/>
  <c r="F2642" i="5"/>
  <c r="E2642" i="5"/>
  <c r="K2636" i="5"/>
  <c r="J2636" i="5"/>
  <c r="I2636" i="5"/>
  <c r="H2636" i="5"/>
  <c r="G2636" i="5"/>
  <c r="F2636" i="5"/>
  <c r="E2636" i="5"/>
  <c r="AC149" i="4"/>
  <c r="AB149" i="4"/>
  <c r="AA149" i="4"/>
  <c r="Z149" i="4"/>
  <c r="Y149" i="4"/>
  <c r="X149" i="4"/>
  <c r="W149" i="4"/>
  <c r="V149" i="4"/>
  <c r="U149" i="4"/>
  <c r="T149" i="4"/>
  <c r="S149" i="4"/>
  <c r="M2626" i="5"/>
  <c r="M2625" i="5"/>
  <c r="M2624" i="5"/>
  <c r="M2623" i="5"/>
  <c r="M2622" i="5"/>
  <c r="M2621" i="5"/>
  <c r="L2621" i="5"/>
  <c r="D2620" i="5"/>
  <c r="K2620" i="5" s="1"/>
  <c r="K2626" i="5" s="1"/>
  <c r="I2619" i="5"/>
  <c r="H2619" i="5"/>
  <c r="G2619" i="5"/>
  <c r="F2619" i="5"/>
  <c r="E2619" i="5"/>
  <c r="D2619" i="5"/>
  <c r="L2619" i="5" s="1"/>
  <c r="L2625" i="5" s="1"/>
  <c r="K2618" i="5"/>
  <c r="K2624" i="5" s="1"/>
  <c r="J2618" i="5"/>
  <c r="I2618" i="5"/>
  <c r="H2618" i="5"/>
  <c r="G2618" i="5"/>
  <c r="D2618" i="5"/>
  <c r="F2618" i="5" s="1"/>
  <c r="C2618" i="5"/>
  <c r="D2617" i="5"/>
  <c r="I2617" i="5" s="1"/>
  <c r="D2616" i="5"/>
  <c r="K2616" i="5" s="1"/>
  <c r="K2622" i="5" s="1"/>
  <c r="K2614" i="5"/>
  <c r="J2614" i="5"/>
  <c r="I2614" i="5"/>
  <c r="H2614" i="5"/>
  <c r="G2614" i="5"/>
  <c r="F2614" i="5"/>
  <c r="E2614" i="5"/>
  <c r="K2612" i="5"/>
  <c r="J2612" i="5"/>
  <c r="I2612" i="5"/>
  <c r="H2612" i="5"/>
  <c r="G2612" i="5"/>
  <c r="F2612" i="5"/>
  <c r="E2612" i="5"/>
  <c r="K2611" i="5"/>
  <c r="J2611" i="5"/>
  <c r="I2611" i="5"/>
  <c r="H2611" i="5"/>
  <c r="G2611" i="5"/>
  <c r="F2611" i="5"/>
  <c r="E2611" i="5"/>
  <c r="E2613" i="5" s="1"/>
  <c r="K2610" i="5"/>
  <c r="J2610" i="5"/>
  <c r="I2610" i="5"/>
  <c r="H2610" i="5"/>
  <c r="G2610" i="5"/>
  <c r="F2610" i="5"/>
  <c r="E2610" i="5"/>
  <c r="K2609" i="5"/>
  <c r="J2609" i="5"/>
  <c r="I2609" i="5"/>
  <c r="H2609" i="5"/>
  <c r="G2609" i="5"/>
  <c r="F2609" i="5"/>
  <c r="E2609" i="5"/>
  <c r="K2608" i="5"/>
  <c r="J2608" i="5"/>
  <c r="I2608" i="5"/>
  <c r="H2608" i="5"/>
  <c r="G2608" i="5"/>
  <c r="F2608" i="5"/>
  <c r="E2608" i="5"/>
  <c r="K2602" i="5"/>
  <c r="J2602" i="5"/>
  <c r="I2602" i="5"/>
  <c r="H2602" i="5"/>
  <c r="G2602" i="5"/>
  <c r="F2602" i="5"/>
  <c r="E2602" i="5"/>
  <c r="K2596" i="5"/>
  <c r="J2596" i="5"/>
  <c r="I2596" i="5"/>
  <c r="H2596" i="5"/>
  <c r="G2596" i="5"/>
  <c r="F2596" i="5"/>
  <c r="E2596" i="5"/>
  <c r="K2590" i="5"/>
  <c r="J2590" i="5"/>
  <c r="I2590" i="5"/>
  <c r="H2590" i="5"/>
  <c r="G2590" i="5"/>
  <c r="F2590" i="5"/>
  <c r="E2590" i="5"/>
  <c r="K2584" i="5"/>
  <c r="J2584" i="5"/>
  <c r="I2584" i="5"/>
  <c r="H2584" i="5"/>
  <c r="G2584" i="5"/>
  <c r="F2584" i="5"/>
  <c r="E2584" i="5"/>
  <c r="E2669" i="5" l="1"/>
  <c r="J2669" i="5"/>
  <c r="C2669" i="5"/>
  <c r="K2669" i="5"/>
  <c r="K2675" i="5" s="1"/>
  <c r="J2665" i="5"/>
  <c r="H2665" i="5"/>
  <c r="K2665" i="5"/>
  <c r="G2665" i="5"/>
  <c r="I2665" i="5"/>
  <c r="F2665" i="5"/>
  <c r="E2672" i="5"/>
  <c r="F2668" i="5"/>
  <c r="L2669" i="5"/>
  <c r="L2675" i="5" s="1"/>
  <c r="F2672" i="5"/>
  <c r="G2672" i="5"/>
  <c r="D2674" i="5" a="1"/>
  <c r="H2668" i="5"/>
  <c r="F2669" i="5"/>
  <c r="L2670" i="5"/>
  <c r="L2676" i="5" s="1"/>
  <c r="J2671" i="5"/>
  <c r="H2672" i="5"/>
  <c r="I2668" i="5"/>
  <c r="G2669" i="5"/>
  <c r="E2670" i="5"/>
  <c r="C2671" i="5"/>
  <c r="K2671" i="5"/>
  <c r="K2677" i="5" s="1"/>
  <c r="I2672" i="5"/>
  <c r="L2668" i="5"/>
  <c r="L2674" i="5" s="1"/>
  <c r="E2668" i="5"/>
  <c r="G2668" i="5"/>
  <c r="J2668" i="5"/>
  <c r="H2669" i="5"/>
  <c r="J2672" i="5"/>
  <c r="L2672" i="5"/>
  <c r="L2678" i="5" s="1"/>
  <c r="C2668" i="5"/>
  <c r="C2672" i="5"/>
  <c r="E2617" i="5"/>
  <c r="J2617" i="5"/>
  <c r="K2617" i="5"/>
  <c r="K2623" i="5" s="1"/>
  <c r="C2617" i="5"/>
  <c r="J2613" i="5"/>
  <c r="K2613" i="5"/>
  <c r="G2613" i="5"/>
  <c r="I2613" i="5"/>
  <c r="H2613" i="5"/>
  <c r="F2613" i="5"/>
  <c r="F2616" i="5"/>
  <c r="L2617" i="5"/>
  <c r="L2623" i="5" s="1"/>
  <c r="F2620" i="5"/>
  <c r="E2616" i="5"/>
  <c r="E2620" i="5"/>
  <c r="D2622" i="5" a="1"/>
  <c r="G2620" i="5"/>
  <c r="H2616" i="5"/>
  <c r="F2617" i="5"/>
  <c r="L2618" i="5"/>
  <c r="L2624" i="5" s="1"/>
  <c r="J2619" i="5"/>
  <c r="H2620" i="5"/>
  <c r="I2616" i="5"/>
  <c r="G2617" i="5"/>
  <c r="E2618" i="5"/>
  <c r="C2619" i="5"/>
  <c r="K2619" i="5"/>
  <c r="K2625" i="5" s="1"/>
  <c r="I2620" i="5"/>
  <c r="L2616" i="5"/>
  <c r="L2622" i="5" s="1"/>
  <c r="L2620" i="5"/>
  <c r="L2626" i="5" s="1"/>
  <c r="G2616" i="5"/>
  <c r="J2616" i="5"/>
  <c r="H2617" i="5"/>
  <c r="J2620" i="5"/>
  <c r="C2616" i="5"/>
  <c r="C2620" i="5"/>
  <c r="AA147" i="4"/>
  <c r="Z147" i="4"/>
  <c r="Y147" i="4"/>
  <c r="X147" i="4"/>
  <c r="W147" i="4"/>
  <c r="V147" i="4"/>
  <c r="U147" i="4"/>
  <c r="I2677" i="5" l="1" a="1"/>
  <c r="I2677" i="5" s="1"/>
  <c r="E2674" i="5" a="1"/>
  <c r="H2674" i="5" s="1"/>
  <c r="I2676" i="5" a="1"/>
  <c r="J2676" i="5" s="1"/>
  <c r="I2675" i="5" a="1"/>
  <c r="J2675" i="5" s="1"/>
  <c r="I2678" i="5" a="1"/>
  <c r="E2678" i="5" a="1"/>
  <c r="E2676" i="5" a="1"/>
  <c r="D2677" i="5"/>
  <c r="D2676" i="5"/>
  <c r="D2675" i="5"/>
  <c r="D2678" i="5"/>
  <c r="D2674" i="5"/>
  <c r="E2675" i="5" a="1"/>
  <c r="I2674" i="5" a="1"/>
  <c r="E2677" i="5" a="1"/>
  <c r="I2622" i="5" a="1"/>
  <c r="I2622" i="5" s="1"/>
  <c r="E2625" i="5" a="1"/>
  <c r="H2625" i="5" s="1"/>
  <c r="I2626" i="5" a="1"/>
  <c r="I2625" i="5" a="1"/>
  <c r="E2624" i="5" a="1"/>
  <c r="I2624" i="5" a="1"/>
  <c r="D2625" i="5"/>
  <c r="D2624" i="5"/>
  <c r="D2623" i="5"/>
  <c r="D2626" i="5"/>
  <c r="D2622" i="5"/>
  <c r="I2623" i="5" a="1"/>
  <c r="E2626" i="5" a="1"/>
  <c r="E2622" i="5" a="1"/>
  <c r="E2623" i="5" a="1"/>
  <c r="AA53" i="25"/>
  <c r="AA52" i="25"/>
  <c r="AA51" i="25"/>
  <c r="AA50" i="25"/>
  <c r="AA49" i="25"/>
  <c r="AA48" i="25"/>
  <c r="Z48" i="25"/>
  <c r="R47" i="25"/>
  <c r="W47" i="25" s="1"/>
  <c r="R46" i="25"/>
  <c r="Z46" i="25" s="1"/>
  <c r="Z52" i="25" s="1"/>
  <c r="R45" i="25"/>
  <c r="S45" i="25" s="1"/>
  <c r="R44" i="25"/>
  <c r="V44" i="25" s="1"/>
  <c r="X43" i="25"/>
  <c r="V43" i="25"/>
  <c r="R43" i="25"/>
  <c r="W43" i="25" s="1"/>
  <c r="W49" i="25" s="1" a="1"/>
  <c r="Y41" i="25"/>
  <c r="X41" i="25"/>
  <c r="W41" i="25"/>
  <c r="V41" i="25"/>
  <c r="U41" i="25"/>
  <c r="T41" i="25"/>
  <c r="S41" i="25"/>
  <c r="S40" i="25"/>
  <c r="Y39" i="25"/>
  <c r="X39" i="25"/>
  <c r="W39" i="25"/>
  <c r="V39" i="25"/>
  <c r="U39" i="25"/>
  <c r="T39" i="25"/>
  <c r="S39" i="25"/>
  <c r="Y38" i="25"/>
  <c r="X38" i="25"/>
  <c r="W38" i="25"/>
  <c r="W40" i="25" s="1"/>
  <c r="V38" i="25"/>
  <c r="U38" i="25"/>
  <c r="T38" i="25"/>
  <c r="S38" i="25"/>
  <c r="Y37" i="25"/>
  <c r="X37" i="25"/>
  <c r="W37" i="25"/>
  <c r="V37" i="25"/>
  <c r="U37" i="25"/>
  <c r="T37" i="25"/>
  <c r="S37" i="25"/>
  <c r="Y36" i="25"/>
  <c r="X36" i="25"/>
  <c r="W36" i="25"/>
  <c r="V36" i="25"/>
  <c r="U36" i="25"/>
  <c r="T36" i="25"/>
  <c r="S36" i="25"/>
  <c r="Y35" i="25"/>
  <c r="X35" i="25"/>
  <c r="W35" i="25"/>
  <c r="V35" i="25"/>
  <c r="U35" i="25"/>
  <c r="T35" i="25"/>
  <c r="S35" i="25"/>
  <c r="Y29" i="25"/>
  <c r="X29" i="25"/>
  <c r="W29" i="25"/>
  <c r="V29" i="25"/>
  <c r="U29" i="25"/>
  <c r="T29" i="25"/>
  <c r="S29" i="25"/>
  <c r="Y23" i="25"/>
  <c r="X23" i="25"/>
  <c r="W23" i="25"/>
  <c r="V23" i="25"/>
  <c r="U23" i="25"/>
  <c r="T23" i="25"/>
  <c r="S23" i="25"/>
  <c r="Y17" i="25"/>
  <c r="X17" i="25"/>
  <c r="W17" i="25"/>
  <c r="V17" i="25"/>
  <c r="U17" i="25"/>
  <c r="T17" i="25"/>
  <c r="S17" i="25"/>
  <c r="Y11" i="25"/>
  <c r="X11" i="25"/>
  <c r="W11" i="25"/>
  <c r="V11" i="25"/>
  <c r="U11" i="25"/>
  <c r="T11" i="25"/>
  <c r="S11" i="25"/>
  <c r="J2677" i="5" l="1"/>
  <c r="F2674" i="5"/>
  <c r="E2674" i="5"/>
  <c r="G2674" i="5"/>
  <c r="I2676" i="5"/>
  <c r="I2675" i="5"/>
  <c r="H2677" i="5"/>
  <c r="G2677" i="5"/>
  <c r="F2677" i="5"/>
  <c r="E2677" i="5"/>
  <c r="E2676" i="5"/>
  <c r="H2676" i="5"/>
  <c r="G2676" i="5"/>
  <c r="F2676" i="5"/>
  <c r="F2678" i="5"/>
  <c r="E2678" i="5"/>
  <c r="G2678" i="5"/>
  <c r="H2678" i="5"/>
  <c r="J2678" i="5"/>
  <c r="I2678" i="5"/>
  <c r="I2674" i="5"/>
  <c r="J2674" i="5"/>
  <c r="G2675" i="5"/>
  <c r="F2675" i="5"/>
  <c r="E2675" i="5"/>
  <c r="H2675" i="5"/>
  <c r="J2622" i="5"/>
  <c r="E2625" i="5"/>
  <c r="F2625" i="5"/>
  <c r="G2625" i="5"/>
  <c r="J2624" i="5"/>
  <c r="I2624" i="5"/>
  <c r="E2624" i="5"/>
  <c r="H2624" i="5"/>
  <c r="G2624" i="5"/>
  <c r="F2624" i="5"/>
  <c r="I2625" i="5"/>
  <c r="J2625" i="5"/>
  <c r="J2626" i="5"/>
  <c r="I2626" i="5"/>
  <c r="J2623" i="5"/>
  <c r="I2623" i="5"/>
  <c r="G2623" i="5"/>
  <c r="F2623" i="5"/>
  <c r="E2623" i="5"/>
  <c r="H2623" i="5"/>
  <c r="H2622" i="5"/>
  <c r="G2622" i="5"/>
  <c r="F2622" i="5"/>
  <c r="E2622" i="5"/>
  <c r="F2626" i="5"/>
  <c r="E2626" i="5"/>
  <c r="G2626" i="5"/>
  <c r="H2626" i="5"/>
  <c r="T40" i="25"/>
  <c r="T45" i="25"/>
  <c r="U40" i="25"/>
  <c r="U45" i="25"/>
  <c r="Q47" i="25"/>
  <c r="Y43" i="25"/>
  <c r="Y49" i="25" s="1"/>
  <c r="W45" i="25"/>
  <c r="W51" i="25" s="1" a="1"/>
  <c r="W51" i="25" s="1"/>
  <c r="S47" i="25"/>
  <c r="Q43" i="25"/>
  <c r="Q44" i="25"/>
  <c r="X45" i="25"/>
  <c r="T47" i="25"/>
  <c r="U47" i="25"/>
  <c r="S43" i="25"/>
  <c r="Y44" i="25"/>
  <c r="Y50" i="25" s="1"/>
  <c r="S46" i="25"/>
  <c r="V47" i="25"/>
  <c r="V40" i="25"/>
  <c r="T43" i="25"/>
  <c r="Q45" i="25"/>
  <c r="U46" i="25"/>
  <c r="X47" i="25"/>
  <c r="Y40" i="25"/>
  <c r="X40" i="25"/>
  <c r="U43" i="25"/>
  <c r="S49" i="25" s="1" a="1"/>
  <c r="V46" i="25"/>
  <c r="Y47" i="25"/>
  <c r="Y53" i="25" s="1"/>
  <c r="W53" i="25" a="1"/>
  <c r="W49" i="25"/>
  <c r="X49" i="25"/>
  <c r="Z44" i="25"/>
  <c r="Z50" i="25" s="1"/>
  <c r="W44" i="25"/>
  <c r="W50" i="25" s="1" a="1"/>
  <c r="Z43" i="25"/>
  <c r="Z49" i="25" s="1"/>
  <c r="X44" i="25"/>
  <c r="V45" i="25"/>
  <c r="T46" i="25"/>
  <c r="Z47" i="25"/>
  <c r="Z53" i="25" s="1"/>
  <c r="Y45" i="25"/>
  <c r="Y51" i="25" s="1"/>
  <c r="W46" i="25"/>
  <c r="W52" i="25" s="1" a="1"/>
  <c r="R49" i="25" a="1"/>
  <c r="S44" i="25"/>
  <c r="T44" i="25"/>
  <c r="Z45" i="25"/>
  <c r="Z51" i="25" s="1"/>
  <c r="X46" i="25"/>
  <c r="U44" i="25"/>
  <c r="Q46" i="25"/>
  <c r="Y46" i="25"/>
  <c r="Y52" i="25" s="1"/>
  <c r="AB147" i="4"/>
  <c r="S51" i="25" l="1" a="1"/>
  <c r="V51" i="25" s="1"/>
  <c r="S52" i="25" a="1"/>
  <c r="V52" i="25" s="1"/>
  <c r="X51" i="25"/>
  <c r="S53" i="25" a="1"/>
  <c r="S51" i="25"/>
  <c r="S50" i="25" a="1"/>
  <c r="R52" i="25"/>
  <c r="R51" i="25"/>
  <c r="R50" i="25"/>
  <c r="R49" i="25"/>
  <c r="R53" i="25"/>
  <c r="X50" i="25"/>
  <c r="W50" i="25"/>
  <c r="V49" i="25"/>
  <c r="U49" i="25"/>
  <c r="T49" i="25"/>
  <c r="S49" i="25"/>
  <c r="W52" i="25"/>
  <c r="X52" i="25"/>
  <c r="X53" i="25"/>
  <c r="W53" i="25"/>
  <c r="E2556" i="5"/>
  <c r="F2556" i="5"/>
  <c r="G2556" i="5"/>
  <c r="H2556" i="5"/>
  <c r="I2556" i="5"/>
  <c r="J2556" i="5"/>
  <c r="K2556" i="5"/>
  <c r="K2574" i="5"/>
  <c r="J2574" i="5"/>
  <c r="I2574" i="5"/>
  <c r="H2574" i="5"/>
  <c r="G2574" i="5"/>
  <c r="F2574" i="5"/>
  <c r="E2574" i="5"/>
  <c r="K2572" i="5"/>
  <c r="J2572" i="5"/>
  <c r="I2572" i="5"/>
  <c r="H2572" i="5"/>
  <c r="G2572" i="5"/>
  <c r="F2572" i="5"/>
  <c r="E2572" i="5"/>
  <c r="K2571" i="5"/>
  <c r="J2571" i="5"/>
  <c r="I2571" i="5"/>
  <c r="H2571" i="5"/>
  <c r="G2571" i="5"/>
  <c r="F2571" i="5"/>
  <c r="E2571" i="5"/>
  <c r="K2570" i="5"/>
  <c r="J2570" i="5"/>
  <c r="I2570" i="5"/>
  <c r="H2570" i="5"/>
  <c r="G2570" i="5"/>
  <c r="F2570" i="5"/>
  <c r="E2570" i="5"/>
  <c r="K2569" i="5"/>
  <c r="J2569" i="5"/>
  <c r="I2569" i="5"/>
  <c r="H2569" i="5"/>
  <c r="G2569" i="5"/>
  <c r="F2569" i="5"/>
  <c r="E2569" i="5"/>
  <c r="K2568" i="5"/>
  <c r="J2568" i="5"/>
  <c r="I2568" i="5"/>
  <c r="H2568" i="5"/>
  <c r="G2568" i="5"/>
  <c r="F2568" i="5"/>
  <c r="E2568" i="5"/>
  <c r="K2562" i="5"/>
  <c r="J2562" i="5"/>
  <c r="I2562" i="5"/>
  <c r="H2562" i="5"/>
  <c r="G2562" i="5"/>
  <c r="F2562" i="5"/>
  <c r="E2562" i="5"/>
  <c r="K2550" i="5"/>
  <c r="J2550" i="5"/>
  <c r="I2550" i="5"/>
  <c r="H2550" i="5"/>
  <c r="G2550" i="5"/>
  <c r="F2550" i="5"/>
  <c r="E2550" i="5"/>
  <c r="K2544" i="5"/>
  <c r="J2544" i="5"/>
  <c r="I2544" i="5"/>
  <c r="H2544" i="5"/>
  <c r="G2544" i="5"/>
  <c r="F2544" i="5"/>
  <c r="E2544" i="5"/>
  <c r="T51" i="25" l="1"/>
  <c r="U51" i="25"/>
  <c r="S52" i="25"/>
  <c r="T52" i="25"/>
  <c r="U52" i="25"/>
  <c r="V53" i="25"/>
  <c r="S53" i="25"/>
  <c r="U53" i="25"/>
  <c r="T53" i="25"/>
  <c r="U50" i="25"/>
  <c r="T50" i="25"/>
  <c r="S50" i="25"/>
  <c r="V50" i="25"/>
  <c r="I2573" i="5"/>
  <c r="F2573" i="5"/>
  <c r="K2573" i="5"/>
  <c r="G2573" i="5"/>
  <c r="J2573" i="5"/>
  <c r="E2573" i="5"/>
  <c r="H2573" i="5"/>
  <c r="K2534" i="5"/>
  <c r="J2534" i="5"/>
  <c r="I2534" i="5"/>
  <c r="H2534" i="5"/>
  <c r="G2534" i="5"/>
  <c r="F2534" i="5"/>
  <c r="E2534" i="5"/>
  <c r="K2532" i="5"/>
  <c r="J2532" i="5"/>
  <c r="I2532" i="5"/>
  <c r="H2532" i="5"/>
  <c r="G2532" i="5"/>
  <c r="F2532" i="5"/>
  <c r="E2532" i="5"/>
  <c r="K2531" i="5"/>
  <c r="J2531" i="5"/>
  <c r="I2531" i="5"/>
  <c r="H2531" i="5"/>
  <c r="G2531" i="5"/>
  <c r="F2531" i="5"/>
  <c r="E2531" i="5"/>
  <c r="K2530" i="5"/>
  <c r="J2530" i="5"/>
  <c r="I2530" i="5"/>
  <c r="H2530" i="5"/>
  <c r="G2530" i="5"/>
  <c r="F2530" i="5"/>
  <c r="E2530" i="5"/>
  <c r="K2529" i="5"/>
  <c r="J2529" i="5"/>
  <c r="I2529" i="5"/>
  <c r="H2529" i="5"/>
  <c r="G2529" i="5"/>
  <c r="F2529" i="5"/>
  <c r="E2529" i="5"/>
  <c r="K2528" i="5"/>
  <c r="J2528" i="5"/>
  <c r="I2528" i="5"/>
  <c r="H2528" i="5"/>
  <c r="G2528" i="5"/>
  <c r="F2528" i="5"/>
  <c r="E2528" i="5"/>
  <c r="K2522" i="5"/>
  <c r="J2522" i="5"/>
  <c r="I2522" i="5"/>
  <c r="H2522" i="5"/>
  <c r="G2522" i="5"/>
  <c r="F2522" i="5"/>
  <c r="E2522" i="5"/>
  <c r="K2516" i="5"/>
  <c r="J2516" i="5"/>
  <c r="I2516" i="5"/>
  <c r="H2516" i="5"/>
  <c r="G2516" i="5"/>
  <c r="F2516" i="5"/>
  <c r="E2516" i="5"/>
  <c r="K2510" i="5"/>
  <c r="J2510" i="5"/>
  <c r="I2510" i="5"/>
  <c r="H2510" i="5"/>
  <c r="G2510" i="5"/>
  <c r="F2510" i="5"/>
  <c r="E2510" i="5"/>
  <c r="K2504" i="5"/>
  <c r="J2504" i="5"/>
  <c r="I2504" i="5"/>
  <c r="H2504" i="5"/>
  <c r="G2504" i="5"/>
  <c r="F2504" i="5"/>
  <c r="E2504" i="5"/>
  <c r="E2533" i="5" l="1"/>
  <c r="K2533" i="5"/>
  <c r="I2533" i="5"/>
  <c r="G2533" i="5"/>
  <c r="F2533" i="5"/>
  <c r="H2533" i="5"/>
  <c r="J2533" i="5"/>
  <c r="K2494" i="5"/>
  <c r="J2494" i="5"/>
  <c r="I2494" i="5"/>
  <c r="H2494" i="5"/>
  <c r="G2494" i="5"/>
  <c r="F2494" i="5"/>
  <c r="E2494" i="5"/>
  <c r="K2492" i="5"/>
  <c r="J2492" i="5"/>
  <c r="I2492" i="5"/>
  <c r="H2492" i="5"/>
  <c r="G2492" i="5"/>
  <c r="F2492" i="5"/>
  <c r="E2492" i="5"/>
  <c r="K2491" i="5"/>
  <c r="J2491" i="5"/>
  <c r="I2491" i="5"/>
  <c r="H2491" i="5"/>
  <c r="G2491" i="5"/>
  <c r="F2491" i="5"/>
  <c r="E2491" i="5"/>
  <c r="K2490" i="5"/>
  <c r="J2490" i="5"/>
  <c r="I2490" i="5"/>
  <c r="H2490" i="5"/>
  <c r="G2490" i="5"/>
  <c r="F2490" i="5"/>
  <c r="E2490" i="5"/>
  <c r="K2489" i="5"/>
  <c r="J2489" i="5"/>
  <c r="I2489" i="5"/>
  <c r="H2489" i="5"/>
  <c r="G2489" i="5"/>
  <c r="F2489" i="5"/>
  <c r="E2489" i="5"/>
  <c r="K2488" i="5"/>
  <c r="J2488" i="5"/>
  <c r="I2488" i="5"/>
  <c r="H2488" i="5"/>
  <c r="G2488" i="5"/>
  <c r="F2488" i="5"/>
  <c r="E2488" i="5"/>
  <c r="K2482" i="5"/>
  <c r="J2482" i="5"/>
  <c r="I2482" i="5"/>
  <c r="H2482" i="5"/>
  <c r="G2482" i="5"/>
  <c r="F2482" i="5"/>
  <c r="E2482" i="5"/>
  <c r="K2476" i="5"/>
  <c r="J2476" i="5"/>
  <c r="I2476" i="5"/>
  <c r="H2476" i="5"/>
  <c r="G2476" i="5"/>
  <c r="F2476" i="5"/>
  <c r="E2476" i="5"/>
  <c r="K2470" i="5"/>
  <c r="J2470" i="5"/>
  <c r="I2470" i="5"/>
  <c r="H2470" i="5"/>
  <c r="G2470" i="5"/>
  <c r="F2470" i="5"/>
  <c r="E2470" i="5"/>
  <c r="K2464" i="5"/>
  <c r="J2464" i="5"/>
  <c r="I2464" i="5"/>
  <c r="H2464" i="5"/>
  <c r="G2464" i="5"/>
  <c r="F2464" i="5"/>
  <c r="E2464" i="5"/>
  <c r="G2493" i="5" l="1"/>
  <c r="J2493" i="5"/>
  <c r="E2493" i="5"/>
  <c r="F2493" i="5"/>
  <c r="H2493" i="5"/>
  <c r="I2493" i="5"/>
  <c r="K2493" i="5"/>
  <c r="U2389" i="5"/>
  <c r="T2389" i="5"/>
  <c r="K2454" i="5" l="1"/>
  <c r="J2454" i="5"/>
  <c r="I2454" i="5"/>
  <c r="H2454" i="5"/>
  <c r="G2454" i="5"/>
  <c r="F2454" i="5"/>
  <c r="E2454" i="5"/>
  <c r="K2452" i="5"/>
  <c r="J2452" i="5"/>
  <c r="I2452" i="5"/>
  <c r="H2452" i="5"/>
  <c r="G2452" i="5"/>
  <c r="F2452" i="5"/>
  <c r="E2452" i="5"/>
  <c r="K2451" i="5"/>
  <c r="J2451" i="5"/>
  <c r="I2451" i="5"/>
  <c r="H2451" i="5"/>
  <c r="G2451" i="5"/>
  <c r="F2451" i="5"/>
  <c r="E2451" i="5"/>
  <c r="K2450" i="5"/>
  <c r="J2450" i="5"/>
  <c r="I2450" i="5"/>
  <c r="H2450" i="5"/>
  <c r="G2450" i="5"/>
  <c r="F2450" i="5"/>
  <c r="E2450" i="5"/>
  <c r="K2449" i="5"/>
  <c r="J2449" i="5"/>
  <c r="I2449" i="5"/>
  <c r="H2449" i="5"/>
  <c r="G2449" i="5"/>
  <c r="F2449" i="5"/>
  <c r="E2449" i="5"/>
  <c r="K2448" i="5"/>
  <c r="J2448" i="5"/>
  <c r="I2448" i="5"/>
  <c r="H2448" i="5"/>
  <c r="G2448" i="5"/>
  <c r="F2448" i="5"/>
  <c r="E2448" i="5"/>
  <c r="K2442" i="5"/>
  <c r="J2442" i="5"/>
  <c r="I2442" i="5"/>
  <c r="H2442" i="5"/>
  <c r="G2442" i="5"/>
  <c r="F2442" i="5"/>
  <c r="E2442" i="5"/>
  <c r="K2436" i="5"/>
  <c r="J2436" i="5"/>
  <c r="I2436" i="5"/>
  <c r="H2436" i="5"/>
  <c r="G2436" i="5"/>
  <c r="F2436" i="5"/>
  <c r="E2436" i="5"/>
  <c r="K2430" i="5"/>
  <c r="J2430" i="5"/>
  <c r="I2430" i="5"/>
  <c r="H2430" i="5"/>
  <c r="G2430" i="5"/>
  <c r="F2430" i="5"/>
  <c r="E2430" i="5"/>
  <c r="K2424" i="5"/>
  <c r="J2424" i="5"/>
  <c r="I2424" i="5"/>
  <c r="H2424" i="5"/>
  <c r="G2424" i="5"/>
  <c r="F2424" i="5"/>
  <c r="E2424" i="5"/>
  <c r="H2453" i="5" l="1"/>
  <c r="G2453" i="5"/>
  <c r="K2453" i="5"/>
  <c r="I2453" i="5"/>
  <c r="J2453" i="5"/>
  <c r="F2453" i="5"/>
  <c r="E2453" i="5"/>
  <c r="W2384" i="5"/>
  <c r="W2387" i="5" l="1"/>
  <c r="V2387" i="5"/>
  <c r="S2387" i="5"/>
  <c r="R2387" i="5"/>
  <c r="Q2387" i="5"/>
  <c r="P2387" i="5"/>
  <c r="W2386" i="5"/>
  <c r="V2386" i="5"/>
  <c r="S2386" i="5"/>
  <c r="R2386" i="5"/>
  <c r="Q2386" i="5"/>
  <c r="P2386" i="5"/>
  <c r="W2385" i="5"/>
  <c r="V2385" i="5"/>
  <c r="S2385" i="5"/>
  <c r="R2385" i="5"/>
  <c r="Q2385" i="5"/>
  <c r="P2385" i="5"/>
  <c r="V2384" i="5"/>
  <c r="S2384" i="5"/>
  <c r="R2384" i="5"/>
  <c r="Q2384" i="5"/>
  <c r="P2384" i="5"/>
  <c r="K2413" i="5" l="1"/>
  <c r="J2413" i="5"/>
  <c r="I2413" i="5"/>
  <c r="H2413" i="5"/>
  <c r="G2413" i="5"/>
  <c r="F2413" i="5"/>
  <c r="E2413" i="5"/>
  <c r="K2411" i="5"/>
  <c r="J2411" i="5"/>
  <c r="I2411" i="5"/>
  <c r="H2411" i="5"/>
  <c r="G2411" i="5"/>
  <c r="F2411" i="5"/>
  <c r="E2411" i="5"/>
  <c r="K2410" i="5"/>
  <c r="J2410" i="5"/>
  <c r="I2410" i="5"/>
  <c r="H2410" i="5"/>
  <c r="G2410" i="5"/>
  <c r="F2410" i="5"/>
  <c r="E2410" i="5"/>
  <c r="K2409" i="5"/>
  <c r="J2409" i="5"/>
  <c r="I2409" i="5"/>
  <c r="H2409" i="5"/>
  <c r="G2409" i="5"/>
  <c r="F2409" i="5"/>
  <c r="E2409" i="5"/>
  <c r="K2408" i="5"/>
  <c r="J2408" i="5"/>
  <c r="I2408" i="5"/>
  <c r="H2408" i="5"/>
  <c r="G2408" i="5"/>
  <c r="F2408" i="5"/>
  <c r="E2408" i="5"/>
  <c r="K2407" i="5"/>
  <c r="J2407" i="5"/>
  <c r="I2407" i="5"/>
  <c r="H2407" i="5"/>
  <c r="G2407" i="5"/>
  <c r="F2407" i="5"/>
  <c r="E2407" i="5"/>
  <c r="K2401" i="5"/>
  <c r="J2401" i="5"/>
  <c r="I2401" i="5"/>
  <c r="H2401" i="5"/>
  <c r="G2401" i="5"/>
  <c r="F2401" i="5"/>
  <c r="E2401" i="5"/>
  <c r="K2395" i="5"/>
  <c r="J2395" i="5"/>
  <c r="I2395" i="5"/>
  <c r="H2395" i="5"/>
  <c r="G2395" i="5"/>
  <c r="F2395" i="5"/>
  <c r="E2395" i="5"/>
  <c r="K2389" i="5"/>
  <c r="J2389" i="5"/>
  <c r="I2389" i="5"/>
  <c r="H2389" i="5"/>
  <c r="G2389" i="5"/>
  <c r="F2389" i="5"/>
  <c r="E2389" i="5"/>
  <c r="K2383" i="5"/>
  <c r="J2383" i="5"/>
  <c r="I2383" i="5"/>
  <c r="H2383" i="5"/>
  <c r="G2383" i="5"/>
  <c r="F2383" i="5"/>
  <c r="E2383" i="5"/>
  <c r="K2412" i="5" l="1"/>
  <c r="F2412" i="5"/>
  <c r="H2412" i="5"/>
  <c r="J2412" i="5"/>
  <c r="E2412" i="5"/>
  <c r="I2412" i="5"/>
  <c r="G2412" i="5"/>
  <c r="K2373" i="5"/>
  <c r="J2373" i="5"/>
  <c r="I2373" i="5"/>
  <c r="H2373" i="5"/>
  <c r="G2373" i="5"/>
  <c r="F2373" i="5"/>
  <c r="E2373" i="5"/>
  <c r="K2371" i="5"/>
  <c r="J2371" i="5"/>
  <c r="I2371" i="5"/>
  <c r="H2371" i="5"/>
  <c r="G2371" i="5"/>
  <c r="F2371" i="5"/>
  <c r="E2371" i="5"/>
  <c r="K2370" i="5"/>
  <c r="J2370" i="5"/>
  <c r="I2370" i="5"/>
  <c r="H2370" i="5"/>
  <c r="G2370" i="5"/>
  <c r="F2370" i="5"/>
  <c r="E2370" i="5"/>
  <c r="K2369" i="5"/>
  <c r="J2369" i="5"/>
  <c r="I2369" i="5"/>
  <c r="H2369" i="5"/>
  <c r="G2369" i="5"/>
  <c r="F2369" i="5"/>
  <c r="E2369" i="5"/>
  <c r="K2368" i="5"/>
  <c r="J2368" i="5"/>
  <c r="I2368" i="5"/>
  <c r="H2368" i="5"/>
  <c r="G2368" i="5"/>
  <c r="F2368" i="5"/>
  <c r="E2368" i="5"/>
  <c r="K2367" i="5"/>
  <c r="J2367" i="5"/>
  <c r="I2367" i="5"/>
  <c r="H2367" i="5"/>
  <c r="G2367" i="5"/>
  <c r="F2367" i="5"/>
  <c r="E2367" i="5"/>
  <c r="K2361" i="5"/>
  <c r="J2361" i="5"/>
  <c r="I2361" i="5"/>
  <c r="H2361" i="5"/>
  <c r="G2361" i="5"/>
  <c r="F2361" i="5"/>
  <c r="E2361" i="5"/>
  <c r="K2355" i="5"/>
  <c r="J2355" i="5"/>
  <c r="I2355" i="5"/>
  <c r="H2355" i="5"/>
  <c r="G2355" i="5"/>
  <c r="F2355" i="5"/>
  <c r="E2355" i="5"/>
  <c r="K2349" i="5"/>
  <c r="J2349" i="5"/>
  <c r="I2349" i="5"/>
  <c r="H2349" i="5"/>
  <c r="G2349" i="5"/>
  <c r="F2349" i="5"/>
  <c r="E2349" i="5"/>
  <c r="K2343" i="5"/>
  <c r="J2343" i="5"/>
  <c r="I2343" i="5"/>
  <c r="H2343" i="5"/>
  <c r="G2343" i="5"/>
  <c r="F2343" i="5"/>
  <c r="E2343" i="5"/>
  <c r="E2372" i="5" l="1"/>
  <c r="I2372" i="5"/>
  <c r="G2372" i="5"/>
  <c r="K2372" i="5"/>
  <c r="H2372" i="5"/>
  <c r="J2372" i="5"/>
  <c r="F2372" i="5"/>
  <c r="K2333" i="5"/>
  <c r="J2333" i="5"/>
  <c r="I2333" i="5"/>
  <c r="H2333" i="5"/>
  <c r="G2333" i="5"/>
  <c r="F2333" i="5"/>
  <c r="E2333" i="5"/>
  <c r="K2331" i="5"/>
  <c r="J2331" i="5"/>
  <c r="I2331" i="5"/>
  <c r="H2331" i="5"/>
  <c r="G2331" i="5"/>
  <c r="F2331" i="5"/>
  <c r="E2331" i="5"/>
  <c r="K2330" i="5"/>
  <c r="J2330" i="5"/>
  <c r="I2330" i="5"/>
  <c r="H2330" i="5"/>
  <c r="G2330" i="5"/>
  <c r="F2330" i="5"/>
  <c r="E2330" i="5"/>
  <c r="K2329" i="5"/>
  <c r="J2329" i="5"/>
  <c r="I2329" i="5"/>
  <c r="H2329" i="5"/>
  <c r="G2329" i="5"/>
  <c r="F2329" i="5"/>
  <c r="E2329" i="5"/>
  <c r="K2328" i="5"/>
  <c r="J2328" i="5"/>
  <c r="I2328" i="5"/>
  <c r="H2328" i="5"/>
  <c r="G2328" i="5"/>
  <c r="F2328" i="5"/>
  <c r="E2328" i="5"/>
  <c r="K2327" i="5"/>
  <c r="J2327" i="5"/>
  <c r="I2327" i="5"/>
  <c r="H2327" i="5"/>
  <c r="G2327" i="5"/>
  <c r="F2327" i="5"/>
  <c r="E2327" i="5"/>
  <c r="K2321" i="5"/>
  <c r="J2321" i="5"/>
  <c r="I2321" i="5"/>
  <c r="H2321" i="5"/>
  <c r="G2321" i="5"/>
  <c r="F2321" i="5"/>
  <c r="E2321" i="5"/>
  <c r="K2315" i="5"/>
  <c r="J2315" i="5"/>
  <c r="I2315" i="5"/>
  <c r="H2315" i="5"/>
  <c r="G2315" i="5"/>
  <c r="F2315" i="5"/>
  <c r="E2315" i="5"/>
  <c r="K2309" i="5"/>
  <c r="J2309" i="5"/>
  <c r="I2309" i="5"/>
  <c r="H2309" i="5"/>
  <c r="G2309" i="5"/>
  <c r="F2309" i="5"/>
  <c r="E2309" i="5"/>
  <c r="K2303" i="5"/>
  <c r="J2303" i="5"/>
  <c r="I2303" i="5"/>
  <c r="H2303" i="5"/>
  <c r="G2303" i="5"/>
  <c r="F2303" i="5"/>
  <c r="E2303" i="5"/>
  <c r="R139" i="4"/>
  <c r="S139" i="4"/>
  <c r="T139" i="4"/>
  <c r="U139" i="4"/>
  <c r="V139" i="4"/>
  <c r="W139" i="4"/>
  <c r="X139" i="4"/>
  <c r="Y139" i="4"/>
  <c r="Z139" i="4"/>
  <c r="AA139" i="4"/>
  <c r="AC139" i="4"/>
  <c r="R141" i="4"/>
  <c r="S141" i="4"/>
  <c r="T141" i="4"/>
  <c r="U141" i="4"/>
  <c r="V141" i="4"/>
  <c r="W141" i="4"/>
  <c r="X141" i="4"/>
  <c r="Y141" i="4"/>
  <c r="Z141" i="4"/>
  <c r="AA141" i="4"/>
  <c r="AC141" i="4"/>
  <c r="R143" i="4"/>
  <c r="S143" i="4"/>
  <c r="T143" i="4"/>
  <c r="U143" i="4"/>
  <c r="V143" i="4"/>
  <c r="W143" i="4"/>
  <c r="X143" i="4"/>
  <c r="Y143" i="4"/>
  <c r="Z143" i="4"/>
  <c r="AA143" i="4"/>
  <c r="AC143" i="4"/>
  <c r="R145" i="4"/>
  <c r="S145" i="4"/>
  <c r="T145" i="4"/>
  <c r="U145" i="4"/>
  <c r="V145" i="4"/>
  <c r="W145" i="4"/>
  <c r="X145" i="4"/>
  <c r="Y145" i="4"/>
  <c r="Z145" i="4"/>
  <c r="AA145" i="4"/>
  <c r="AC145" i="4"/>
  <c r="R147" i="4"/>
  <c r="S147" i="4"/>
  <c r="T147" i="4"/>
  <c r="AC147" i="4"/>
  <c r="G2332" i="5" l="1"/>
  <c r="K2332" i="5"/>
  <c r="H2332" i="5"/>
  <c r="E2332" i="5"/>
  <c r="I2332" i="5"/>
  <c r="F2332" i="5"/>
  <c r="J2332" i="5"/>
  <c r="K2293" i="5"/>
  <c r="J2293" i="5"/>
  <c r="I2293" i="5"/>
  <c r="H2293" i="5"/>
  <c r="G2293" i="5"/>
  <c r="F2293" i="5"/>
  <c r="E2293" i="5"/>
  <c r="K2291" i="5"/>
  <c r="J2291" i="5"/>
  <c r="I2291" i="5"/>
  <c r="H2291" i="5"/>
  <c r="G2291" i="5"/>
  <c r="F2291" i="5"/>
  <c r="E2291" i="5"/>
  <c r="K2290" i="5"/>
  <c r="J2290" i="5"/>
  <c r="I2290" i="5"/>
  <c r="H2290" i="5"/>
  <c r="G2290" i="5"/>
  <c r="F2290" i="5"/>
  <c r="E2290" i="5"/>
  <c r="K2289" i="5"/>
  <c r="J2289" i="5"/>
  <c r="I2289" i="5"/>
  <c r="H2289" i="5"/>
  <c r="G2289" i="5"/>
  <c r="F2289" i="5"/>
  <c r="E2289" i="5"/>
  <c r="K2288" i="5"/>
  <c r="J2288" i="5"/>
  <c r="I2288" i="5"/>
  <c r="H2288" i="5"/>
  <c r="G2288" i="5"/>
  <c r="F2288" i="5"/>
  <c r="E2288" i="5"/>
  <c r="K2287" i="5"/>
  <c r="J2287" i="5"/>
  <c r="I2287" i="5"/>
  <c r="H2287" i="5"/>
  <c r="G2287" i="5"/>
  <c r="F2287" i="5"/>
  <c r="E2287" i="5"/>
  <c r="K2281" i="5"/>
  <c r="J2281" i="5"/>
  <c r="I2281" i="5"/>
  <c r="H2281" i="5"/>
  <c r="G2281" i="5"/>
  <c r="F2281" i="5"/>
  <c r="E2281" i="5"/>
  <c r="K2275" i="5"/>
  <c r="J2275" i="5"/>
  <c r="I2275" i="5"/>
  <c r="H2275" i="5"/>
  <c r="G2275" i="5"/>
  <c r="F2275" i="5"/>
  <c r="E2275" i="5"/>
  <c r="K2269" i="5"/>
  <c r="J2269" i="5"/>
  <c r="I2269" i="5"/>
  <c r="H2269" i="5"/>
  <c r="G2269" i="5"/>
  <c r="F2269" i="5"/>
  <c r="E2269" i="5"/>
  <c r="K2263" i="5"/>
  <c r="J2263" i="5"/>
  <c r="I2263" i="5"/>
  <c r="H2263" i="5"/>
  <c r="G2263" i="5"/>
  <c r="F2263" i="5"/>
  <c r="E2263" i="5"/>
  <c r="K2292" i="5" l="1"/>
  <c r="G2292" i="5"/>
  <c r="F2292" i="5"/>
  <c r="H2292" i="5"/>
  <c r="J2292" i="5"/>
  <c r="E2292" i="5"/>
  <c r="I2292" i="5"/>
  <c r="K2253" i="5"/>
  <c r="J2253" i="5"/>
  <c r="I2253" i="5"/>
  <c r="H2253" i="5"/>
  <c r="G2253" i="5"/>
  <c r="F2253" i="5"/>
  <c r="E2253" i="5"/>
  <c r="K2251" i="5"/>
  <c r="J2251" i="5"/>
  <c r="I2251" i="5"/>
  <c r="H2251" i="5"/>
  <c r="G2251" i="5"/>
  <c r="F2251" i="5"/>
  <c r="E2251" i="5"/>
  <c r="K2250" i="5"/>
  <c r="J2250" i="5"/>
  <c r="I2250" i="5"/>
  <c r="H2250" i="5"/>
  <c r="G2250" i="5"/>
  <c r="F2250" i="5"/>
  <c r="E2250" i="5"/>
  <c r="K2249" i="5"/>
  <c r="J2249" i="5"/>
  <c r="I2249" i="5"/>
  <c r="H2249" i="5"/>
  <c r="G2249" i="5"/>
  <c r="F2249" i="5"/>
  <c r="E2249" i="5"/>
  <c r="K2248" i="5"/>
  <c r="J2248" i="5"/>
  <c r="I2248" i="5"/>
  <c r="H2248" i="5"/>
  <c r="G2248" i="5"/>
  <c r="F2248" i="5"/>
  <c r="E2248" i="5"/>
  <c r="K2247" i="5"/>
  <c r="J2247" i="5"/>
  <c r="I2247" i="5"/>
  <c r="H2247" i="5"/>
  <c r="G2247" i="5"/>
  <c r="F2247" i="5"/>
  <c r="E2247" i="5"/>
  <c r="K2241" i="5"/>
  <c r="J2241" i="5"/>
  <c r="I2241" i="5"/>
  <c r="H2241" i="5"/>
  <c r="G2241" i="5"/>
  <c r="F2241" i="5"/>
  <c r="E2241" i="5"/>
  <c r="K2235" i="5"/>
  <c r="J2235" i="5"/>
  <c r="I2235" i="5"/>
  <c r="H2235" i="5"/>
  <c r="G2235" i="5"/>
  <c r="F2235" i="5"/>
  <c r="E2235" i="5"/>
  <c r="K2229" i="5"/>
  <c r="J2229" i="5"/>
  <c r="I2229" i="5"/>
  <c r="H2229" i="5"/>
  <c r="G2229" i="5"/>
  <c r="F2229" i="5"/>
  <c r="E2229" i="5"/>
  <c r="K2223" i="5"/>
  <c r="J2223" i="5"/>
  <c r="I2223" i="5"/>
  <c r="H2223" i="5"/>
  <c r="G2223" i="5"/>
  <c r="F2223" i="5"/>
  <c r="E2223" i="5"/>
  <c r="H2252" i="5" l="1"/>
  <c r="F2252" i="5"/>
  <c r="J2252" i="5"/>
  <c r="G2252" i="5"/>
  <c r="K2252" i="5"/>
  <c r="E2252" i="5"/>
  <c r="I2252" i="5"/>
  <c r="K2213" i="5"/>
  <c r="J2213" i="5"/>
  <c r="I2213" i="5"/>
  <c r="H2213" i="5"/>
  <c r="G2213" i="5"/>
  <c r="F2213" i="5"/>
  <c r="E2213" i="5"/>
  <c r="K2211" i="5"/>
  <c r="J2211" i="5"/>
  <c r="I2211" i="5"/>
  <c r="H2211" i="5"/>
  <c r="G2211" i="5"/>
  <c r="F2211" i="5"/>
  <c r="E2211" i="5"/>
  <c r="K2210" i="5"/>
  <c r="J2210" i="5"/>
  <c r="I2210" i="5"/>
  <c r="H2210" i="5"/>
  <c r="G2210" i="5"/>
  <c r="F2210" i="5"/>
  <c r="E2210" i="5"/>
  <c r="K2209" i="5"/>
  <c r="J2209" i="5"/>
  <c r="I2209" i="5"/>
  <c r="H2209" i="5"/>
  <c r="G2209" i="5"/>
  <c r="F2209" i="5"/>
  <c r="E2209" i="5"/>
  <c r="K2208" i="5"/>
  <c r="J2208" i="5"/>
  <c r="I2208" i="5"/>
  <c r="H2208" i="5"/>
  <c r="G2208" i="5"/>
  <c r="F2208" i="5"/>
  <c r="E2208" i="5"/>
  <c r="K2207" i="5"/>
  <c r="J2207" i="5"/>
  <c r="I2207" i="5"/>
  <c r="H2207" i="5"/>
  <c r="G2207" i="5"/>
  <c r="F2207" i="5"/>
  <c r="E2207" i="5"/>
  <c r="K2201" i="5"/>
  <c r="J2201" i="5"/>
  <c r="I2201" i="5"/>
  <c r="H2201" i="5"/>
  <c r="G2201" i="5"/>
  <c r="F2201" i="5"/>
  <c r="E2201" i="5"/>
  <c r="K2195" i="5"/>
  <c r="J2195" i="5"/>
  <c r="I2195" i="5"/>
  <c r="H2195" i="5"/>
  <c r="G2195" i="5"/>
  <c r="F2195" i="5"/>
  <c r="E2195" i="5"/>
  <c r="K2189" i="5"/>
  <c r="J2189" i="5"/>
  <c r="I2189" i="5"/>
  <c r="H2189" i="5"/>
  <c r="G2189" i="5"/>
  <c r="F2189" i="5"/>
  <c r="E2189" i="5"/>
  <c r="K2183" i="5"/>
  <c r="J2183" i="5"/>
  <c r="I2183" i="5"/>
  <c r="H2183" i="5"/>
  <c r="G2183" i="5"/>
  <c r="F2183" i="5"/>
  <c r="E2183" i="5"/>
  <c r="R133" i="4"/>
  <c r="S133" i="4"/>
  <c r="T133" i="4"/>
  <c r="U133" i="4"/>
  <c r="V133" i="4"/>
  <c r="W133" i="4"/>
  <c r="X133" i="4"/>
  <c r="Y133" i="4"/>
  <c r="Z133" i="4"/>
  <c r="AA133" i="4"/>
  <c r="AC133" i="4"/>
  <c r="R135" i="4"/>
  <c r="S135" i="4"/>
  <c r="T135" i="4"/>
  <c r="U135" i="4"/>
  <c r="V135" i="4"/>
  <c r="W135" i="4"/>
  <c r="X135" i="4"/>
  <c r="Y135" i="4"/>
  <c r="Z135" i="4"/>
  <c r="AA135" i="4"/>
  <c r="AC135" i="4"/>
  <c r="R137" i="4"/>
  <c r="S137" i="4"/>
  <c r="T137" i="4"/>
  <c r="U137" i="4"/>
  <c r="V137" i="4"/>
  <c r="W137" i="4"/>
  <c r="X137" i="4"/>
  <c r="Y137" i="4"/>
  <c r="Z137" i="4"/>
  <c r="AA137" i="4"/>
  <c r="AC137" i="4"/>
  <c r="G2212" i="5" l="1"/>
  <c r="K2212" i="5"/>
  <c r="H2212" i="5"/>
  <c r="F2212" i="5"/>
  <c r="J2212" i="5"/>
  <c r="E2212" i="5"/>
  <c r="I2212" i="5"/>
  <c r="K2173" i="5"/>
  <c r="J2173" i="5"/>
  <c r="I2173" i="5"/>
  <c r="H2173" i="5"/>
  <c r="G2173" i="5"/>
  <c r="F2173" i="5"/>
  <c r="E2173" i="5"/>
  <c r="K2171" i="5"/>
  <c r="J2171" i="5"/>
  <c r="I2171" i="5"/>
  <c r="H2171" i="5"/>
  <c r="G2171" i="5"/>
  <c r="F2171" i="5"/>
  <c r="E2171" i="5"/>
  <c r="K2170" i="5"/>
  <c r="J2170" i="5"/>
  <c r="I2170" i="5"/>
  <c r="H2170" i="5"/>
  <c r="G2170" i="5"/>
  <c r="F2170" i="5"/>
  <c r="E2170" i="5"/>
  <c r="K2169" i="5"/>
  <c r="J2169" i="5"/>
  <c r="I2169" i="5"/>
  <c r="H2169" i="5"/>
  <c r="G2169" i="5"/>
  <c r="F2169" i="5"/>
  <c r="E2169" i="5"/>
  <c r="K2168" i="5"/>
  <c r="J2168" i="5"/>
  <c r="I2168" i="5"/>
  <c r="H2168" i="5"/>
  <c r="G2168" i="5"/>
  <c r="F2168" i="5"/>
  <c r="E2168" i="5"/>
  <c r="K2167" i="5"/>
  <c r="J2167" i="5"/>
  <c r="I2167" i="5"/>
  <c r="H2167" i="5"/>
  <c r="G2167" i="5"/>
  <c r="F2167" i="5"/>
  <c r="E2167" i="5"/>
  <c r="K2161" i="5"/>
  <c r="J2161" i="5"/>
  <c r="I2161" i="5"/>
  <c r="H2161" i="5"/>
  <c r="G2161" i="5"/>
  <c r="F2161" i="5"/>
  <c r="E2161" i="5"/>
  <c r="K2155" i="5"/>
  <c r="J2155" i="5"/>
  <c r="I2155" i="5"/>
  <c r="H2155" i="5"/>
  <c r="G2155" i="5"/>
  <c r="F2155" i="5"/>
  <c r="E2155" i="5"/>
  <c r="K2149" i="5"/>
  <c r="J2149" i="5"/>
  <c r="I2149" i="5"/>
  <c r="H2149" i="5"/>
  <c r="G2149" i="5"/>
  <c r="F2149" i="5"/>
  <c r="E2149" i="5"/>
  <c r="K2143" i="5"/>
  <c r="J2143" i="5"/>
  <c r="I2143" i="5"/>
  <c r="H2143" i="5"/>
  <c r="G2143" i="5"/>
  <c r="F2143" i="5"/>
  <c r="E2143" i="5"/>
  <c r="H2172" i="5" l="1"/>
  <c r="E2172" i="5"/>
  <c r="I2172" i="5"/>
  <c r="G2172" i="5"/>
  <c r="K2172" i="5"/>
  <c r="F2172" i="5"/>
  <c r="J2172" i="5"/>
  <c r="K2133" i="5"/>
  <c r="J2133" i="5"/>
  <c r="I2133" i="5"/>
  <c r="H2133" i="5"/>
  <c r="G2133" i="5"/>
  <c r="F2133" i="5"/>
  <c r="E2133" i="5"/>
  <c r="K2131" i="5"/>
  <c r="J2131" i="5"/>
  <c r="I2131" i="5"/>
  <c r="H2131" i="5"/>
  <c r="G2131" i="5"/>
  <c r="F2131" i="5"/>
  <c r="E2131" i="5"/>
  <c r="K2130" i="5"/>
  <c r="J2130" i="5"/>
  <c r="I2130" i="5"/>
  <c r="H2130" i="5"/>
  <c r="G2130" i="5"/>
  <c r="F2130" i="5"/>
  <c r="E2130" i="5"/>
  <c r="K2129" i="5"/>
  <c r="J2129" i="5"/>
  <c r="I2129" i="5"/>
  <c r="H2129" i="5"/>
  <c r="G2129" i="5"/>
  <c r="F2129" i="5"/>
  <c r="E2129" i="5"/>
  <c r="K2128" i="5"/>
  <c r="J2128" i="5"/>
  <c r="I2128" i="5"/>
  <c r="H2128" i="5"/>
  <c r="G2128" i="5"/>
  <c r="F2128" i="5"/>
  <c r="E2128" i="5"/>
  <c r="K2127" i="5"/>
  <c r="J2127" i="5"/>
  <c r="I2127" i="5"/>
  <c r="H2127" i="5"/>
  <c r="G2127" i="5"/>
  <c r="F2127" i="5"/>
  <c r="E2127" i="5"/>
  <c r="K2121" i="5"/>
  <c r="J2121" i="5"/>
  <c r="I2121" i="5"/>
  <c r="H2121" i="5"/>
  <c r="G2121" i="5"/>
  <c r="F2121" i="5"/>
  <c r="E2121" i="5"/>
  <c r="K2115" i="5"/>
  <c r="J2115" i="5"/>
  <c r="I2115" i="5"/>
  <c r="H2115" i="5"/>
  <c r="G2115" i="5"/>
  <c r="F2115" i="5"/>
  <c r="E2115" i="5"/>
  <c r="K2109" i="5"/>
  <c r="J2109" i="5"/>
  <c r="I2109" i="5"/>
  <c r="H2109" i="5"/>
  <c r="G2109" i="5"/>
  <c r="F2109" i="5"/>
  <c r="E2109" i="5"/>
  <c r="K2103" i="5"/>
  <c r="J2103" i="5"/>
  <c r="I2103" i="5"/>
  <c r="H2103" i="5"/>
  <c r="G2103" i="5"/>
  <c r="F2103" i="5"/>
  <c r="E2103" i="5"/>
  <c r="K2132" i="5" l="1"/>
  <c r="G2132" i="5"/>
  <c r="H2132" i="5"/>
  <c r="E2132" i="5"/>
  <c r="I2132" i="5"/>
  <c r="F2132" i="5"/>
  <c r="J2132" i="5"/>
  <c r="R127" i="4"/>
  <c r="S127" i="4"/>
  <c r="T127" i="4"/>
  <c r="U127" i="4"/>
  <c r="V127" i="4"/>
  <c r="W127" i="4"/>
  <c r="X127" i="4"/>
  <c r="Y127" i="4"/>
  <c r="Z127" i="4"/>
  <c r="AA127" i="4"/>
  <c r="AC127" i="4"/>
  <c r="R129" i="4"/>
  <c r="S129" i="4"/>
  <c r="T129" i="4"/>
  <c r="U129" i="4"/>
  <c r="V129" i="4"/>
  <c r="W129" i="4"/>
  <c r="X129" i="4"/>
  <c r="Y129" i="4"/>
  <c r="Z129" i="4"/>
  <c r="AA129" i="4"/>
  <c r="AC129" i="4"/>
  <c r="R131" i="4"/>
  <c r="S131" i="4"/>
  <c r="T131" i="4"/>
  <c r="U131" i="4"/>
  <c r="V131" i="4"/>
  <c r="W131" i="4"/>
  <c r="X131" i="4"/>
  <c r="Y131" i="4"/>
  <c r="Z131" i="4"/>
  <c r="AA131" i="4"/>
  <c r="AC131" i="4"/>
  <c r="K2093" i="5" l="1"/>
  <c r="J2093" i="5"/>
  <c r="I2093" i="5"/>
  <c r="H2093" i="5"/>
  <c r="G2093" i="5"/>
  <c r="F2093" i="5"/>
  <c r="E2093" i="5"/>
  <c r="K2091" i="5"/>
  <c r="J2091" i="5"/>
  <c r="I2091" i="5"/>
  <c r="H2091" i="5"/>
  <c r="G2091" i="5"/>
  <c r="F2091" i="5"/>
  <c r="E2091" i="5"/>
  <c r="K2090" i="5"/>
  <c r="J2090" i="5"/>
  <c r="I2090" i="5"/>
  <c r="H2090" i="5"/>
  <c r="G2090" i="5"/>
  <c r="F2090" i="5"/>
  <c r="E2090" i="5"/>
  <c r="K2089" i="5"/>
  <c r="J2089" i="5"/>
  <c r="I2089" i="5"/>
  <c r="H2089" i="5"/>
  <c r="G2089" i="5"/>
  <c r="F2089" i="5"/>
  <c r="E2089" i="5"/>
  <c r="K2088" i="5"/>
  <c r="J2088" i="5"/>
  <c r="I2088" i="5"/>
  <c r="H2088" i="5"/>
  <c r="G2088" i="5"/>
  <c r="F2088" i="5"/>
  <c r="E2088" i="5"/>
  <c r="K2087" i="5"/>
  <c r="J2087" i="5"/>
  <c r="I2087" i="5"/>
  <c r="H2087" i="5"/>
  <c r="G2087" i="5"/>
  <c r="F2087" i="5"/>
  <c r="E2087" i="5"/>
  <c r="K2081" i="5"/>
  <c r="J2081" i="5"/>
  <c r="I2081" i="5"/>
  <c r="H2081" i="5"/>
  <c r="G2081" i="5"/>
  <c r="F2081" i="5"/>
  <c r="E2081" i="5"/>
  <c r="K2075" i="5"/>
  <c r="J2075" i="5"/>
  <c r="I2075" i="5"/>
  <c r="H2075" i="5"/>
  <c r="G2075" i="5"/>
  <c r="F2075" i="5"/>
  <c r="E2075" i="5"/>
  <c r="K2069" i="5"/>
  <c r="J2069" i="5"/>
  <c r="I2069" i="5"/>
  <c r="H2069" i="5"/>
  <c r="G2069" i="5"/>
  <c r="F2069" i="5"/>
  <c r="E2069" i="5"/>
  <c r="K2063" i="5"/>
  <c r="J2063" i="5"/>
  <c r="I2063" i="5"/>
  <c r="H2063" i="5"/>
  <c r="G2063" i="5"/>
  <c r="F2063" i="5"/>
  <c r="E2063" i="5"/>
  <c r="K2092" i="5" l="1"/>
  <c r="H2092" i="5"/>
  <c r="G2092" i="5"/>
  <c r="E2092" i="5"/>
  <c r="I2092" i="5"/>
  <c r="J2092" i="5"/>
  <c r="F2092" i="5"/>
  <c r="K2053" i="5"/>
  <c r="J2053" i="5"/>
  <c r="I2053" i="5"/>
  <c r="H2053" i="5"/>
  <c r="G2053" i="5"/>
  <c r="F2053" i="5"/>
  <c r="E2053" i="5"/>
  <c r="K2051" i="5"/>
  <c r="J2051" i="5"/>
  <c r="I2051" i="5"/>
  <c r="H2051" i="5"/>
  <c r="G2051" i="5"/>
  <c r="F2051" i="5"/>
  <c r="E2051" i="5"/>
  <c r="K2050" i="5"/>
  <c r="J2050" i="5"/>
  <c r="I2050" i="5"/>
  <c r="H2050" i="5"/>
  <c r="G2050" i="5"/>
  <c r="F2050" i="5"/>
  <c r="E2050" i="5"/>
  <c r="K2049" i="5"/>
  <c r="J2049" i="5"/>
  <c r="I2049" i="5"/>
  <c r="H2049" i="5"/>
  <c r="G2049" i="5"/>
  <c r="F2049" i="5"/>
  <c r="E2049" i="5"/>
  <c r="K2048" i="5"/>
  <c r="J2048" i="5"/>
  <c r="I2048" i="5"/>
  <c r="H2048" i="5"/>
  <c r="G2048" i="5"/>
  <c r="F2048" i="5"/>
  <c r="E2048" i="5"/>
  <c r="K2047" i="5"/>
  <c r="J2047" i="5"/>
  <c r="I2047" i="5"/>
  <c r="H2047" i="5"/>
  <c r="G2047" i="5"/>
  <c r="F2047" i="5"/>
  <c r="E2047" i="5"/>
  <c r="K2041" i="5"/>
  <c r="J2041" i="5"/>
  <c r="I2041" i="5"/>
  <c r="H2041" i="5"/>
  <c r="G2041" i="5"/>
  <c r="F2041" i="5"/>
  <c r="E2041" i="5"/>
  <c r="K2035" i="5"/>
  <c r="J2035" i="5"/>
  <c r="I2035" i="5"/>
  <c r="H2035" i="5"/>
  <c r="G2035" i="5"/>
  <c r="F2035" i="5"/>
  <c r="E2035" i="5"/>
  <c r="K2029" i="5"/>
  <c r="J2029" i="5"/>
  <c r="I2029" i="5"/>
  <c r="H2029" i="5"/>
  <c r="G2029" i="5"/>
  <c r="F2029" i="5"/>
  <c r="E2029" i="5"/>
  <c r="K2023" i="5"/>
  <c r="J2023" i="5"/>
  <c r="I2023" i="5"/>
  <c r="H2023" i="5"/>
  <c r="G2023" i="5"/>
  <c r="F2023" i="5"/>
  <c r="E2023" i="5"/>
  <c r="R125" i="4"/>
  <c r="S125" i="4"/>
  <c r="T125" i="4"/>
  <c r="U125" i="4"/>
  <c r="V125" i="4"/>
  <c r="W125" i="4"/>
  <c r="X125" i="4"/>
  <c r="Y125" i="4"/>
  <c r="Z125" i="4"/>
  <c r="AA125" i="4"/>
  <c r="AC125" i="4"/>
  <c r="G2052" i="5" l="1"/>
  <c r="K2052" i="5"/>
  <c r="H2052" i="5"/>
  <c r="F2052" i="5"/>
  <c r="J2052" i="5"/>
  <c r="E2052" i="5"/>
  <c r="I2052" i="5"/>
  <c r="K2013" i="5"/>
  <c r="J2013" i="5"/>
  <c r="I2013" i="5"/>
  <c r="H2013" i="5"/>
  <c r="G2013" i="5"/>
  <c r="F2013" i="5"/>
  <c r="E2013" i="5"/>
  <c r="K2011" i="5"/>
  <c r="J2011" i="5"/>
  <c r="I2011" i="5"/>
  <c r="H2011" i="5"/>
  <c r="G2011" i="5"/>
  <c r="F2011" i="5"/>
  <c r="E2011" i="5"/>
  <c r="K2010" i="5"/>
  <c r="J2010" i="5"/>
  <c r="I2010" i="5"/>
  <c r="H2010" i="5"/>
  <c r="G2010" i="5"/>
  <c r="F2010" i="5"/>
  <c r="E2010" i="5"/>
  <c r="K2009" i="5"/>
  <c r="J2009" i="5"/>
  <c r="I2009" i="5"/>
  <c r="H2009" i="5"/>
  <c r="G2009" i="5"/>
  <c r="F2009" i="5"/>
  <c r="E2009" i="5"/>
  <c r="K2008" i="5"/>
  <c r="J2008" i="5"/>
  <c r="I2008" i="5"/>
  <c r="H2008" i="5"/>
  <c r="G2008" i="5"/>
  <c r="F2008" i="5"/>
  <c r="E2008" i="5"/>
  <c r="K2007" i="5"/>
  <c r="J2007" i="5"/>
  <c r="I2007" i="5"/>
  <c r="H2007" i="5"/>
  <c r="G2007" i="5"/>
  <c r="F2007" i="5"/>
  <c r="E2007" i="5"/>
  <c r="K2001" i="5"/>
  <c r="J2001" i="5"/>
  <c r="I2001" i="5"/>
  <c r="H2001" i="5"/>
  <c r="G2001" i="5"/>
  <c r="F2001" i="5"/>
  <c r="E2001" i="5"/>
  <c r="K1995" i="5"/>
  <c r="J1995" i="5"/>
  <c r="I1995" i="5"/>
  <c r="H1995" i="5"/>
  <c r="G1995" i="5"/>
  <c r="F1995" i="5"/>
  <c r="E1995" i="5"/>
  <c r="K1989" i="5"/>
  <c r="J1989" i="5"/>
  <c r="I1989" i="5"/>
  <c r="H1989" i="5"/>
  <c r="G1989" i="5"/>
  <c r="F1989" i="5"/>
  <c r="E1989" i="5"/>
  <c r="K1983" i="5"/>
  <c r="J1983" i="5"/>
  <c r="I1983" i="5"/>
  <c r="H1983" i="5"/>
  <c r="G1983" i="5"/>
  <c r="F1983" i="5"/>
  <c r="E1983" i="5"/>
  <c r="K1973" i="5"/>
  <c r="J1973" i="5"/>
  <c r="I1973" i="5"/>
  <c r="H1973" i="5"/>
  <c r="G1973" i="5"/>
  <c r="F1973" i="5"/>
  <c r="E1973" i="5"/>
  <c r="K1971" i="5"/>
  <c r="J1971" i="5"/>
  <c r="I1971" i="5"/>
  <c r="H1971" i="5"/>
  <c r="G1971" i="5"/>
  <c r="F1971" i="5"/>
  <c r="E1971" i="5"/>
  <c r="K1970" i="5"/>
  <c r="J1970" i="5"/>
  <c r="I1970" i="5"/>
  <c r="H1970" i="5"/>
  <c r="G1970" i="5"/>
  <c r="F1970" i="5"/>
  <c r="E1970" i="5"/>
  <c r="K1969" i="5"/>
  <c r="J1969" i="5"/>
  <c r="I1969" i="5"/>
  <c r="H1969" i="5"/>
  <c r="G1969" i="5"/>
  <c r="F1969" i="5"/>
  <c r="E1969" i="5"/>
  <c r="K1968" i="5"/>
  <c r="J1968" i="5"/>
  <c r="I1968" i="5"/>
  <c r="H1968" i="5"/>
  <c r="G1968" i="5"/>
  <c r="F1968" i="5"/>
  <c r="E1968" i="5"/>
  <c r="K1967" i="5"/>
  <c r="J1967" i="5"/>
  <c r="I1967" i="5"/>
  <c r="H1967" i="5"/>
  <c r="G1967" i="5"/>
  <c r="F1967" i="5"/>
  <c r="E1967" i="5"/>
  <c r="K1961" i="5"/>
  <c r="J1961" i="5"/>
  <c r="I1961" i="5"/>
  <c r="H1961" i="5"/>
  <c r="G1961" i="5"/>
  <c r="F1961" i="5"/>
  <c r="E1961" i="5"/>
  <c r="K1955" i="5"/>
  <c r="J1955" i="5"/>
  <c r="I1955" i="5"/>
  <c r="H1955" i="5"/>
  <c r="G1955" i="5"/>
  <c r="F1955" i="5"/>
  <c r="E1955" i="5"/>
  <c r="K1949" i="5"/>
  <c r="J1949" i="5"/>
  <c r="I1949" i="5"/>
  <c r="H1949" i="5"/>
  <c r="G1949" i="5"/>
  <c r="F1949" i="5"/>
  <c r="E1949" i="5"/>
  <c r="K1943" i="5"/>
  <c r="J1943" i="5"/>
  <c r="I1943" i="5"/>
  <c r="H1943" i="5"/>
  <c r="G1943" i="5"/>
  <c r="F1943" i="5"/>
  <c r="E1943" i="5"/>
  <c r="R123" i="4"/>
  <c r="S123" i="4"/>
  <c r="T123" i="4"/>
  <c r="U123" i="4"/>
  <c r="V123" i="4"/>
  <c r="W123" i="4"/>
  <c r="X123" i="4"/>
  <c r="Y123" i="4"/>
  <c r="Z123" i="4"/>
  <c r="AA123" i="4"/>
  <c r="AC123" i="4"/>
  <c r="R119" i="4"/>
  <c r="S119" i="4"/>
  <c r="T119" i="4"/>
  <c r="U119" i="4"/>
  <c r="V119" i="4"/>
  <c r="W119" i="4"/>
  <c r="X119" i="4"/>
  <c r="Y119" i="4"/>
  <c r="Z119" i="4"/>
  <c r="AA119" i="4"/>
  <c r="AC119" i="4"/>
  <c r="R121" i="4"/>
  <c r="S121" i="4"/>
  <c r="T121" i="4"/>
  <c r="U121" i="4"/>
  <c r="V121" i="4"/>
  <c r="W121" i="4"/>
  <c r="X121" i="4"/>
  <c r="Y121" i="4"/>
  <c r="Z121" i="4"/>
  <c r="AA121" i="4"/>
  <c r="AC121" i="4"/>
  <c r="E2012" i="5" l="1"/>
  <c r="I2012" i="5"/>
  <c r="J2012" i="5"/>
  <c r="F2012" i="5"/>
  <c r="H2012" i="5"/>
  <c r="G2012" i="5"/>
  <c r="K2012" i="5"/>
  <c r="E1972" i="5"/>
  <c r="H1972" i="5"/>
  <c r="G1972" i="5"/>
  <c r="K1972" i="5"/>
  <c r="I1972" i="5"/>
  <c r="F1972" i="5"/>
  <c r="J1972" i="5"/>
  <c r="K1933" i="5"/>
  <c r="J1933" i="5"/>
  <c r="I1933" i="5"/>
  <c r="H1933" i="5"/>
  <c r="G1933" i="5"/>
  <c r="F1933" i="5"/>
  <c r="E1933" i="5"/>
  <c r="K1931" i="5"/>
  <c r="J1931" i="5"/>
  <c r="I1931" i="5"/>
  <c r="H1931" i="5"/>
  <c r="G1931" i="5"/>
  <c r="F1931" i="5"/>
  <c r="E1931" i="5"/>
  <c r="K1930" i="5"/>
  <c r="J1930" i="5"/>
  <c r="I1930" i="5"/>
  <c r="H1930" i="5"/>
  <c r="G1930" i="5"/>
  <c r="F1930" i="5"/>
  <c r="E1930" i="5"/>
  <c r="K1929" i="5"/>
  <c r="J1929" i="5"/>
  <c r="I1929" i="5"/>
  <c r="H1929" i="5"/>
  <c r="G1929" i="5"/>
  <c r="F1929" i="5"/>
  <c r="E1929" i="5"/>
  <c r="K1928" i="5"/>
  <c r="J1928" i="5"/>
  <c r="I1928" i="5"/>
  <c r="H1928" i="5"/>
  <c r="G1928" i="5"/>
  <c r="F1928" i="5"/>
  <c r="E1928" i="5"/>
  <c r="K1927" i="5"/>
  <c r="J1927" i="5"/>
  <c r="I1927" i="5"/>
  <c r="H1927" i="5"/>
  <c r="G1927" i="5"/>
  <c r="F1927" i="5"/>
  <c r="E1927" i="5"/>
  <c r="K1921" i="5"/>
  <c r="J1921" i="5"/>
  <c r="I1921" i="5"/>
  <c r="H1921" i="5"/>
  <c r="G1921" i="5"/>
  <c r="F1921" i="5"/>
  <c r="E1921" i="5"/>
  <c r="K1915" i="5"/>
  <c r="J1915" i="5"/>
  <c r="I1915" i="5"/>
  <c r="H1915" i="5"/>
  <c r="G1915" i="5"/>
  <c r="F1915" i="5"/>
  <c r="E1915" i="5"/>
  <c r="K1909" i="5"/>
  <c r="J1909" i="5"/>
  <c r="I1909" i="5"/>
  <c r="H1909" i="5"/>
  <c r="G1909" i="5"/>
  <c r="F1909" i="5"/>
  <c r="E1909" i="5"/>
  <c r="K1903" i="5"/>
  <c r="J1903" i="5"/>
  <c r="I1903" i="5"/>
  <c r="H1903" i="5"/>
  <c r="G1903" i="5"/>
  <c r="F1903" i="5"/>
  <c r="E1903" i="5"/>
  <c r="G1932" i="5" l="1"/>
  <c r="K1932" i="5"/>
  <c r="H1932" i="5"/>
  <c r="E1932" i="5"/>
  <c r="I1932" i="5"/>
  <c r="F1932" i="5"/>
  <c r="J1932" i="5"/>
  <c r="R117" i="4"/>
  <c r="S117" i="4"/>
  <c r="T117" i="4"/>
  <c r="U117" i="4"/>
  <c r="V117" i="4"/>
  <c r="W117" i="4"/>
  <c r="X117" i="4"/>
  <c r="Y117" i="4"/>
  <c r="Z117" i="4"/>
  <c r="AA117" i="4"/>
  <c r="AC117" i="4"/>
  <c r="K1893" i="5" l="1"/>
  <c r="J1893" i="5"/>
  <c r="I1893" i="5"/>
  <c r="H1893" i="5"/>
  <c r="G1893" i="5"/>
  <c r="F1893" i="5"/>
  <c r="E1893" i="5"/>
  <c r="K1891" i="5"/>
  <c r="J1891" i="5"/>
  <c r="I1891" i="5"/>
  <c r="H1891" i="5"/>
  <c r="G1891" i="5"/>
  <c r="F1891" i="5"/>
  <c r="E1891" i="5"/>
  <c r="K1890" i="5"/>
  <c r="J1890" i="5"/>
  <c r="I1890" i="5"/>
  <c r="H1890" i="5"/>
  <c r="G1890" i="5"/>
  <c r="F1890" i="5"/>
  <c r="E1890" i="5"/>
  <c r="K1889" i="5"/>
  <c r="J1889" i="5"/>
  <c r="I1889" i="5"/>
  <c r="H1889" i="5"/>
  <c r="G1889" i="5"/>
  <c r="F1889" i="5"/>
  <c r="E1889" i="5"/>
  <c r="K1888" i="5"/>
  <c r="J1888" i="5"/>
  <c r="I1888" i="5"/>
  <c r="H1888" i="5"/>
  <c r="G1888" i="5"/>
  <c r="F1888" i="5"/>
  <c r="E1888" i="5"/>
  <c r="K1887" i="5"/>
  <c r="J1887" i="5"/>
  <c r="I1887" i="5"/>
  <c r="H1887" i="5"/>
  <c r="G1887" i="5"/>
  <c r="F1887" i="5"/>
  <c r="E1887" i="5"/>
  <c r="K1881" i="5"/>
  <c r="J1881" i="5"/>
  <c r="I1881" i="5"/>
  <c r="H1881" i="5"/>
  <c r="G1881" i="5"/>
  <c r="F1881" i="5"/>
  <c r="E1881" i="5"/>
  <c r="K1875" i="5"/>
  <c r="J1875" i="5"/>
  <c r="I1875" i="5"/>
  <c r="H1875" i="5"/>
  <c r="G1875" i="5"/>
  <c r="F1875" i="5"/>
  <c r="E1875" i="5"/>
  <c r="K1869" i="5"/>
  <c r="J1869" i="5"/>
  <c r="I1869" i="5"/>
  <c r="H1869" i="5"/>
  <c r="G1869" i="5"/>
  <c r="F1869" i="5"/>
  <c r="E1869" i="5"/>
  <c r="K1863" i="5"/>
  <c r="J1863" i="5"/>
  <c r="I1863" i="5"/>
  <c r="H1863" i="5"/>
  <c r="G1863" i="5"/>
  <c r="F1863" i="5"/>
  <c r="E1863" i="5"/>
  <c r="K1892" i="5" l="1"/>
  <c r="G1892" i="5"/>
  <c r="F1892" i="5"/>
  <c r="J1892" i="5"/>
  <c r="E1892" i="5"/>
  <c r="I1892" i="5"/>
  <c r="H1892" i="5"/>
  <c r="K1853" i="5"/>
  <c r="J1853" i="5"/>
  <c r="I1853" i="5"/>
  <c r="H1853" i="5"/>
  <c r="G1853" i="5"/>
  <c r="F1853" i="5"/>
  <c r="E1853" i="5"/>
  <c r="K1851" i="5"/>
  <c r="J1851" i="5"/>
  <c r="I1851" i="5"/>
  <c r="H1851" i="5"/>
  <c r="G1851" i="5"/>
  <c r="F1851" i="5"/>
  <c r="E1851" i="5"/>
  <c r="K1850" i="5"/>
  <c r="J1850" i="5"/>
  <c r="I1850" i="5"/>
  <c r="H1850" i="5"/>
  <c r="G1850" i="5"/>
  <c r="F1850" i="5"/>
  <c r="E1850" i="5"/>
  <c r="K1849" i="5"/>
  <c r="J1849" i="5"/>
  <c r="I1849" i="5"/>
  <c r="H1849" i="5"/>
  <c r="G1849" i="5"/>
  <c r="F1849" i="5"/>
  <c r="E1849" i="5"/>
  <c r="K1848" i="5"/>
  <c r="J1848" i="5"/>
  <c r="I1848" i="5"/>
  <c r="H1848" i="5"/>
  <c r="G1848" i="5"/>
  <c r="F1848" i="5"/>
  <c r="E1848" i="5"/>
  <c r="K1847" i="5"/>
  <c r="J1847" i="5"/>
  <c r="I1847" i="5"/>
  <c r="H1847" i="5"/>
  <c r="G1847" i="5"/>
  <c r="F1847" i="5"/>
  <c r="E1847" i="5"/>
  <c r="K1841" i="5"/>
  <c r="J1841" i="5"/>
  <c r="I1841" i="5"/>
  <c r="H1841" i="5"/>
  <c r="G1841" i="5"/>
  <c r="F1841" i="5"/>
  <c r="E1841" i="5"/>
  <c r="K1835" i="5"/>
  <c r="J1835" i="5"/>
  <c r="I1835" i="5"/>
  <c r="H1835" i="5"/>
  <c r="G1835" i="5"/>
  <c r="F1835" i="5"/>
  <c r="E1835" i="5"/>
  <c r="K1829" i="5"/>
  <c r="J1829" i="5"/>
  <c r="I1829" i="5"/>
  <c r="H1829" i="5"/>
  <c r="G1829" i="5"/>
  <c r="F1829" i="5"/>
  <c r="E1829" i="5"/>
  <c r="K1823" i="5"/>
  <c r="J1823" i="5"/>
  <c r="I1823" i="5"/>
  <c r="H1823" i="5"/>
  <c r="G1823" i="5"/>
  <c r="F1823" i="5"/>
  <c r="E1823" i="5"/>
  <c r="F1852" i="5" l="1"/>
  <c r="J1852" i="5"/>
  <c r="H1852" i="5"/>
  <c r="G1852" i="5"/>
  <c r="K1852" i="5"/>
  <c r="E1852" i="5"/>
  <c r="I1852" i="5"/>
  <c r="R115" i="4"/>
  <c r="S115" i="4"/>
  <c r="T115" i="4"/>
  <c r="U115" i="4"/>
  <c r="V115" i="4"/>
  <c r="W115" i="4"/>
  <c r="X115" i="4"/>
  <c r="Y115" i="4"/>
  <c r="Z115" i="4"/>
  <c r="AA115" i="4"/>
  <c r="AC115" i="4"/>
  <c r="V1792" i="5" l="1"/>
  <c r="V1791" i="5"/>
  <c r="V1790" i="5"/>
  <c r="Q1792" i="5" l="1"/>
  <c r="R1792" i="5"/>
  <c r="S1792" i="5"/>
  <c r="P1792" i="5"/>
  <c r="Q1791" i="5"/>
  <c r="R1791" i="5"/>
  <c r="S1791" i="5"/>
  <c r="P1791" i="5"/>
  <c r="Q1790" i="5"/>
  <c r="R1790" i="5"/>
  <c r="S1790" i="5"/>
  <c r="P1790" i="5"/>
  <c r="W1753" i="5"/>
  <c r="W1752" i="5"/>
  <c r="W1751" i="5"/>
  <c r="P1752" i="5"/>
  <c r="Q1753" i="5"/>
  <c r="R1753" i="5"/>
  <c r="S1753" i="5"/>
  <c r="P1753" i="5"/>
  <c r="Q1752" i="5"/>
  <c r="R1752" i="5"/>
  <c r="S1752" i="5"/>
  <c r="Q1751" i="5"/>
  <c r="R1751" i="5"/>
  <c r="S1751" i="5"/>
  <c r="P1751" i="5"/>
  <c r="K1807" i="5" l="1"/>
  <c r="J1807" i="5"/>
  <c r="I1807" i="5"/>
  <c r="H1807" i="5"/>
  <c r="G1807" i="5"/>
  <c r="F1807" i="5"/>
  <c r="E1807" i="5"/>
  <c r="K1801" i="5"/>
  <c r="J1801" i="5"/>
  <c r="I1801" i="5"/>
  <c r="H1801" i="5"/>
  <c r="G1801" i="5"/>
  <c r="F1801" i="5"/>
  <c r="E1801" i="5"/>
  <c r="K1795" i="5"/>
  <c r="J1795" i="5"/>
  <c r="I1795" i="5"/>
  <c r="H1795" i="5"/>
  <c r="G1795" i="5"/>
  <c r="F1795" i="5"/>
  <c r="E1795" i="5"/>
  <c r="K1789" i="5"/>
  <c r="J1789" i="5"/>
  <c r="I1789" i="5"/>
  <c r="H1789" i="5"/>
  <c r="G1789" i="5"/>
  <c r="F1789" i="5"/>
  <c r="E1789" i="5"/>
  <c r="R109" i="4"/>
  <c r="S109" i="4"/>
  <c r="T109" i="4"/>
  <c r="U109" i="4"/>
  <c r="V109" i="4"/>
  <c r="W109" i="4"/>
  <c r="X109" i="4"/>
  <c r="Y109" i="4"/>
  <c r="Z109" i="4"/>
  <c r="AA109" i="4"/>
  <c r="AC109" i="4"/>
  <c r="R111" i="4"/>
  <c r="S111" i="4"/>
  <c r="T111" i="4"/>
  <c r="U111" i="4"/>
  <c r="V111" i="4"/>
  <c r="W111" i="4"/>
  <c r="X111" i="4"/>
  <c r="Y111" i="4"/>
  <c r="Z111" i="4"/>
  <c r="AA111" i="4"/>
  <c r="AC111" i="4"/>
  <c r="R113" i="4"/>
  <c r="S113" i="4"/>
  <c r="T113" i="4"/>
  <c r="U113" i="4"/>
  <c r="V113" i="4"/>
  <c r="W113" i="4"/>
  <c r="X113" i="4"/>
  <c r="Y113" i="4"/>
  <c r="Z113" i="4"/>
  <c r="AA113" i="4"/>
  <c r="AC113" i="4"/>
  <c r="E1810" i="5" l="1"/>
  <c r="E1783" i="5"/>
  <c r="E1811" i="5"/>
  <c r="K1773" i="5"/>
  <c r="J1773" i="5"/>
  <c r="I1773" i="5"/>
  <c r="H1773" i="5"/>
  <c r="G1773" i="5"/>
  <c r="F1773" i="5"/>
  <c r="E1773" i="5"/>
  <c r="K1771" i="5"/>
  <c r="J1771" i="5"/>
  <c r="I1771" i="5"/>
  <c r="H1771" i="5"/>
  <c r="G1771" i="5"/>
  <c r="F1771" i="5"/>
  <c r="E1771" i="5"/>
  <c r="K1770" i="5"/>
  <c r="J1770" i="5"/>
  <c r="I1770" i="5"/>
  <c r="H1770" i="5"/>
  <c r="G1770" i="5"/>
  <c r="F1770" i="5"/>
  <c r="E1770" i="5"/>
  <c r="K1769" i="5"/>
  <c r="J1769" i="5"/>
  <c r="I1769" i="5"/>
  <c r="H1769" i="5"/>
  <c r="G1769" i="5"/>
  <c r="F1769" i="5"/>
  <c r="E1769" i="5"/>
  <c r="K1768" i="5"/>
  <c r="J1768" i="5"/>
  <c r="I1768" i="5"/>
  <c r="H1768" i="5"/>
  <c r="G1768" i="5"/>
  <c r="F1768" i="5"/>
  <c r="E1768" i="5"/>
  <c r="K1767" i="5"/>
  <c r="J1767" i="5"/>
  <c r="I1767" i="5"/>
  <c r="H1767" i="5"/>
  <c r="G1767" i="5"/>
  <c r="F1767" i="5"/>
  <c r="E1767" i="5"/>
  <c r="K1761" i="5"/>
  <c r="J1761" i="5"/>
  <c r="I1761" i="5"/>
  <c r="H1761" i="5"/>
  <c r="G1761" i="5"/>
  <c r="F1761" i="5"/>
  <c r="E1761" i="5"/>
  <c r="K1755" i="5"/>
  <c r="J1755" i="5"/>
  <c r="I1755" i="5"/>
  <c r="H1755" i="5"/>
  <c r="G1755" i="5"/>
  <c r="F1755" i="5"/>
  <c r="E1755" i="5"/>
  <c r="K1749" i="5"/>
  <c r="J1749" i="5"/>
  <c r="I1749" i="5"/>
  <c r="H1749" i="5"/>
  <c r="G1749" i="5"/>
  <c r="F1749" i="5"/>
  <c r="E1749" i="5"/>
  <c r="K1743" i="5"/>
  <c r="J1743" i="5"/>
  <c r="I1743" i="5"/>
  <c r="H1743" i="5"/>
  <c r="G1743" i="5"/>
  <c r="F1743" i="5"/>
  <c r="E1743" i="5"/>
  <c r="E1812" i="5" l="1"/>
  <c r="E1808" i="5"/>
  <c r="E1813" i="5"/>
  <c r="E1809" i="5"/>
  <c r="K1809" i="5"/>
  <c r="K1810" i="5"/>
  <c r="K1813" i="5"/>
  <c r="K1808" i="5"/>
  <c r="K1811" i="5"/>
  <c r="K1783" i="5"/>
  <c r="I1811" i="5"/>
  <c r="I1783" i="5"/>
  <c r="I1813" i="5"/>
  <c r="I1808" i="5"/>
  <c r="I1810" i="5"/>
  <c r="I1809" i="5"/>
  <c r="F1813" i="5"/>
  <c r="F1808" i="5"/>
  <c r="F1809" i="5"/>
  <c r="F1811" i="5"/>
  <c r="F1783" i="5"/>
  <c r="F1810" i="5"/>
  <c r="J1813" i="5"/>
  <c r="J1808" i="5"/>
  <c r="J1809" i="5"/>
  <c r="J1811" i="5"/>
  <c r="J1783" i="5"/>
  <c r="J1810" i="5"/>
  <c r="H1809" i="5"/>
  <c r="H1810" i="5"/>
  <c r="H1811" i="5"/>
  <c r="H1783" i="5"/>
  <c r="H1813" i="5"/>
  <c r="H1808" i="5"/>
  <c r="G1809" i="5"/>
  <c r="G1810" i="5"/>
  <c r="G1813" i="5"/>
  <c r="G1808" i="5"/>
  <c r="G1811" i="5"/>
  <c r="G1783" i="5"/>
  <c r="H1772" i="5"/>
  <c r="F1772" i="5"/>
  <c r="J1772" i="5"/>
  <c r="G1772" i="5"/>
  <c r="K1772" i="5"/>
  <c r="E1772" i="5"/>
  <c r="I1772" i="5"/>
  <c r="I1812" i="5" l="1"/>
  <c r="G1812" i="5"/>
  <c r="K1812" i="5"/>
  <c r="H1812" i="5"/>
  <c r="F1812" i="5"/>
  <c r="J1812" i="5"/>
  <c r="R103" i="4"/>
  <c r="S103" i="4"/>
  <c r="T103" i="4"/>
  <c r="U103" i="4"/>
  <c r="V103" i="4"/>
  <c r="W103" i="4"/>
  <c r="X103" i="4"/>
  <c r="Y103" i="4"/>
  <c r="Z103" i="4"/>
  <c r="AA103" i="4"/>
  <c r="AC103" i="4"/>
  <c r="R105" i="4"/>
  <c r="S105" i="4"/>
  <c r="T105" i="4"/>
  <c r="U105" i="4"/>
  <c r="V105" i="4"/>
  <c r="W105" i="4"/>
  <c r="X105" i="4"/>
  <c r="Y105" i="4"/>
  <c r="Z105" i="4"/>
  <c r="AA105" i="4"/>
  <c r="AC105" i="4"/>
  <c r="R107" i="4"/>
  <c r="S107" i="4"/>
  <c r="T107" i="4"/>
  <c r="U107" i="4"/>
  <c r="V107" i="4"/>
  <c r="W107" i="4"/>
  <c r="X107" i="4"/>
  <c r="Y107" i="4"/>
  <c r="Z107" i="4"/>
  <c r="AA107" i="4"/>
  <c r="AC107" i="4"/>
  <c r="K1733" i="5" l="1"/>
  <c r="J1733" i="5"/>
  <c r="I1733" i="5"/>
  <c r="H1733" i="5"/>
  <c r="G1733" i="5"/>
  <c r="F1733" i="5"/>
  <c r="E1733" i="5"/>
  <c r="K1731" i="5"/>
  <c r="J1731" i="5"/>
  <c r="I1731" i="5"/>
  <c r="H1731" i="5"/>
  <c r="G1731" i="5"/>
  <c r="F1731" i="5"/>
  <c r="E1731" i="5"/>
  <c r="K1730" i="5"/>
  <c r="J1730" i="5"/>
  <c r="I1730" i="5"/>
  <c r="H1730" i="5"/>
  <c r="G1730" i="5"/>
  <c r="F1730" i="5"/>
  <c r="E1730" i="5"/>
  <c r="K1729" i="5"/>
  <c r="J1729" i="5"/>
  <c r="I1729" i="5"/>
  <c r="H1729" i="5"/>
  <c r="G1729" i="5"/>
  <c r="F1729" i="5"/>
  <c r="E1729" i="5"/>
  <c r="K1728" i="5"/>
  <c r="J1728" i="5"/>
  <c r="I1728" i="5"/>
  <c r="H1728" i="5"/>
  <c r="G1728" i="5"/>
  <c r="F1728" i="5"/>
  <c r="E1728" i="5"/>
  <c r="K1727" i="5"/>
  <c r="J1727" i="5"/>
  <c r="I1727" i="5"/>
  <c r="H1727" i="5"/>
  <c r="G1727" i="5"/>
  <c r="F1727" i="5"/>
  <c r="E1727" i="5"/>
  <c r="K1721" i="5"/>
  <c r="J1721" i="5"/>
  <c r="I1721" i="5"/>
  <c r="H1721" i="5"/>
  <c r="G1721" i="5"/>
  <c r="F1721" i="5"/>
  <c r="E1721" i="5"/>
  <c r="K1715" i="5"/>
  <c r="J1715" i="5"/>
  <c r="I1715" i="5"/>
  <c r="H1715" i="5"/>
  <c r="G1715" i="5"/>
  <c r="F1715" i="5"/>
  <c r="E1715" i="5"/>
  <c r="K1709" i="5"/>
  <c r="J1709" i="5"/>
  <c r="I1709" i="5"/>
  <c r="H1709" i="5"/>
  <c r="G1709" i="5"/>
  <c r="F1709" i="5"/>
  <c r="E1709" i="5"/>
  <c r="K1703" i="5"/>
  <c r="J1703" i="5"/>
  <c r="I1703" i="5"/>
  <c r="H1703" i="5"/>
  <c r="G1703" i="5"/>
  <c r="F1703" i="5"/>
  <c r="E1703" i="5"/>
  <c r="G1732" i="5" l="1"/>
  <c r="K1732" i="5"/>
  <c r="H1732" i="5"/>
  <c r="E1732" i="5"/>
  <c r="I1732" i="5"/>
  <c r="F1732" i="5"/>
  <c r="J1732" i="5"/>
  <c r="K1693" i="5"/>
  <c r="J1693" i="5"/>
  <c r="I1693" i="5"/>
  <c r="H1693" i="5"/>
  <c r="G1693" i="5"/>
  <c r="F1693" i="5"/>
  <c r="E1693" i="5"/>
  <c r="K1691" i="5"/>
  <c r="J1691" i="5"/>
  <c r="I1691" i="5"/>
  <c r="H1691" i="5"/>
  <c r="G1691" i="5"/>
  <c r="F1691" i="5"/>
  <c r="E1691" i="5"/>
  <c r="K1690" i="5"/>
  <c r="J1690" i="5"/>
  <c r="I1690" i="5"/>
  <c r="H1690" i="5"/>
  <c r="G1690" i="5"/>
  <c r="F1690" i="5"/>
  <c r="E1690" i="5"/>
  <c r="K1689" i="5"/>
  <c r="J1689" i="5"/>
  <c r="I1689" i="5"/>
  <c r="H1689" i="5"/>
  <c r="G1689" i="5"/>
  <c r="F1689" i="5"/>
  <c r="E1689" i="5"/>
  <c r="K1688" i="5"/>
  <c r="J1688" i="5"/>
  <c r="I1688" i="5"/>
  <c r="H1688" i="5"/>
  <c r="G1688" i="5"/>
  <c r="F1688" i="5"/>
  <c r="E1688" i="5"/>
  <c r="K1687" i="5"/>
  <c r="J1687" i="5"/>
  <c r="I1687" i="5"/>
  <c r="H1687" i="5"/>
  <c r="G1687" i="5"/>
  <c r="F1687" i="5"/>
  <c r="E1687" i="5"/>
  <c r="K1681" i="5"/>
  <c r="J1681" i="5"/>
  <c r="I1681" i="5"/>
  <c r="H1681" i="5"/>
  <c r="G1681" i="5"/>
  <c r="F1681" i="5"/>
  <c r="E1681" i="5"/>
  <c r="K1675" i="5"/>
  <c r="J1675" i="5"/>
  <c r="I1675" i="5"/>
  <c r="H1675" i="5"/>
  <c r="G1675" i="5"/>
  <c r="F1675" i="5"/>
  <c r="E1675" i="5"/>
  <c r="K1669" i="5"/>
  <c r="J1669" i="5"/>
  <c r="I1669" i="5"/>
  <c r="H1669" i="5"/>
  <c r="G1669" i="5"/>
  <c r="F1669" i="5"/>
  <c r="E1669" i="5"/>
  <c r="K1663" i="5"/>
  <c r="J1663" i="5"/>
  <c r="I1663" i="5"/>
  <c r="H1663" i="5"/>
  <c r="G1663" i="5"/>
  <c r="F1663" i="5"/>
  <c r="E1663" i="5"/>
  <c r="J1692" i="5" l="1"/>
  <c r="G1692" i="5"/>
  <c r="K1692" i="5"/>
  <c r="F1692" i="5"/>
  <c r="H1692" i="5"/>
  <c r="E1692" i="5"/>
  <c r="I1692" i="5"/>
  <c r="K1653" i="5"/>
  <c r="J1653" i="5"/>
  <c r="I1653" i="5"/>
  <c r="H1653" i="5"/>
  <c r="G1653" i="5"/>
  <c r="F1653" i="5"/>
  <c r="E1653" i="5"/>
  <c r="K1651" i="5"/>
  <c r="J1651" i="5"/>
  <c r="I1651" i="5"/>
  <c r="H1651" i="5"/>
  <c r="G1651" i="5"/>
  <c r="F1651" i="5"/>
  <c r="E1651" i="5"/>
  <c r="K1650" i="5"/>
  <c r="J1650" i="5"/>
  <c r="I1650" i="5"/>
  <c r="H1650" i="5"/>
  <c r="G1650" i="5"/>
  <c r="F1650" i="5"/>
  <c r="E1650" i="5"/>
  <c r="K1649" i="5"/>
  <c r="J1649" i="5"/>
  <c r="I1649" i="5"/>
  <c r="H1649" i="5"/>
  <c r="G1649" i="5"/>
  <c r="F1649" i="5"/>
  <c r="E1649" i="5"/>
  <c r="K1648" i="5"/>
  <c r="J1648" i="5"/>
  <c r="I1648" i="5"/>
  <c r="H1648" i="5"/>
  <c r="G1648" i="5"/>
  <c r="F1648" i="5"/>
  <c r="E1648" i="5"/>
  <c r="K1647" i="5"/>
  <c r="J1647" i="5"/>
  <c r="I1647" i="5"/>
  <c r="H1647" i="5"/>
  <c r="G1647" i="5"/>
  <c r="F1647" i="5"/>
  <c r="E1647" i="5"/>
  <c r="K1641" i="5"/>
  <c r="J1641" i="5"/>
  <c r="I1641" i="5"/>
  <c r="H1641" i="5"/>
  <c r="G1641" i="5"/>
  <c r="F1641" i="5"/>
  <c r="E1641" i="5"/>
  <c r="K1635" i="5"/>
  <c r="J1635" i="5"/>
  <c r="I1635" i="5"/>
  <c r="H1635" i="5"/>
  <c r="G1635" i="5"/>
  <c r="F1635" i="5"/>
  <c r="E1635" i="5"/>
  <c r="K1629" i="5"/>
  <c r="J1629" i="5"/>
  <c r="I1629" i="5"/>
  <c r="H1629" i="5"/>
  <c r="G1629" i="5"/>
  <c r="F1629" i="5"/>
  <c r="E1629" i="5"/>
  <c r="K1623" i="5"/>
  <c r="J1623" i="5"/>
  <c r="I1623" i="5"/>
  <c r="H1623" i="5"/>
  <c r="G1623" i="5"/>
  <c r="F1623" i="5"/>
  <c r="E1623" i="5"/>
  <c r="G1652" i="5" l="1"/>
  <c r="K1652" i="5"/>
  <c r="H1652" i="5"/>
  <c r="E1652" i="5"/>
  <c r="I1652" i="5"/>
  <c r="F1652" i="5"/>
  <c r="J1652" i="5"/>
  <c r="K1613" i="5" l="1"/>
  <c r="J1613" i="5"/>
  <c r="I1613" i="5"/>
  <c r="H1613" i="5"/>
  <c r="G1613" i="5"/>
  <c r="F1613" i="5"/>
  <c r="E1613" i="5"/>
  <c r="K1611" i="5"/>
  <c r="J1611" i="5"/>
  <c r="I1611" i="5"/>
  <c r="H1611" i="5"/>
  <c r="G1611" i="5"/>
  <c r="F1611" i="5"/>
  <c r="E1611" i="5"/>
  <c r="K1610" i="5"/>
  <c r="J1610" i="5"/>
  <c r="I1610" i="5"/>
  <c r="H1610" i="5"/>
  <c r="G1610" i="5"/>
  <c r="F1610" i="5"/>
  <c r="E1610" i="5"/>
  <c r="K1609" i="5"/>
  <c r="J1609" i="5"/>
  <c r="I1609" i="5"/>
  <c r="H1609" i="5"/>
  <c r="G1609" i="5"/>
  <c r="F1609" i="5"/>
  <c r="E1609" i="5"/>
  <c r="K1608" i="5"/>
  <c r="J1608" i="5"/>
  <c r="I1608" i="5"/>
  <c r="H1608" i="5"/>
  <c r="G1608" i="5"/>
  <c r="F1608" i="5"/>
  <c r="E1608" i="5"/>
  <c r="K1607" i="5"/>
  <c r="J1607" i="5"/>
  <c r="I1607" i="5"/>
  <c r="H1607" i="5"/>
  <c r="G1607" i="5"/>
  <c r="F1607" i="5"/>
  <c r="E1607" i="5"/>
  <c r="K1601" i="5"/>
  <c r="J1601" i="5"/>
  <c r="I1601" i="5"/>
  <c r="H1601" i="5"/>
  <c r="G1601" i="5"/>
  <c r="F1601" i="5"/>
  <c r="E1601" i="5"/>
  <c r="K1595" i="5"/>
  <c r="J1595" i="5"/>
  <c r="I1595" i="5"/>
  <c r="H1595" i="5"/>
  <c r="G1595" i="5"/>
  <c r="F1595" i="5"/>
  <c r="E1595" i="5"/>
  <c r="K1589" i="5"/>
  <c r="J1589" i="5"/>
  <c r="I1589" i="5"/>
  <c r="H1589" i="5"/>
  <c r="G1589" i="5"/>
  <c r="F1589" i="5"/>
  <c r="E1589" i="5"/>
  <c r="K1583" i="5"/>
  <c r="J1583" i="5"/>
  <c r="I1583" i="5"/>
  <c r="H1583" i="5"/>
  <c r="G1583" i="5"/>
  <c r="F1583" i="5"/>
  <c r="E1583" i="5"/>
  <c r="R99" i="4"/>
  <c r="S99" i="4"/>
  <c r="T99" i="4"/>
  <c r="U99" i="4"/>
  <c r="V99" i="4"/>
  <c r="W99" i="4"/>
  <c r="X99" i="4"/>
  <c r="Y99" i="4"/>
  <c r="Z99" i="4"/>
  <c r="AA99" i="4"/>
  <c r="AC99" i="4"/>
  <c r="R101" i="4"/>
  <c r="S101" i="4"/>
  <c r="T101" i="4"/>
  <c r="U101" i="4"/>
  <c r="V101" i="4"/>
  <c r="W101" i="4"/>
  <c r="X101" i="4"/>
  <c r="Y101" i="4"/>
  <c r="Z101" i="4"/>
  <c r="AA101" i="4"/>
  <c r="AC101" i="4"/>
  <c r="R95" i="4"/>
  <c r="S95" i="4"/>
  <c r="T95" i="4"/>
  <c r="U95" i="4"/>
  <c r="V95" i="4"/>
  <c r="W95" i="4"/>
  <c r="X95" i="4"/>
  <c r="Y95" i="4"/>
  <c r="Z95" i="4"/>
  <c r="AA95" i="4"/>
  <c r="AC95" i="4"/>
  <c r="R97" i="4"/>
  <c r="S97" i="4"/>
  <c r="T97" i="4"/>
  <c r="U97" i="4"/>
  <c r="V97" i="4"/>
  <c r="W97" i="4"/>
  <c r="X97" i="4"/>
  <c r="Y97" i="4"/>
  <c r="Z97" i="4"/>
  <c r="AA97" i="4"/>
  <c r="AC97" i="4"/>
  <c r="F1612" i="5" l="1"/>
  <c r="J1612" i="5"/>
  <c r="H1612" i="5"/>
  <c r="G1612" i="5"/>
  <c r="K1612" i="5"/>
  <c r="E1612" i="5"/>
  <c r="I1612" i="5"/>
  <c r="AC93" i="4"/>
  <c r="AC91" i="4"/>
  <c r="K1573" i="5" l="1"/>
  <c r="J1573" i="5"/>
  <c r="I1573" i="5"/>
  <c r="H1573" i="5"/>
  <c r="G1573" i="5"/>
  <c r="F1573" i="5"/>
  <c r="E1573" i="5"/>
  <c r="K1571" i="5"/>
  <c r="J1571" i="5"/>
  <c r="I1571" i="5"/>
  <c r="H1571" i="5"/>
  <c r="G1571" i="5"/>
  <c r="F1571" i="5"/>
  <c r="E1571" i="5"/>
  <c r="K1570" i="5"/>
  <c r="J1570" i="5"/>
  <c r="I1570" i="5"/>
  <c r="H1570" i="5"/>
  <c r="G1570" i="5"/>
  <c r="F1570" i="5"/>
  <c r="E1570" i="5"/>
  <c r="K1569" i="5"/>
  <c r="J1569" i="5"/>
  <c r="I1569" i="5"/>
  <c r="H1569" i="5"/>
  <c r="G1569" i="5"/>
  <c r="F1569" i="5"/>
  <c r="E1569" i="5"/>
  <c r="K1568" i="5"/>
  <c r="J1568" i="5"/>
  <c r="I1568" i="5"/>
  <c r="H1568" i="5"/>
  <c r="G1568" i="5"/>
  <c r="F1568" i="5"/>
  <c r="E1568" i="5"/>
  <c r="K1567" i="5"/>
  <c r="J1567" i="5"/>
  <c r="I1567" i="5"/>
  <c r="H1567" i="5"/>
  <c r="G1567" i="5"/>
  <c r="F1567" i="5"/>
  <c r="E1567" i="5"/>
  <c r="K1561" i="5"/>
  <c r="J1561" i="5"/>
  <c r="I1561" i="5"/>
  <c r="H1561" i="5"/>
  <c r="G1561" i="5"/>
  <c r="F1561" i="5"/>
  <c r="E1561" i="5"/>
  <c r="K1555" i="5"/>
  <c r="J1555" i="5"/>
  <c r="I1555" i="5"/>
  <c r="H1555" i="5"/>
  <c r="G1555" i="5"/>
  <c r="F1555" i="5"/>
  <c r="E1555" i="5"/>
  <c r="K1549" i="5"/>
  <c r="J1549" i="5"/>
  <c r="I1549" i="5"/>
  <c r="H1549" i="5"/>
  <c r="G1549" i="5"/>
  <c r="F1549" i="5"/>
  <c r="E1549" i="5"/>
  <c r="K1543" i="5"/>
  <c r="J1543" i="5"/>
  <c r="I1543" i="5"/>
  <c r="H1543" i="5"/>
  <c r="G1543" i="5"/>
  <c r="F1543" i="5"/>
  <c r="E1543" i="5"/>
  <c r="R93" i="4"/>
  <c r="S93" i="4"/>
  <c r="T93" i="4"/>
  <c r="U93" i="4"/>
  <c r="V93" i="4"/>
  <c r="W93" i="4"/>
  <c r="X93" i="4"/>
  <c r="Y93" i="4"/>
  <c r="Z93" i="4"/>
  <c r="AA93" i="4"/>
  <c r="E1572" i="5" l="1"/>
  <c r="I1572" i="5"/>
  <c r="F1572" i="5"/>
  <c r="J1572" i="5"/>
  <c r="H1572" i="5"/>
  <c r="G1572" i="5"/>
  <c r="K1572" i="5"/>
  <c r="K1533" i="5"/>
  <c r="J1533" i="5"/>
  <c r="I1533" i="5"/>
  <c r="H1533" i="5"/>
  <c r="G1533" i="5"/>
  <c r="F1533" i="5"/>
  <c r="E1533" i="5"/>
  <c r="K1531" i="5"/>
  <c r="J1531" i="5"/>
  <c r="I1531" i="5"/>
  <c r="H1531" i="5"/>
  <c r="G1531" i="5"/>
  <c r="F1531" i="5"/>
  <c r="E1531" i="5"/>
  <c r="K1530" i="5"/>
  <c r="J1530" i="5"/>
  <c r="I1530" i="5"/>
  <c r="H1530" i="5"/>
  <c r="G1530" i="5"/>
  <c r="F1530" i="5"/>
  <c r="E1530" i="5"/>
  <c r="K1529" i="5"/>
  <c r="J1529" i="5"/>
  <c r="I1529" i="5"/>
  <c r="H1529" i="5"/>
  <c r="G1529" i="5"/>
  <c r="F1529" i="5"/>
  <c r="E1529" i="5"/>
  <c r="K1528" i="5"/>
  <c r="J1528" i="5"/>
  <c r="I1528" i="5"/>
  <c r="H1528" i="5"/>
  <c r="G1528" i="5"/>
  <c r="F1528" i="5"/>
  <c r="E1528" i="5"/>
  <c r="K1527" i="5"/>
  <c r="J1527" i="5"/>
  <c r="I1527" i="5"/>
  <c r="H1527" i="5"/>
  <c r="G1527" i="5"/>
  <c r="F1527" i="5"/>
  <c r="E1527" i="5"/>
  <c r="K1521" i="5"/>
  <c r="J1521" i="5"/>
  <c r="I1521" i="5"/>
  <c r="H1521" i="5"/>
  <c r="G1521" i="5"/>
  <c r="F1521" i="5"/>
  <c r="E1521" i="5"/>
  <c r="K1515" i="5"/>
  <c r="J1515" i="5"/>
  <c r="I1515" i="5"/>
  <c r="H1515" i="5"/>
  <c r="G1515" i="5"/>
  <c r="F1515" i="5"/>
  <c r="E1515" i="5"/>
  <c r="K1509" i="5"/>
  <c r="J1509" i="5"/>
  <c r="I1509" i="5"/>
  <c r="H1509" i="5"/>
  <c r="G1509" i="5"/>
  <c r="F1509" i="5"/>
  <c r="E1509" i="5"/>
  <c r="K1503" i="5"/>
  <c r="J1503" i="5"/>
  <c r="I1503" i="5"/>
  <c r="H1503" i="5"/>
  <c r="G1503" i="5"/>
  <c r="F1503" i="5"/>
  <c r="E1503" i="5"/>
  <c r="H1532" i="5" l="1"/>
  <c r="I1532" i="5"/>
  <c r="F1532" i="5"/>
  <c r="J1532" i="5"/>
  <c r="E1532" i="5"/>
  <c r="G1532" i="5"/>
  <c r="K1532" i="5"/>
  <c r="E1493" i="5"/>
  <c r="Z51" i="23" l="1"/>
  <c r="Y51" i="23"/>
  <c r="X51" i="23"/>
  <c r="W51" i="23"/>
  <c r="V51" i="23"/>
  <c r="U51" i="23"/>
  <c r="T51" i="23"/>
  <c r="S51" i="23"/>
  <c r="R51" i="23"/>
  <c r="Q51" i="23"/>
  <c r="P51" i="23"/>
  <c r="Z49" i="23"/>
  <c r="Y49" i="23"/>
  <c r="X49" i="23"/>
  <c r="W49" i="23"/>
  <c r="V49" i="23"/>
  <c r="U49" i="23"/>
  <c r="T49" i="23"/>
  <c r="S49" i="23"/>
  <c r="R49" i="23"/>
  <c r="Q49" i="23"/>
  <c r="P49" i="23"/>
  <c r="Z47" i="23"/>
  <c r="Y47" i="23"/>
  <c r="X47" i="23"/>
  <c r="W47" i="23"/>
  <c r="V47" i="23"/>
  <c r="U47" i="23"/>
  <c r="T47" i="23"/>
  <c r="S47" i="23"/>
  <c r="R47" i="23"/>
  <c r="Q47" i="23"/>
  <c r="P47" i="23"/>
  <c r="Z45" i="23"/>
  <c r="Y45" i="23"/>
  <c r="X45" i="23"/>
  <c r="W45" i="23"/>
  <c r="V45" i="23"/>
  <c r="U45" i="23"/>
  <c r="T45" i="23"/>
  <c r="S45" i="23"/>
  <c r="R45" i="23"/>
  <c r="Q45" i="23"/>
  <c r="P45" i="23"/>
  <c r="Z43" i="23"/>
  <c r="Y43" i="23"/>
  <c r="X43" i="23"/>
  <c r="W43" i="23"/>
  <c r="V43" i="23"/>
  <c r="U43" i="23"/>
  <c r="T43" i="23"/>
  <c r="S43" i="23"/>
  <c r="R43" i="23"/>
  <c r="Q43" i="23"/>
  <c r="P43" i="23"/>
  <c r="Z41" i="23"/>
  <c r="Y41" i="23"/>
  <c r="X41" i="23"/>
  <c r="W41" i="23"/>
  <c r="V41" i="23"/>
  <c r="U41" i="23"/>
  <c r="T41" i="23"/>
  <c r="S41" i="23"/>
  <c r="R41" i="23"/>
  <c r="Q41" i="23"/>
  <c r="P41" i="23"/>
  <c r="Z39" i="23"/>
  <c r="Y39" i="23"/>
  <c r="X39" i="23"/>
  <c r="W39" i="23"/>
  <c r="V39" i="23"/>
  <c r="U39" i="23"/>
  <c r="T39" i="23"/>
  <c r="S39" i="23"/>
  <c r="R39" i="23"/>
  <c r="Q39" i="23"/>
  <c r="P39" i="23"/>
  <c r="Z37" i="23"/>
  <c r="Y37" i="23"/>
  <c r="X37" i="23"/>
  <c r="W37" i="23"/>
  <c r="V37" i="23"/>
  <c r="U37" i="23"/>
  <c r="T37" i="23"/>
  <c r="S37" i="23"/>
  <c r="R37" i="23"/>
  <c r="Q37" i="23"/>
  <c r="P37" i="23"/>
  <c r="Z35" i="23"/>
  <c r="Y35" i="23"/>
  <c r="X35" i="23"/>
  <c r="W35" i="23"/>
  <c r="V35" i="23"/>
  <c r="U35" i="23"/>
  <c r="T35" i="23"/>
  <c r="S35" i="23"/>
  <c r="R35" i="23"/>
  <c r="Q35" i="23"/>
  <c r="P35" i="23"/>
  <c r="Z33" i="23"/>
  <c r="Y33" i="23"/>
  <c r="X33" i="23"/>
  <c r="W33" i="23"/>
  <c r="V33" i="23"/>
  <c r="U33" i="23"/>
  <c r="T33" i="23"/>
  <c r="S33" i="23"/>
  <c r="R33" i="23"/>
  <c r="Q33" i="23"/>
  <c r="P33" i="23"/>
  <c r="Z31" i="23"/>
  <c r="Y31" i="23"/>
  <c r="X31" i="23"/>
  <c r="W31" i="23"/>
  <c r="V31" i="23"/>
  <c r="U31" i="23"/>
  <c r="T31" i="23"/>
  <c r="S31" i="23"/>
  <c r="R31" i="23"/>
  <c r="Q31" i="23"/>
  <c r="P31" i="23"/>
  <c r="Z29" i="23"/>
  <c r="Y29" i="23"/>
  <c r="X29" i="23"/>
  <c r="W29" i="23"/>
  <c r="V29" i="23"/>
  <c r="U29" i="23"/>
  <c r="T29" i="23"/>
  <c r="S29" i="23"/>
  <c r="R29" i="23"/>
  <c r="Q29" i="23"/>
  <c r="P29" i="23"/>
  <c r="Z27" i="23"/>
  <c r="Y27" i="23"/>
  <c r="X27" i="23"/>
  <c r="W27" i="23"/>
  <c r="V27" i="23"/>
  <c r="U27" i="23"/>
  <c r="T27" i="23"/>
  <c r="S27" i="23"/>
  <c r="R27" i="23"/>
  <c r="Q27" i="23"/>
  <c r="P27" i="23"/>
  <c r="Z25" i="23"/>
  <c r="Y25" i="23"/>
  <c r="X25" i="23"/>
  <c r="W25" i="23"/>
  <c r="V25" i="23"/>
  <c r="U25" i="23"/>
  <c r="T25" i="23"/>
  <c r="S25" i="23"/>
  <c r="R25" i="23"/>
  <c r="Q25" i="23"/>
  <c r="P25" i="23"/>
  <c r="Z23" i="23"/>
  <c r="Y23" i="23"/>
  <c r="X23" i="23"/>
  <c r="W23" i="23"/>
  <c r="V23" i="23"/>
  <c r="U23" i="23"/>
  <c r="T23" i="23"/>
  <c r="S23" i="23"/>
  <c r="R23" i="23"/>
  <c r="Q23" i="23"/>
  <c r="P23" i="23"/>
  <c r="Z21" i="23"/>
  <c r="Y21" i="23"/>
  <c r="X21" i="23"/>
  <c r="W21" i="23"/>
  <c r="V21" i="23"/>
  <c r="U21" i="23"/>
  <c r="T21" i="23"/>
  <c r="S21" i="23"/>
  <c r="R21" i="23"/>
  <c r="Q21" i="23"/>
  <c r="P21" i="23"/>
  <c r="Z19" i="23"/>
  <c r="Y19" i="23"/>
  <c r="X19" i="23"/>
  <c r="W19" i="23"/>
  <c r="V19" i="23"/>
  <c r="U19" i="23"/>
  <c r="T19" i="23"/>
  <c r="S19" i="23"/>
  <c r="R19" i="23"/>
  <c r="Q19" i="23"/>
  <c r="P19" i="23"/>
  <c r="Z17" i="23"/>
  <c r="Y17" i="23"/>
  <c r="X17" i="23"/>
  <c r="W17" i="23"/>
  <c r="V17" i="23"/>
  <c r="U17" i="23"/>
  <c r="T17" i="23"/>
  <c r="S17" i="23"/>
  <c r="R17" i="23"/>
  <c r="Q17" i="23"/>
  <c r="P17" i="23"/>
  <c r="Z15" i="23"/>
  <c r="Y15" i="23"/>
  <c r="X15" i="23"/>
  <c r="W15" i="23"/>
  <c r="V15" i="23"/>
  <c r="U15" i="23"/>
  <c r="T15" i="23"/>
  <c r="S15" i="23"/>
  <c r="R15" i="23"/>
  <c r="Q15" i="23"/>
  <c r="P15" i="23"/>
  <c r="Z13" i="23"/>
  <c r="Y13" i="23"/>
  <c r="X13" i="23"/>
  <c r="W13" i="23"/>
  <c r="V13" i="23"/>
  <c r="U13" i="23"/>
  <c r="T13" i="23"/>
  <c r="S13" i="23"/>
  <c r="R13" i="23"/>
  <c r="Q13" i="23"/>
  <c r="P13" i="23"/>
  <c r="Z11" i="23"/>
  <c r="Y11" i="23"/>
  <c r="X11" i="23"/>
  <c r="W11" i="23"/>
  <c r="V11" i="23"/>
  <c r="U11" i="23"/>
  <c r="T11" i="23"/>
  <c r="S11" i="23"/>
  <c r="R11" i="23"/>
  <c r="Q11" i="23"/>
  <c r="P11" i="23"/>
  <c r="Z9" i="23"/>
  <c r="Y9" i="23"/>
  <c r="X9" i="23"/>
  <c r="W9" i="23"/>
  <c r="V9" i="23"/>
  <c r="U9" i="23"/>
  <c r="T9" i="23"/>
  <c r="S9" i="23"/>
  <c r="R9" i="23"/>
  <c r="Q9" i="23"/>
  <c r="P9" i="23"/>
  <c r="Z7" i="23"/>
  <c r="Y7" i="23"/>
  <c r="X7" i="23"/>
  <c r="W7" i="23"/>
  <c r="V7" i="23"/>
  <c r="U7" i="23"/>
  <c r="T7" i="23"/>
  <c r="S7" i="23"/>
  <c r="R7" i="23"/>
  <c r="Q7" i="23"/>
  <c r="P7" i="23"/>
  <c r="R89" i="4" l="1"/>
  <c r="S89" i="4"/>
  <c r="T89" i="4"/>
  <c r="U89" i="4"/>
  <c r="V89" i="4"/>
  <c r="W89" i="4"/>
  <c r="X89" i="4"/>
  <c r="Y89" i="4"/>
  <c r="Z89" i="4"/>
  <c r="AA89" i="4"/>
  <c r="AC89" i="4"/>
  <c r="R91" i="4"/>
  <c r="S91" i="4"/>
  <c r="T91" i="4"/>
  <c r="U91" i="4"/>
  <c r="V91" i="4"/>
  <c r="W91" i="4"/>
  <c r="X91" i="4"/>
  <c r="Y91" i="4"/>
  <c r="Z91" i="4"/>
  <c r="AA91" i="4"/>
  <c r="K1493" i="5" l="1"/>
  <c r="J1493" i="5"/>
  <c r="I1493" i="5"/>
  <c r="H1493" i="5"/>
  <c r="G1493" i="5"/>
  <c r="F1493" i="5"/>
  <c r="K1491" i="5"/>
  <c r="J1491" i="5"/>
  <c r="I1491" i="5"/>
  <c r="H1491" i="5"/>
  <c r="G1491" i="5"/>
  <c r="F1491" i="5"/>
  <c r="E1491" i="5"/>
  <c r="K1490" i="5"/>
  <c r="J1490" i="5"/>
  <c r="I1490" i="5"/>
  <c r="H1490" i="5"/>
  <c r="G1490" i="5"/>
  <c r="F1490" i="5"/>
  <c r="E1490" i="5"/>
  <c r="K1489" i="5"/>
  <c r="J1489" i="5"/>
  <c r="I1489" i="5"/>
  <c r="H1489" i="5"/>
  <c r="G1489" i="5"/>
  <c r="F1489" i="5"/>
  <c r="E1489" i="5"/>
  <c r="K1488" i="5"/>
  <c r="J1488" i="5"/>
  <c r="I1488" i="5"/>
  <c r="H1488" i="5"/>
  <c r="G1488" i="5"/>
  <c r="F1488" i="5"/>
  <c r="E1488" i="5"/>
  <c r="K1487" i="5"/>
  <c r="J1487" i="5"/>
  <c r="I1487" i="5"/>
  <c r="H1487" i="5"/>
  <c r="G1487" i="5"/>
  <c r="F1487" i="5"/>
  <c r="E1487" i="5"/>
  <c r="K1481" i="5"/>
  <c r="J1481" i="5"/>
  <c r="I1481" i="5"/>
  <c r="H1481" i="5"/>
  <c r="G1481" i="5"/>
  <c r="F1481" i="5"/>
  <c r="E1481" i="5"/>
  <c r="K1475" i="5"/>
  <c r="J1475" i="5"/>
  <c r="I1475" i="5"/>
  <c r="H1475" i="5"/>
  <c r="G1475" i="5"/>
  <c r="F1475" i="5"/>
  <c r="E1475" i="5"/>
  <c r="K1469" i="5"/>
  <c r="J1469" i="5"/>
  <c r="I1469" i="5"/>
  <c r="H1469" i="5"/>
  <c r="G1469" i="5"/>
  <c r="F1469" i="5"/>
  <c r="E1469" i="5"/>
  <c r="K1463" i="5"/>
  <c r="J1463" i="5"/>
  <c r="I1463" i="5"/>
  <c r="H1463" i="5"/>
  <c r="G1463" i="5"/>
  <c r="F1463" i="5"/>
  <c r="E1463" i="5"/>
  <c r="G1492" i="5" l="1"/>
  <c r="H1492" i="5"/>
  <c r="K1492" i="5"/>
  <c r="E1492" i="5"/>
  <c r="I1492" i="5"/>
  <c r="F1492" i="5"/>
  <c r="J1492" i="5"/>
  <c r="K1453" i="5"/>
  <c r="J1453" i="5"/>
  <c r="I1453" i="5"/>
  <c r="H1453" i="5"/>
  <c r="G1453" i="5"/>
  <c r="F1453" i="5"/>
  <c r="E1453" i="5"/>
  <c r="K1451" i="5"/>
  <c r="J1451" i="5"/>
  <c r="I1451" i="5"/>
  <c r="H1451" i="5"/>
  <c r="G1451" i="5"/>
  <c r="F1451" i="5"/>
  <c r="E1451" i="5"/>
  <c r="K1450" i="5"/>
  <c r="J1450" i="5"/>
  <c r="I1450" i="5"/>
  <c r="H1450" i="5"/>
  <c r="G1450" i="5"/>
  <c r="F1450" i="5"/>
  <c r="E1450" i="5"/>
  <c r="K1449" i="5"/>
  <c r="J1449" i="5"/>
  <c r="I1449" i="5"/>
  <c r="H1449" i="5"/>
  <c r="G1449" i="5"/>
  <c r="F1449" i="5"/>
  <c r="E1449" i="5"/>
  <c r="K1448" i="5"/>
  <c r="J1448" i="5"/>
  <c r="I1448" i="5"/>
  <c r="H1448" i="5"/>
  <c r="G1448" i="5"/>
  <c r="F1448" i="5"/>
  <c r="E1448" i="5"/>
  <c r="K1447" i="5"/>
  <c r="J1447" i="5"/>
  <c r="I1447" i="5"/>
  <c r="H1447" i="5"/>
  <c r="G1447" i="5"/>
  <c r="F1447" i="5"/>
  <c r="E1447" i="5"/>
  <c r="K1441" i="5"/>
  <c r="J1441" i="5"/>
  <c r="I1441" i="5"/>
  <c r="H1441" i="5"/>
  <c r="G1441" i="5"/>
  <c r="F1441" i="5"/>
  <c r="E1441" i="5"/>
  <c r="K1435" i="5"/>
  <c r="J1435" i="5"/>
  <c r="I1435" i="5"/>
  <c r="H1435" i="5"/>
  <c r="G1435" i="5"/>
  <c r="F1435" i="5"/>
  <c r="E1435" i="5"/>
  <c r="K1429" i="5"/>
  <c r="J1429" i="5"/>
  <c r="I1429" i="5"/>
  <c r="H1429" i="5"/>
  <c r="G1429" i="5"/>
  <c r="F1429" i="5"/>
  <c r="E1429" i="5"/>
  <c r="K1423" i="5"/>
  <c r="J1423" i="5"/>
  <c r="I1423" i="5"/>
  <c r="H1423" i="5"/>
  <c r="G1423" i="5"/>
  <c r="F1423" i="5"/>
  <c r="E1423" i="5"/>
  <c r="K1452" i="5" l="1"/>
  <c r="G1452" i="5"/>
  <c r="H1452" i="5"/>
  <c r="E1452" i="5"/>
  <c r="I1452" i="5"/>
  <c r="J1452" i="5"/>
  <c r="F1452" i="5"/>
  <c r="R85" i="4" l="1"/>
  <c r="S85" i="4"/>
  <c r="T85" i="4"/>
  <c r="U85" i="4"/>
  <c r="V85" i="4"/>
  <c r="W85" i="4"/>
  <c r="X85" i="4"/>
  <c r="Y85" i="4"/>
  <c r="Z85" i="4"/>
  <c r="AA85" i="4"/>
  <c r="AC85" i="4"/>
  <c r="R87" i="4"/>
  <c r="S87" i="4"/>
  <c r="T87" i="4"/>
  <c r="U87" i="4"/>
  <c r="V87" i="4"/>
  <c r="W87" i="4"/>
  <c r="X87" i="4"/>
  <c r="Y87" i="4"/>
  <c r="Z87" i="4"/>
  <c r="AA87" i="4"/>
  <c r="AC87" i="4"/>
  <c r="R83" i="4"/>
  <c r="S83" i="4"/>
  <c r="T83" i="4"/>
  <c r="U83" i="4"/>
  <c r="V83" i="4"/>
  <c r="W83" i="4"/>
  <c r="X83" i="4"/>
  <c r="Y83" i="4"/>
  <c r="Z83" i="4"/>
  <c r="AA83" i="4"/>
  <c r="AC83" i="4"/>
  <c r="K1413" i="5" l="1"/>
  <c r="J1413" i="5"/>
  <c r="I1413" i="5"/>
  <c r="H1413" i="5"/>
  <c r="G1413" i="5"/>
  <c r="F1413" i="5"/>
  <c r="E1413" i="5"/>
  <c r="K1411" i="5"/>
  <c r="J1411" i="5"/>
  <c r="I1411" i="5"/>
  <c r="H1411" i="5"/>
  <c r="G1411" i="5"/>
  <c r="F1411" i="5"/>
  <c r="E1411" i="5"/>
  <c r="K1410" i="5"/>
  <c r="J1410" i="5"/>
  <c r="I1410" i="5"/>
  <c r="H1410" i="5"/>
  <c r="G1410" i="5"/>
  <c r="F1410" i="5"/>
  <c r="E1410" i="5"/>
  <c r="K1409" i="5"/>
  <c r="J1409" i="5"/>
  <c r="I1409" i="5"/>
  <c r="H1409" i="5"/>
  <c r="G1409" i="5"/>
  <c r="F1409" i="5"/>
  <c r="E1409" i="5"/>
  <c r="K1408" i="5"/>
  <c r="J1408" i="5"/>
  <c r="I1408" i="5"/>
  <c r="H1408" i="5"/>
  <c r="G1408" i="5"/>
  <c r="F1408" i="5"/>
  <c r="E1408" i="5"/>
  <c r="K1407" i="5"/>
  <c r="J1407" i="5"/>
  <c r="I1407" i="5"/>
  <c r="H1407" i="5"/>
  <c r="G1407" i="5"/>
  <c r="F1407" i="5"/>
  <c r="E1407" i="5"/>
  <c r="K1401" i="5"/>
  <c r="J1401" i="5"/>
  <c r="I1401" i="5"/>
  <c r="H1401" i="5"/>
  <c r="G1401" i="5"/>
  <c r="F1401" i="5"/>
  <c r="E1401" i="5"/>
  <c r="K1395" i="5"/>
  <c r="J1395" i="5"/>
  <c r="I1395" i="5"/>
  <c r="H1395" i="5"/>
  <c r="G1395" i="5"/>
  <c r="F1395" i="5"/>
  <c r="E1395" i="5"/>
  <c r="K1389" i="5"/>
  <c r="J1389" i="5"/>
  <c r="I1389" i="5"/>
  <c r="H1389" i="5"/>
  <c r="G1389" i="5"/>
  <c r="F1389" i="5"/>
  <c r="E1389" i="5"/>
  <c r="K1383" i="5"/>
  <c r="J1383" i="5"/>
  <c r="I1383" i="5"/>
  <c r="H1383" i="5"/>
  <c r="G1383" i="5"/>
  <c r="F1383" i="5"/>
  <c r="E1383" i="5"/>
  <c r="K1412" i="5" l="1"/>
  <c r="G1412" i="5"/>
  <c r="H1412" i="5"/>
  <c r="E1412" i="5"/>
  <c r="I1412" i="5"/>
  <c r="F1412" i="5"/>
  <c r="J1412" i="5"/>
  <c r="K1373" i="5"/>
  <c r="J1373" i="5"/>
  <c r="I1373" i="5"/>
  <c r="H1373" i="5"/>
  <c r="G1373" i="5"/>
  <c r="F1373" i="5"/>
  <c r="E1373" i="5"/>
  <c r="K1371" i="5"/>
  <c r="J1371" i="5"/>
  <c r="I1371" i="5"/>
  <c r="H1371" i="5"/>
  <c r="G1371" i="5"/>
  <c r="F1371" i="5"/>
  <c r="E1371" i="5"/>
  <c r="K1370" i="5"/>
  <c r="J1370" i="5"/>
  <c r="I1370" i="5"/>
  <c r="H1370" i="5"/>
  <c r="G1370" i="5"/>
  <c r="F1370" i="5"/>
  <c r="E1370" i="5"/>
  <c r="K1369" i="5"/>
  <c r="J1369" i="5"/>
  <c r="I1369" i="5"/>
  <c r="H1369" i="5"/>
  <c r="G1369" i="5"/>
  <c r="F1369" i="5"/>
  <c r="E1369" i="5"/>
  <c r="K1368" i="5"/>
  <c r="J1368" i="5"/>
  <c r="I1368" i="5"/>
  <c r="H1368" i="5"/>
  <c r="G1368" i="5"/>
  <c r="F1368" i="5"/>
  <c r="E1368" i="5"/>
  <c r="K1367" i="5"/>
  <c r="J1367" i="5"/>
  <c r="I1367" i="5"/>
  <c r="H1367" i="5"/>
  <c r="G1367" i="5"/>
  <c r="F1367" i="5"/>
  <c r="E1367" i="5"/>
  <c r="K1361" i="5"/>
  <c r="J1361" i="5"/>
  <c r="I1361" i="5"/>
  <c r="H1361" i="5"/>
  <c r="G1361" i="5"/>
  <c r="F1361" i="5"/>
  <c r="E1361" i="5"/>
  <c r="K1355" i="5"/>
  <c r="J1355" i="5"/>
  <c r="I1355" i="5"/>
  <c r="H1355" i="5"/>
  <c r="G1355" i="5"/>
  <c r="F1355" i="5"/>
  <c r="E1355" i="5"/>
  <c r="K1349" i="5"/>
  <c r="J1349" i="5"/>
  <c r="I1349" i="5"/>
  <c r="H1349" i="5"/>
  <c r="G1349" i="5"/>
  <c r="F1349" i="5"/>
  <c r="E1349" i="5"/>
  <c r="K1343" i="5"/>
  <c r="J1343" i="5"/>
  <c r="I1343" i="5"/>
  <c r="H1343" i="5"/>
  <c r="G1343" i="5"/>
  <c r="F1343" i="5"/>
  <c r="E1343" i="5"/>
  <c r="H1372" i="5" l="1"/>
  <c r="F1372" i="5"/>
  <c r="J1372" i="5"/>
  <c r="G1372" i="5"/>
  <c r="K1372" i="5"/>
  <c r="E1372" i="5"/>
  <c r="I1372" i="5"/>
  <c r="K1333" i="5" l="1"/>
  <c r="J1333" i="5"/>
  <c r="I1333" i="5"/>
  <c r="H1333" i="5"/>
  <c r="G1333" i="5"/>
  <c r="F1333" i="5"/>
  <c r="E1333" i="5"/>
  <c r="K1331" i="5"/>
  <c r="J1331" i="5"/>
  <c r="I1331" i="5"/>
  <c r="H1331" i="5"/>
  <c r="G1331" i="5"/>
  <c r="F1331" i="5"/>
  <c r="E1331" i="5"/>
  <c r="K1330" i="5"/>
  <c r="J1330" i="5"/>
  <c r="I1330" i="5"/>
  <c r="H1330" i="5"/>
  <c r="G1330" i="5"/>
  <c r="F1330" i="5"/>
  <c r="E1330" i="5"/>
  <c r="K1329" i="5"/>
  <c r="J1329" i="5"/>
  <c r="I1329" i="5"/>
  <c r="H1329" i="5"/>
  <c r="G1329" i="5"/>
  <c r="F1329" i="5"/>
  <c r="E1329" i="5"/>
  <c r="K1328" i="5"/>
  <c r="J1328" i="5"/>
  <c r="I1328" i="5"/>
  <c r="H1328" i="5"/>
  <c r="G1328" i="5"/>
  <c r="F1328" i="5"/>
  <c r="E1328" i="5"/>
  <c r="K1327" i="5"/>
  <c r="J1327" i="5"/>
  <c r="I1327" i="5"/>
  <c r="H1327" i="5"/>
  <c r="G1327" i="5"/>
  <c r="F1327" i="5"/>
  <c r="E1327" i="5"/>
  <c r="K1321" i="5"/>
  <c r="J1321" i="5"/>
  <c r="I1321" i="5"/>
  <c r="H1321" i="5"/>
  <c r="G1321" i="5"/>
  <c r="F1321" i="5"/>
  <c r="E1321" i="5"/>
  <c r="K1315" i="5"/>
  <c r="J1315" i="5"/>
  <c r="I1315" i="5"/>
  <c r="H1315" i="5"/>
  <c r="G1315" i="5"/>
  <c r="F1315" i="5"/>
  <c r="E1315" i="5"/>
  <c r="K1309" i="5"/>
  <c r="J1309" i="5"/>
  <c r="I1309" i="5"/>
  <c r="H1309" i="5"/>
  <c r="G1309" i="5"/>
  <c r="F1309" i="5"/>
  <c r="E1309" i="5"/>
  <c r="K1303" i="5"/>
  <c r="J1303" i="5"/>
  <c r="I1303" i="5"/>
  <c r="H1303" i="5"/>
  <c r="G1303" i="5"/>
  <c r="F1303" i="5"/>
  <c r="E1303" i="5"/>
  <c r="E1332" i="5" l="1"/>
  <c r="I1332" i="5"/>
  <c r="F1332" i="5"/>
  <c r="J1332" i="5"/>
  <c r="K1332" i="5"/>
  <c r="H1332" i="5"/>
  <c r="G1332" i="5"/>
  <c r="R79" i="4" l="1"/>
  <c r="S79" i="4"/>
  <c r="T79" i="4"/>
  <c r="U79" i="4"/>
  <c r="V79" i="4"/>
  <c r="W79" i="4"/>
  <c r="X79" i="4"/>
  <c r="Y79" i="4"/>
  <c r="Z79" i="4"/>
  <c r="AA79" i="4"/>
  <c r="AC79" i="4"/>
  <c r="R81" i="4"/>
  <c r="S81" i="4"/>
  <c r="T81" i="4"/>
  <c r="U81" i="4"/>
  <c r="V81" i="4"/>
  <c r="W81" i="4"/>
  <c r="X81" i="4"/>
  <c r="Y81" i="4"/>
  <c r="Z81" i="4"/>
  <c r="AA81" i="4"/>
  <c r="AC81" i="4"/>
  <c r="K1293" i="5" l="1"/>
  <c r="J1293" i="5"/>
  <c r="I1293" i="5"/>
  <c r="H1293" i="5"/>
  <c r="G1293" i="5"/>
  <c r="F1293" i="5"/>
  <c r="E1293" i="5"/>
  <c r="K1291" i="5"/>
  <c r="J1291" i="5"/>
  <c r="I1291" i="5"/>
  <c r="H1291" i="5"/>
  <c r="G1291" i="5"/>
  <c r="F1291" i="5"/>
  <c r="E1291" i="5"/>
  <c r="K1290" i="5"/>
  <c r="J1290" i="5"/>
  <c r="I1290" i="5"/>
  <c r="H1290" i="5"/>
  <c r="G1290" i="5"/>
  <c r="F1290" i="5"/>
  <c r="E1290" i="5"/>
  <c r="K1289" i="5"/>
  <c r="J1289" i="5"/>
  <c r="I1289" i="5"/>
  <c r="H1289" i="5"/>
  <c r="G1289" i="5"/>
  <c r="F1289" i="5"/>
  <c r="E1289" i="5"/>
  <c r="K1288" i="5"/>
  <c r="J1288" i="5"/>
  <c r="I1288" i="5"/>
  <c r="H1288" i="5"/>
  <c r="G1288" i="5"/>
  <c r="F1288" i="5"/>
  <c r="E1288" i="5"/>
  <c r="K1287" i="5"/>
  <c r="J1287" i="5"/>
  <c r="I1287" i="5"/>
  <c r="H1287" i="5"/>
  <c r="G1287" i="5"/>
  <c r="F1287" i="5"/>
  <c r="E1287" i="5"/>
  <c r="K1281" i="5"/>
  <c r="J1281" i="5"/>
  <c r="I1281" i="5"/>
  <c r="H1281" i="5"/>
  <c r="G1281" i="5"/>
  <c r="F1281" i="5"/>
  <c r="E1281" i="5"/>
  <c r="K1275" i="5"/>
  <c r="J1275" i="5"/>
  <c r="I1275" i="5"/>
  <c r="H1275" i="5"/>
  <c r="G1275" i="5"/>
  <c r="F1275" i="5"/>
  <c r="E1275" i="5"/>
  <c r="K1269" i="5"/>
  <c r="J1269" i="5"/>
  <c r="I1269" i="5"/>
  <c r="H1269" i="5"/>
  <c r="G1269" i="5"/>
  <c r="F1269" i="5"/>
  <c r="E1269" i="5"/>
  <c r="K1263" i="5"/>
  <c r="J1263" i="5"/>
  <c r="I1263" i="5"/>
  <c r="H1263" i="5"/>
  <c r="G1263" i="5"/>
  <c r="F1263" i="5"/>
  <c r="E1263" i="5"/>
  <c r="K1253" i="5"/>
  <c r="J1253" i="5"/>
  <c r="I1253" i="5"/>
  <c r="H1253" i="5"/>
  <c r="G1253" i="5"/>
  <c r="F1253" i="5"/>
  <c r="E1253" i="5"/>
  <c r="K1251" i="5"/>
  <c r="J1251" i="5"/>
  <c r="I1251" i="5"/>
  <c r="H1251" i="5"/>
  <c r="G1251" i="5"/>
  <c r="F1251" i="5"/>
  <c r="E1251" i="5"/>
  <c r="K1250" i="5"/>
  <c r="J1250" i="5"/>
  <c r="I1250" i="5"/>
  <c r="H1250" i="5"/>
  <c r="G1250" i="5"/>
  <c r="F1250" i="5"/>
  <c r="E1250" i="5"/>
  <c r="K1249" i="5"/>
  <c r="J1249" i="5"/>
  <c r="I1249" i="5"/>
  <c r="H1249" i="5"/>
  <c r="G1249" i="5"/>
  <c r="F1249" i="5"/>
  <c r="E1249" i="5"/>
  <c r="K1248" i="5"/>
  <c r="J1248" i="5"/>
  <c r="I1248" i="5"/>
  <c r="H1248" i="5"/>
  <c r="G1248" i="5"/>
  <c r="F1248" i="5"/>
  <c r="E1248" i="5"/>
  <c r="K1247" i="5"/>
  <c r="J1247" i="5"/>
  <c r="I1247" i="5"/>
  <c r="H1247" i="5"/>
  <c r="G1247" i="5"/>
  <c r="F1247" i="5"/>
  <c r="E1247" i="5"/>
  <c r="K1241" i="5"/>
  <c r="J1241" i="5"/>
  <c r="I1241" i="5"/>
  <c r="H1241" i="5"/>
  <c r="G1241" i="5"/>
  <c r="F1241" i="5"/>
  <c r="E1241" i="5"/>
  <c r="K1235" i="5"/>
  <c r="J1235" i="5"/>
  <c r="I1235" i="5"/>
  <c r="H1235" i="5"/>
  <c r="G1235" i="5"/>
  <c r="F1235" i="5"/>
  <c r="E1235" i="5"/>
  <c r="K1229" i="5"/>
  <c r="J1229" i="5"/>
  <c r="I1229" i="5"/>
  <c r="H1229" i="5"/>
  <c r="G1229" i="5"/>
  <c r="F1229" i="5"/>
  <c r="E1229" i="5"/>
  <c r="K1223" i="5"/>
  <c r="J1223" i="5"/>
  <c r="I1223" i="5"/>
  <c r="H1223" i="5"/>
  <c r="G1223" i="5"/>
  <c r="F1223" i="5"/>
  <c r="E1223" i="5"/>
  <c r="F1292" i="5" l="1"/>
  <c r="H1292" i="5"/>
  <c r="K1292" i="5"/>
  <c r="G1292" i="5"/>
  <c r="E1292" i="5"/>
  <c r="J1292" i="5"/>
  <c r="I1292" i="5"/>
  <c r="E1252" i="5"/>
  <c r="K1252" i="5"/>
  <c r="I1252" i="5"/>
  <c r="G1252" i="5"/>
  <c r="F1252" i="5"/>
  <c r="H1252" i="5"/>
  <c r="J1252" i="5"/>
  <c r="R75" i="4"/>
  <c r="S75" i="4"/>
  <c r="T75" i="4"/>
  <c r="U75" i="4"/>
  <c r="V75" i="4"/>
  <c r="W75" i="4"/>
  <c r="X75" i="4"/>
  <c r="Y75" i="4"/>
  <c r="Z75" i="4"/>
  <c r="AA75" i="4"/>
  <c r="AC75" i="4"/>
  <c r="R77" i="4"/>
  <c r="S77" i="4"/>
  <c r="T77" i="4"/>
  <c r="U77" i="4"/>
  <c r="V77" i="4"/>
  <c r="W77" i="4"/>
  <c r="X77" i="4"/>
  <c r="Y77" i="4"/>
  <c r="Z77" i="4"/>
  <c r="AA77" i="4"/>
  <c r="AC77" i="4"/>
  <c r="K1213" i="5" l="1"/>
  <c r="J1213" i="5"/>
  <c r="I1213" i="5"/>
  <c r="H1213" i="5"/>
  <c r="G1213" i="5"/>
  <c r="F1213" i="5"/>
  <c r="E1213" i="5"/>
  <c r="K1211" i="5"/>
  <c r="J1211" i="5"/>
  <c r="I1211" i="5"/>
  <c r="H1211" i="5"/>
  <c r="G1211" i="5"/>
  <c r="F1211" i="5"/>
  <c r="E1211" i="5"/>
  <c r="K1210" i="5"/>
  <c r="J1210" i="5"/>
  <c r="I1210" i="5"/>
  <c r="H1210" i="5"/>
  <c r="G1210" i="5"/>
  <c r="F1210" i="5"/>
  <c r="E1210" i="5"/>
  <c r="K1209" i="5"/>
  <c r="J1209" i="5"/>
  <c r="I1209" i="5"/>
  <c r="H1209" i="5"/>
  <c r="G1209" i="5"/>
  <c r="F1209" i="5"/>
  <c r="E1209" i="5"/>
  <c r="K1208" i="5"/>
  <c r="J1208" i="5"/>
  <c r="I1208" i="5"/>
  <c r="H1208" i="5"/>
  <c r="G1208" i="5"/>
  <c r="F1208" i="5"/>
  <c r="E1208" i="5"/>
  <c r="K1207" i="5"/>
  <c r="J1207" i="5"/>
  <c r="I1207" i="5"/>
  <c r="H1207" i="5"/>
  <c r="G1207" i="5"/>
  <c r="F1207" i="5"/>
  <c r="E1207" i="5"/>
  <c r="K1201" i="5"/>
  <c r="J1201" i="5"/>
  <c r="I1201" i="5"/>
  <c r="H1201" i="5"/>
  <c r="G1201" i="5"/>
  <c r="F1201" i="5"/>
  <c r="E1201" i="5"/>
  <c r="K1195" i="5"/>
  <c r="J1195" i="5"/>
  <c r="I1195" i="5"/>
  <c r="H1195" i="5"/>
  <c r="G1195" i="5"/>
  <c r="F1195" i="5"/>
  <c r="E1195" i="5"/>
  <c r="K1189" i="5"/>
  <c r="J1189" i="5"/>
  <c r="I1189" i="5"/>
  <c r="H1189" i="5"/>
  <c r="G1189" i="5"/>
  <c r="F1189" i="5"/>
  <c r="E1189" i="5"/>
  <c r="K1183" i="5"/>
  <c r="J1183" i="5"/>
  <c r="I1183" i="5"/>
  <c r="H1183" i="5"/>
  <c r="G1183" i="5"/>
  <c r="F1183" i="5"/>
  <c r="E1183" i="5"/>
  <c r="K1173" i="5"/>
  <c r="J1173" i="5"/>
  <c r="I1173" i="5"/>
  <c r="H1173" i="5"/>
  <c r="G1173" i="5"/>
  <c r="F1173" i="5"/>
  <c r="E1173" i="5"/>
  <c r="K1171" i="5"/>
  <c r="J1171" i="5"/>
  <c r="I1171" i="5"/>
  <c r="H1171" i="5"/>
  <c r="G1171" i="5"/>
  <c r="F1171" i="5"/>
  <c r="E1171" i="5"/>
  <c r="K1170" i="5"/>
  <c r="J1170" i="5"/>
  <c r="I1170" i="5"/>
  <c r="H1170" i="5"/>
  <c r="G1170" i="5"/>
  <c r="F1170" i="5"/>
  <c r="E1170" i="5"/>
  <c r="K1169" i="5"/>
  <c r="J1169" i="5"/>
  <c r="I1169" i="5"/>
  <c r="H1169" i="5"/>
  <c r="G1169" i="5"/>
  <c r="F1169" i="5"/>
  <c r="E1169" i="5"/>
  <c r="K1168" i="5"/>
  <c r="J1168" i="5"/>
  <c r="I1168" i="5"/>
  <c r="H1168" i="5"/>
  <c r="G1168" i="5"/>
  <c r="F1168" i="5"/>
  <c r="E1168" i="5"/>
  <c r="K1167" i="5"/>
  <c r="J1167" i="5"/>
  <c r="I1167" i="5"/>
  <c r="H1167" i="5"/>
  <c r="G1167" i="5"/>
  <c r="F1167" i="5"/>
  <c r="E1167" i="5"/>
  <c r="K1161" i="5"/>
  <c r="J1161" i="5"/>
  <c r="I1161" i="5"/>
  <c r="H1161" i="5"/>
  <c r="G1161" i="5"/>
  <c r="F1161" i="5"/>
  <c r="E1161" i="5"/>
  <c r="K1155" i="5"/>
  <c r="J1155" i="5"/>
  <c r="I1155" i="5"/>
  <c r="H1155" i="5"/>
  <c r="G1155" i="5"/>
  <c r="F1155" i="5"/>
  <c r="E1155" i="5"/>
  <c r="K1149" i="5"/>
  <c r="J1149" i="5"/>
  <c r="I1149" i="5"/>
  <c r="H1149" i="5"/>
  <c r="G1149" i="5"/>
  <c r="F1149" i="5"/>
  <c r="E1149" i="5"/>
  <c r="K1143" i="5"/>
  <c r="J1143" i="5"/>
  <c r="I1143" i="5"/>
  <c r="H1143" i="5"/>
  <c r="G1143" i="5"/>
  <c r="F1143" i="5"/>
  <c r="E1143" i="5"/>
  <c r="G1212" i="5" l="1"/>
  <c r="K1212" i="5"/>
  <c r="E1212" i="5"/>
  <c r="F1212" i="5"/>
  <c r="H1212" i="5"/>
  <c r="J1212" i="5"/>
  <c r="I1212" i="5"/>
  <c r="K1172" i="5"/>
  <c r="G1172" i="5"/>
  <c r="I1172" i="5"/>
  <c r="E1172" i="5"/>
  <c r="F1172" i="5"/>
  <c r="H1172" i="5"/>
  <c r="J1172" i="5"/>
  <c r="R73" i="4"/>
  <c r="S73" i="4"/>
  <c r="T73" i="4"/>
  <c r="U73" i="4"/>
  <c r="V73" i="4"/>
  <c r="W73" i="4"/>
  <c r="X73" i="4"/>
  <c r="Y73" i="4"/>
  <c r="Z73" i="4"/>
  <c r="AA73" i="4"/>
  <c r="AC73" i="4"/>
  <c r="K1133" i="5"/>
  <c r="J1133" i="5"/>
  <c r="I1133" i="5"/>
  <c r="H1133" i="5"/>
  <c r="G1133" i="5"/>
  <c r="F1133" i="5"/>
  <c r="E1133" i="5"/>
  <c r="K1131" i="5"/>
  <c r="J1131" i="5"/>
  <c r="I1131" i="5"/>
  <c r="H1131" i="5"/>
  <c r="G1131" i="5"/>
  <c r="F1131" i="5"/>
  <c r="E1131" i="5"/>
  <c r="K1130" i="5"/>
  <c r="J1130" i="5"/>
  <c r="I1130" i="5"/>
  <c r="H1130" i="5"/>
  <c r="G1130" i="5"/>
  <c r="F1130" i="5"/>
  <c r="E1130" i="5"/>
  <c r="K1129" i="5"/>
  <c r="J1129" i="5"/>
  <c r="I1129" i="5"/>
  <c r="H1129" i="5"/>
  <c r="G1129" i="5"/>
  <c r="F1129" i="5"/>
  <c r="E1129" i="5"/>
  <c r="K1128" i="5"/>
  <c r="J1128" i="5"/>
  <c r="I1128" i="5"/>
  <c r="H1128" i="5"/>
  <c r="G1128" i="5"/>
  <c r="F1128" i="5"/>
  <c r="E1128" i="5"/>
  <c r="K1127" i="5"/>
  <c r="J1127" i="5"/>
  <c r="I1127" i="5"/>
  <c r="H1127" i="5"/>
  <c r="G1127" i="5"/>
  <c r="F1127" i="5"/>
  <c r="E1127" i="5"/>
  <c r="K1121" i="5"/>
  <c r="J1121" i="5"/>
  <c r="I1121" i="5"/>
  <c r="H1121" i="5"/>
  <c r="G1121" i="5"/>
  <c r="F1121" i="5"/>
  <c r="E1121" i="5"/>
  <c r="K1115" i="5"/>
  <c r="J1115" i="5"/>
  <c r="I1115" i="5"/>
  <c r="H1115" i="5"/>
  <c r="G1115" i="5"/>
  <c r="F1115" i="5"/>
  <c r="E1115" i="5"/>
  <c r="K1109" i="5"/>
  <c r="J1109" i="5"/>
  <c r="I1109" i="5"/>
  <c r="H1109" i="5"/>
  <c r="G1109" i="5"/>
  <c r="F1109" i="5"/>
  <c r="E1109" i="5"/>
  <c r="K1103" i="5"/>
  <c r="J1103" i="5"/>
  <c r="I1103" i="5"/>
  <c r="H1103" i="5"/>
  <c r="G1103" i="5"/>
  <c r="F1103" i="5"/>
  <c r="E1103" i="5"/>
  <c r="K1093" i="5"/>
  <c r="J1093" i="5"/>
  <c r="I1093" i="5"/>
  <c r="H1093" i="5"/>
  <c r="G1093" i="5"/>
  <c r="F1093" i="5"/>
  <c r="E1093" i="5"/>
  <c r="K1091" i="5"/>
  <c r="J1091" i="5"/>
  <c r="I1091" i="5"/>
  <c r="H1091" i="5"/>
  <c r="G1091" i="5"/>
  <c r="F1091" i="5"/>
  <c r="E1091" i="5"/>
  <c r="K1090" i="5"/>
  <c r="J1090" i="5"/>
  <c r="I1090" i="5"/>
  <c r="H1090" i="5"/>
  <c r="G1090" i="5"/>
  <c r="F1090" i="5"/>
  <c r="E1090" i="5"/>
  <c r="K1089" i="5"/>
  <c r="J1089" i="5"/>
  <c r="I1089" i="5"/>
  <c r="H1089" i="5"/>
  <c r="G1089" i="5"/>
  <c r="F1089" i="5"/>
  <c r="E1089" i="5"/>
  <c r="K1088" i="5"/>
  <c r="J1088" i="5"/>
  <c r="I1088" i="5"/>
  <c r="H1088" i="5"/>
  <c r="G1088" i="5"/>
  <c r="F1088" i="5"/>
  <c r="E1088" i="5"/>
  <c r="K1087" i="5"/>
  <c r="J1087" i="5"/>
  <c r="I1087" i="5"/>
  <c r="H1087" i="5"/>
  <c r="G1087" i="5"/>
  <c r="F1087" i="5"/>
  <c r="E1087" i="5"/>
  <c r="K1081" i="5"/>
  <c r="J1081" i="5"/>
  <c r="I1081" i="5"/>
  <c r="H1081" i="5"/>
  <c r="G1081" i="5"/>
  <c r="F1081" i="5"/>
  <c r="E1081" i="5"/>
  <c r="K1075" i="5"/>
  <c r="J1075" i="5"/>
  <c r="I1075" i="5"/>
  <c r="H1075" i="5"/>
  <c r="G1075" i="5"/>
  <c r="F1075" i="5"/>
  <c r="E1075" i="5"/>
  <c r="K1069" i="5"/>
  <c r="J1069" i="5"/>
  <c r="I1069" i="5"/>
  <c r="H1069" i="5"/>
  <c r="G1069" i="5"/>
  <c r="F1069" i="5"/>
  <c r="E1069" i="5"/>
  <c r="K1063" i="5"/>
  <c r="J1063" i="5"/>
  <c r="I1063" i="5"/>
  <c r="H1063" i="5"/>
  <c r="G1063" i="5"/>
  <c r="F1063" i="5"/>
  <c r="E1063" i="5"/>
  <c r="G1092" i="5" l="1"/>
  <c r="H1132" i="5"/>
  <c r="I1132" i="5"/>
  <c r="J1132" i="5"/>
  <c r="K1132" i="5"/>
  <c r="E1132" i="5"/>
  <c r="F1132" i="5"/>
  <c r="G1132" i="5"/>
  <c r="H1092" i="5"/>
  <c r="F1092" i="5"/>
  <c r="I1092" i="5"/>
  <c r="K1092" i="5"/>
  <c r="J1092" i="5"/>
  <c r="E1092" i="5"/>
  <c r="R69" i="4"/>
  <c r="S69" i="4"/>
  <c r="T69" i="4"/>
  <c r="U69" i="4"/>
  <c r="V69" i="4"/>
  <c r="W69" i="4"/>
  <c r="X69" i="4"/>
  <c r="Y69" i="4"/>
  <c r="Z69" i="4"/>
  <c r="AA69" i="4"/>
  <c r="AC69" i="4"/>
  <c r="R71" i="4"/>
  <c r="S71" i="4"/>
  <c r="T71" i="4"/>
  <c r="U71" i="4"/>
  <c r="V71" i="4"/>
  <c r="W71" i="4"/>
  <c r="X71" i="4"/>
  <c r="Y71" i="4"/>
  <c r="Z71" i="4"/>
  <c r="AA71" i="4"/>
  <c r="AC71" i="4"/>
  <c r="K1053" i="5"/>
  <c r="J1053" i="5"/>
  <c r="I1053" i="5"/>
  <c r="H1053" i="5"/>
  <c r="G1053" i="5"/>
  <c r="F1053" i="5"/>
  <c r="E1053" i="5"/>
  <c r="K1051" i="5"/>
  <c r="J1051" i="5"/>
  <c r="I1051" i="5"/>
  <c r="H1051" i="5"/>
  <c r="G1051" i="5"/>
  <c r="F1051" i="5"/>
  <c r="E1051" i="5"/>
  <c r="K1050" i="5"/>
  <c r="J1050" i="5"/>
  <c r="I1050" i="5"/>
  <c r="H1050" i="5"/>
  <c r="G1050" i="5"/>
  <c r="F1050" i="5"/>
  <c r="E1050" i="5"/>
  <c r="K1049" i="5"/>
  <c r="J1049" i="5"/>
  <c r="I1049" i="5"/>
  <c r="H1049" i="5"/>
  <c r="G1049" i="5"/>
  <c r="F1049" i="5"/>
  <c r="E1049" i="5"/>
  <c r="K1048" i="5"/>
  <c r="J1048" i="5"/>
  <c r="I1048" i="5"/>
  <c r="H1048" i="5"/>
  <c r="G1048" i="5"/>
  <c r="F1048" i="5"/>
  <c r="E1048" i="5"/>
  <c r="K1047" i="5"/>
  <c r="J1047" i="5"/>
  <c r="I1047" i="5"/>
  <c r="H1047" i="5"/>
  <c r="G1047" i="5"/>
  <c r="F1047" i="5"/>
  <c r="E1047" i="5"/>
  <c r="K1041" i="5"/>
  <c r="J1041" i="5"/>
  <c r="I1041" i="5"/>
  <c r="H1041" i="5"/>
  <c r="G1041" i="5"/>
  <c r="F1041" i="5"/>
  <c r="E1041" i="5"/>
  <c r="K1035" i="5"/>
  <c r="J1035" i="5"/>
  <c r="I1035" i="5"/>
  <c r="H1035" i="5"/>
  <c r="G1035" i="5"/>
  <c r="F1035" i="5"/>
  <c r="E1035" i="5"/>
  <c r="K1029" i="5"/>
  <c r="J1029" i="5"/>
  <c r="I1029" i="5"/>
  <c r="H1029" i="5"/>
  <c r="G1029" i="5"/>
  <c r="F1029" i="5"/>
  <c r="E1029" i="5"/>
  <c r="K1023" i="5"/>
  <c r="J1023" i="5"/>
  <c r="I1023" i="5"/>
  <c r="H1023" i="5"/>
  <c r="G1023" i="5"/>
  <c r="F1023" i="5"/>
  <c r="E1023" i="5"/>
  <c r="K1013" i="5"/>
  <c r="J1013" i="5"/>
  <c r="I1013" i="5"/>
  <c r="H1013" i="5"/>
  <c r="G1013" i="5"/>
  <c r="F1013" i="5"/>
  <c r="E1013" i="5"/>
  <c r="K1011" i="5"/>
  <c r="J1011" i="5"/>
  <c r="I1011" i="5"/>
  <c r="H1011" i="5"/>
  <c r="G1011" i="5"/>
  <c r="F1011" i="5"/>
  <c r="E1011" i="5"/>
  <c r="K1010" i="5"/>
  <c r="J1010" i="5"/>
  <c r="I1010" i="5"/>
  <c r="H1010" i="5"/>
  <c r="G1010" i="5"/>
  <c r="F1010" i="5"/>
  <c r="E1010" i="5"/>
  <c r="K1009" i="5"/>
  <c r="J1009" i="5"/>
  <c r="I1009" i="5"/>
  <c r="H1009" i="5"/>
  <c r="G1009" i="5"/>
  <c r="F1009" i="5"/>
  <c r="E1009" i="5"/>
  <c r="K1008" i="5"/>
  <c r="J1008" i="5"/>
  <c r="I1008" i="5"/>
  <c r="H1008" i="5"/>
  <c r="G1008" i="5"/>
  <c r="F1008" i="5"/>
  <c r="E1008" i="5"/>
  <c r="K1007" i="5"/>
  <c r="J1007" i="5"/>
  <c r="I1007" i="5"/>
  <c r="H1007" i="5"/>
  <c r="G1007" i="5"/>
  <c r="F1007" i="5"/>
  <c r="E1007" i="5"/>
  <c r="K1001" i="5"/>
  <c r="J1001" i="5"/>
  <c r="I1001" i="5"/>
  <c r="H1001" i="5"/>
  <c r="G1001" i="5"/>
  <c r="F1001" i="5"/>
  <c r="E1001" i="5"/>
  <c r="K995" i="5"/>
  <c r="J995" i="5"/>
  <c r="I995" i="5"/>
  <c r="H995" i="5"/>
  <c r="G995" i="5"/>
  <c r="F995" i="5"/>
  <c r="E995" i="5"/>
  <c r="K989" i="5"/>
  <c r="J989" i="5"/>
  <c r="I989" i="5"/>
  <c r="H989" i="5"/>
  <c r="G989" i="5"/>
  <c r="F989" i="5"/>
  <c r="E989" i="5"/>
  <c r="K983" i="5"/>
  <c r="J983" i="5"/>
  <c r="I983" i="5"/>
  <c r="H983" i="5"/>
  <c r="G983" i="5"/>
  <c r="F983" i="5"/>
  <c r="E983" i="5"/>
  <c r="F1052" i="5" l="1"/>
  <c r="J1052" i="5"/>
  <c r="G1052" i="5"/>
  <c r="I1052" i="5"/>
  <c r="I1012" i="5"/>
  <c r="K1052" i="5"/>
  <c r="H1052" i="5"/>
  <c r="E1052" i="5"/>
  <c r="J1012" i="5"/>
  <c r="F1012" i="5"/>
  <c r="G1012" i="5"/>
  <c r="H1012" i="5"/>
  <c r="E1012" i="5"/>
  <c r="K1012" i="5"/>
  <c r="R65" i="4"/>
  <c r="S65" i="4"/>
  <c r="T65" i="4"/>
  <c r="U65" i="4"/>
  <c r="V65" i="4"/>
  <c r="W65" i="4"/>
  <c r="X65" i="4"/>
  <c r="Y65" i="4"/>
  <c r="Z65" i="4"/>
  <c r="AA65" i="4"/>
  <c r="AC65" i="4"/>
  <c r="R67" i="4"/>
  <c r="S67" i="4"/>
  <c r="T67" i="4"/>
  <c r="U67" i="4"/>
  <c r="V67" i="4"/>
  <c r="W67" i="4"/>
  <c r="X67" i="4"/>
  <c r="Y67" i="4"/>
  <c r="Z67" i="4"/>
  <c r="AA67" i="4"/>
  <c r="AC67" i="4"/>
  <c r="K973" i="5"/>
  <c r="J973" i="5"/>
  <c r="I973" i="5"/>
  <c r="H973" i="5"/>
  <c r="G973" i="5"/>
  <c r="F973" i="5"/>
  <c r="E973" i="5"/>
  <c r="K971" i="5"/>
  <c r="J971" i="5"/>
  <c r="I971" i="5"/>
  <c r="H971" i="5"/>
  <c r="G971" i="5"/>
  <c r="F971" i="5"/>
  <c r="E971" i="5"/>
  <c r="K970" i="5"/>
  <c r="J970" i="5"/>
  <c r="I970" i="5"/>
  <c r="H970" i="5"/>
  <c r="G970" i="5"/>
  <c r="F970" i="5"/>
  <c r="E970" i="5"/>
  <c r="K969" i="5"/>
  <c r="J969" i="5"/>
  <c r="I969" i="5"/>
  <c r="H969" i="5"/>
  <c r="G969" i="5"/>
  <c r="F969" i="5"/>
  <c r="E969" i="5"/>
  <c r="K968" i="5"/>
  <c r="J968" i="5"/>
  <c r="I968" i="5"/>
  <c r="H968" i="5"/>
  <c r="G968" i="5"/>
  <c r="F968" i="5"/>
  <c r="E968" i="5"/>
  <c r="K967" i="5"/>
  <c r="J967" i="5"/>
  <c r="I967" i="5"/>
  <c r="H967" i="5"/>
  <c r="G967" i="5"/>
  <c r="F967" i="5"/>
  <c r="E967" i="5"/>
  <c r="K961" i="5"/>
  <c r="J961" i="5"/>
  <c r="I961" i="5"/>
  <c r="H961" i="5"/>
  <c r="G961" i="5"/>
  <c r="F961" i="5"/>
  <c r="E961" i="5"/>
  <c r="K955" i="5"/>
  <c r="J955" i="5"/>
  <c r="I955" i="5"/>
  <c r="H955" i="5"/>
  <c r="G955" i="5"/>
  <c r="F955" i="5"/>
  <c r="E955" i="5"/>
  <c r="K949" i="5"/>
  <c r="J949" i="5"/>
  <c r="I949" i="5"/>
  <c r="H949" i="5"/>
  <c r="G949" i="5"/>
  <c r="F949" i="5"/>
  <c r="E949" i="5"/>
  <c r="K943" i="5"/>
  <c r="J943" i="5"/>
  <c r="I943" i="5"/>
  <c r="H943" i="5"/>
  <c r="G943" i="5"/>
  <c r="F943" i="5"/>
  <c r="E943" i="5"/>
  <c r="K933" i="5"/>
  <c r="J933" i="5"/>
  <c r="I933" i="5"/>
  <c r="H933" i="5"/>
  <c r="G933" i="5"/>
  <c r="F933" i="5"/>
  <c r="E933" i="5"/>
  <c r="K931" i="5"/>
  <c r="J931" i="5"/>
  <c r="I931" i="5"/>
  <c r="H931" i="5"/>
  <c r="G931" i="5"/>
  <c r="F931" i="5"/>
  <c r="E931" i="5"/>
  <c r="K930" i="5"/>
  <c r="J930" i="5"/>
  <c r="I930" i="5"/>
  <c r="H930" i="5"/>
  <c r="G930" i="5"/>
  <c r="F930" i="5"/>
  <c r="E930" i="5"/>
  <c r="K929" i="5"/>
  <c r="J929" i="5"/>
  <c r="I929" i="5"/>
  <c r="H929" i="5"/>
  <c r="G929" i="5"/>
  <c r="F929" i="5"/>
  <c r="E929" i="5"/>
  <c r="K928" i="5"/>
  <c r="J928" i="5"/>
  <c r="I928" i="5"/>
  <c r="H928" i="5"/>
  <c r="G928" i="5"/>
  <c r="F928" i="5"/>
  <c r="E928" i="5"/>
  <c r="K927" i="5"/>
  <c r="J927" i="5"/>
  <c r="I927" i="5"/>
  <c r="H927" i="5"/>
  <c r="G927" i="5"/>
  <c r="F927" i="5"/>
  <c r="E927" i="5"/>
  <c r="K921" i="5"/>
  <c r="J921" i="5"/>
  <c r="I921" i="5"/>
  <c r="H921" i="5"/>
  <c r="G921" i="5"/>
  <c r="F921" i="5"/>
  <c r="E921" i="5"/>
  <c r="K915" i="5"/>
  <c r="J915" i="5"/>
  <c r="I915" i="5"/>
  <c r="H915" i="5"/>
  <c r="G915" i="5"/>
  <c r="F915" i="5"/>
  <c r="E915" i="5"/>
  <c r="K909" i="5"/>
  <c r="J909" i="5"/>
  <c r="I909" i="5"/>
  <c r="H909" i="5"/>
  <c r="G909" i="5"/>
  <c r="F909" i="5"/>
  <c r="E909" i="5"/>
  <c r="K903" i="5"/>
  <c r="J903" i="5"/>
  <c r="I903" i="5"/>
  <c r="H903" i="5"/>
  <c r="G903" i="5"/>
  <c r="F903" i="5"/>
  <c r="E903" i="5"/>
  <c r="F972" i="5" l="1"/>
  <c r="I972" i="5"/>
  <c r="G972" i="5"/>
  <c r="E972" i="5"/>
  <c r="H972" i="5"/>
  <c r="J972" i="5"/>
  <c r="K972" i="5"/>
  <c r="K932" i="5"/>
  <c r="E932" i="5"/>
  <c r="H932" i="5"/>
  <c r="F932" i="5"/>
  <c r="G932" i="5"/>
  <c r="I932" i="5"/>
  <c r="J932" i="5"/>
  <c r="R57" i="4"/>
  <c r="S57" i="4"/>
  <c r="T57" i="4"/>
  <c r="U57" i="4"/>
  <c r="V57" i="4"/>
  <c r="W57" i="4"/>
  <c r="X57" i="4"/>
  <c r="Y57" i="4"/>
  <c r="Z57" i="4"/>
  <c r="AA57" i="4"/>
  <c r="AC57" i="4"/>
  <c r="R59" i="4"/>
  <c r="S59" i="4"/>
  <c r="T59" i="4"/>
  <c r="U59" i="4"/>
  <c r="V59" i="4"/>
  <c r="W59" i="4"/>
  <c r="X59" i="4"/>
  <c r="Y59" i="4"/>
  <c r="Z59" i="4"/>
  <c r="AA59" i="4"/>
  <c r="AC59" i="4"/>
  <c r="R61" i="4"/>
  <c r="S61" i="4"/>
  <c r="T61" i="4"/>
  <c r="U61" i="4"/>
  <c r="V61" i="4"/>
  <c r="W61" i="4"/>
  <c r="X61" i="4"/>
  <c r="Y61" i="4"/>
  <c r="Z61" i="4"/>
  <c r="AA61" i="4"/>
  <c r="AC61" i="4"/>
  <c r="R63" i="4"/>
  <c r="S63" i="4"/>
  <c r="T63" i="4"/>
  <c r="U63" i="4"/>
  <c r="V63" i="4"/>
  <c r="W63" i="4"/>
  <c r="X63" i="4"/>
  <c r="Y63" i="4"/>
  <c r="Z63" i="4"/>
  <c r="AA63" i="4"/>
  <c r="AC63" i="4"/>
  <c r="K893" i="5"/>
  <c r="J893" i="5"/>
  <c r="I893" i="5"/>
  <c r="H893" i="5"/>
  <c r="G893" i="5"/>
  <c r="F893" i="5"/>
  <c r="E893" i="5"/>
  <c r="K891" i="5"/>
  <c r="J891" i="5"/>
  <c r="I891" i="5"/>
  <c r="H891" i="5"/>
  <c r="G891" i="5"/>
  <c r="F891" i="5"/>
  <c r="E891" i="5"/>
  <c r="K890" i="5"/>
  <c r="J890" i="5"/>
  <c r="I890" i="5"/>
  <c r="H890" i="5"/>
  <c r="G890" i="5"/>
  <c r="F890" i="5"/>
  <c r="E890" i="5"/>
  <c r="K889" i="5"/>
  <c r="J889" i="5"/>
  <c r="I889" i="5"/>
  <c r="H889" i="5"/>
  <c r="G889" i="5"/>
  <c r="F889" i="5"/>
  <c r="E889" i="5"/>
  <c r="K888" i="5"/>
  <c r="J888" i="5"/>
  <c r="I888" i="5"/>
  <c r="H888" i="5"/>
  <c r="G888" i="5"/>
  <c r="F888" i="5"/>
  <c r="E888" i="5"/>
  <c r="K887" i="5"/>
  <c r="J887" i="5"/>
  <c r="I887" i="5"/>
  <c r="H887" i="5"/>
  <c r="G887" i="5"/>
  <c r="F887" i="5"/>
  <c r="E887" i="5"/>
  <c r="K881" i="5"/>
  <c r="J881" i="5"/>
  <c r="I881" i="5"/>
  <c r="H881" i="5"/>
  <c r="G881" i="5"/>
  <c r="F881" i="5"/>
  <c r="E881" i="5"/>
  <c r="K875" i="5"/>
  <c r="J875" i="5"/>
  <c r="I875" i="5"/>
  <c r="H875" i="5"/>
  <c r="G875" i="5"/>
  <c r="F875" i="5"/>
  <c r="E875" i="5"/>
  <c r="K869" i="5"/>
  <c r="J869" i="5"/>
  <c r="I869" i="5"/>
  <c r="H869" i="5"/>
  <c r="G869" i="5"/>
  <c r="F869" i="5"/>
  <c r="E869" i="5"/>
  <c r="K863" i="5"/>
  <c r="J863" i="5"/>
  <c r="I863" i="5"/>
  <c r="H863" i="5"/>
  <c r="G863" i="5"/>
  <c r="F863" i="5"/>
  <c r="E863" i="5"/>
  <c r="G892" i="5" l="1"/>
  <c r="K892" i="5"/>
  <c r="E892" i="5"/>
  <c r="I892" i="5"/>
  <c r="H892" i="5"/>
  <c r="F892" i="5"/>
  <c r="J892" i="5"/>
  <c r="K853" i="5"/>
  <c r="J853" i="5"/>
  <c r="I853" i="5"/>
  <c r="H853" i="5"/>
  <c r="G853" i="5"/>
  <c r="F853" i="5"/>
  <c r="E853" i="5"/>
  <c r="K851" i="5"/>
  <c r="J851" i="5"/>
  <c r="I851" i="5"/>
  <c r="H851" i="5"/>
  <c r="G851" i="5"/>
  <c r="F851" i="5"/>
  <c r="E851" i="5"/>
  <c r="K850" i="5"/>
  <c r="J850" i="5"/>
  <c r="I850" i="5"/>
  <c r="H850" i="5"/>
  <c r="G850" i="5"/>
  <c r="F850" i="5"/>
  <c r="E850" i="5"/>
  <c r="K849" i="5"/>
  <c r="J849" i="5"/>
  <c r="I849" i="5"/>
  <c r="H849" i="5"/>
  <c r="G849" i="5"/>
  <c r="F849" i="5"/>
  <c r="E849" i="5"/>
  <c r="K848" i="5"/>
  <c r="J848" i="5"/>
  <c r="I848" i="5"/>
  <c r="H848" i="5"/>
  <c r="G848" i="5"/>
  <c r="F848" i="5"/>
  <c r="E848" i="5"/>
  <c r="K847" i="5"/>
  <c r="J847" i="5"/>
  <c r="I847" i="5"/>
  <c r="H847" i="5"/>
  <c r="G847" i="5"/>
  <c r="F847" i="5"/>
  <c r="E847" i="5"/>
  <c r="K841" i="5"/>
  <c r="J841" i="5"/>
  <c r="I841" i="5"/>
  <c r="H841" i="5"/>
  <c r="G841" i="5"/>
  <c r="F841" i="5"/>
  <c r="E841" i="5"/>
  <c r="K835" i="5"/>
  <c r="J835" i="5"/>
  <c r="I835" i="5"/>
  <c r="H835" i="5"/>
  <c r="G835" i="5"/>
  <c r="F835" i="5"/>
  <c r="E835" i="5"/>
  <c r="K829" i="5"/>
  <c r="J829" i="5"/>
  <c r="I829" i="5"/>
  <c r="H829" i="5"/>
  <c r="G829" i="5"/>
  <c r="F829" i="5"/>
  <c r="E829" i="5"/>
  <c r="K823" i="5"/>
  <c r="J823" i="5"/>
  <c r="I823" i="5"/>
  <c r="H823" i="5"/>
  <c r="G823" i="5"/>
  <c r="F823" i="5"/>
  <c r="E823" i="5"/>
  <c r="H852" i="5" l="1"/>
  <c r="K852" i="5"/>
  <c r="E852" i="5"/>
  <c r="F852" i="5"/>
  <c r="G852" i="5"/>
  <c r="I852" i="5"/>
  <c r="J852" i="5"/>
  <c r="R49" i="4"/>
  <c r="S49" i="4"/>
  <c r="T49" i="4"/>
  <c r="U49" i="4"/>
  <c r="V49" i="4"/>
  <c r="W49" i="4"/>
  <c r="X49" i="4"/>
  <c r="Y49" i="4"/>
  <c r="Z49" i="4"/>
  <c r="AA49" i="4"/>
  <c r="AC49" i="4"/>
  <c r="R51" i="4"/>
  <c r="S51" i="4"/>
  <c r="T51" i="4"/>
  <c r="U51" i="4"/>
  <c r="V51" i="4"/>
  <c r="W51" i="4"/>
  <c r="X51" i="4"/>
  <c r="Y51" i="4"/>
  <c r="Z51" i="4"/>
  <c r="AA51" i="4"/>
  <c r="AC51" i="4"/>
  <c r="R53" i="4"/>
  <c r="S53" i="4"/>
  <c r="T53" i="4"/>
  <c r="U53" i="4"/>
  <c r="V53" i="4"/>
  <c r="W53" i="4"/>
  <c r="X53" i="4"/>
  <c r="Y53" i="4"/>
  <c r="Z53" i="4"/>
  <c r="AA53" i="4"/>
  <c r="AC53" i="4"/>
  <c r="R55" i="4"/>
  <c r="S55" i="4"/>
  <c r="T55" i="4"/>
  <c r="U55" i="4"/>
  <c r="V55" i="4"/>
  <c r="W55" i="4"/>
  <c r="X55" i="4"/>
  <c r="Y55" i="4"/>
  <c r="Z55" i="4"/>
  <c r="AA55" i="4"/>
  <c r="AC55" i="4"/>
  <c r="K813" i="5"/>
  <c r="J813" i="5"/>
  <c r="I813" i="5"/>
  <c r="H813" i="5"/>
  <c r="G813" i="5"/>
  <c r="F813" i="5"/>
  <c r="E813" i="5"/>
  <c r="K811" i="5"/>
  <c r="J811" i="5"/>
  <c r="I811" i="5"/>
  <c r="H811" i="5"/>
  <c r="G811" i="5"/>
  <c r="F811" i="5"/>
  <c r="E811" i="5"/>
  <c r="K810" i="5"/>
  <c r="J810" i="5"/>
  <c r="I810" i="5"/>
  <c r="H810" i="5"/>
  <c r="G810" i="5"/>
  <c r="F810" i="5"/>
  <c r="E810" i="5"/>
  <c r="K809" i="5"/>
  <c r="J809" i="5"/>
  <c r="I809" i="5"/>
  <c r="H809" i="5"/>
  <c r="G809" i="5"/>
  <c r="F809" i="5"/>
  <c r="E809" i="5"/>
  <c r="K808" i="5"/>
  <c r="J808" i="5"/>
  <c r="I808" i="5"/>
  <c r="H808" i="5"/>
  <c r="G808" i="5"/>
  <c r="F808" i="5"/>
  <c r="E808" i="5"/>
  <c r="K807" i="5"/>
  <c r="J807" i="5"/>
  <c r="I807" i="5"/>
  <c r="H807" i="5"/>
  <c r="G807" i="5"/>
  <c r="F807" i="5"/>
  <c r="E807" i="5"/>
  <c r="K801" i="5"/>
  <c r="J801" i="5"/>
  <c r="I801" i="5"/>
  <c r="H801" i="5"/>
  <c r="G801" i="5"/>
  <c r="F801" i="5"/>
  <c r="E801" i="5"/>
  <c r="K795" i="5"/>
  <c r="J795" i="5"/>
  <c r="I795" i="5"/>
  <c r="H795" i="5"/>
  <c r="G795" i="5"/>
  <c r="F795" i="5"/>
  <c r="E795" i="5"/>
  <c r="K789" i="5"/>
  <c r="J789" i="5"/>
  <c r="I789" i="5"/>
  <c r="H789" i="5"/>
  <c r="G789" i="5"/>
  <c r="F789" i="5"/>
  <c r="E789" i="5"/>
  <c r="K783" i="5"/>
  <c r="J783" i="5"/>
  <c r="I783" i="5"/>
  <c r="H783" i="5"/>
  <c r="G783" i="5"/>
  <c r="F783" i="5"/>
  <c r="E783" i="5"/>
  <c r="K773" i="5"/>
  <c r="J773" i="5"/>
  <c r="I773" i="5"/>
  <c r="H773" i="5"/>
  <c r="G773" i="5"/>
  <c r="F773" i="5"/>
  <c r="E773" i="5"/>
  <c r="K771" i="5"/>
  <c r="J771" i="5"/>
  <c r="I771" i="5"/>
  <c r="H771" i="5"/>
  <c r="G771" i="5"/>
  <c r="F771" i="5"/>
  <c r="E771" i="5"/>
  <c r="K770" i="5"/>
  <c r="J770" i="5"/>
  <c r="I770" i="5"/>
  <c r="H770" i="5"/>
  <c r="G770" i="5"/>
  <c r="F770" i="5"/>
  <c r="E770" i="5"/>
  <c r="K769" i="5"/>
  <c r="J769" i="5"/>
  <c r="I769" i="5"/>
  <c r="H769" i="5"/>
  <c r="G769" i="5"/>
  <c r="F769" i="5"/>
  <c r="E769" i="5"/>
  <c r="K768" i="5"/>
  <c r="J768" i="5"/>
  <c r="I768" i="5"/>
  <c r="H768" i="5"/>
  <c r="G768" i="5"/>
  <c r="F768" i="5"/>
  <c r="E768" i="5"/>
  <c r="K767" i="5"/>
  <c r="J767" i="5"/>
  <c r="I767" i="5"/>
  <c r="H767" i="5"/>
  <c r="G767" i="5"/>
  <c r="F767" i="5"/>
  <c r="E767" i="5"/>
  <c r="K761" i="5"/>
  <c r="J761" i="5"/>
  <c r="I761" i="5"/>
  <c r="H761" i="5"/>
  <c r="G761" i="5"/>
  <c r="F761" i="5"/>
  <c r="E761" i="5"/>
  <c r="K755" i="5"/>
  <c r="J755" i="5"/>
  <c r="I755" i="5"/>
  <c r="H755" i="5"/>
  <c r="G755" i="5"/>
  <c r="F755" i="5"/>
  <c r="E755" i="5"/>
  <c r="K749" i="5"/>
  <c r="J749" i="5"/>
  <c r="I749" i="5"/>
  <c r="H749" i="5"/>
  <c r="G749" i="5"/>
  <c r="F749" i="5"/>
  <c r="E749" i="5"/>
  <c r="K743" i="5"/>
  <c r="J743" i="5"/>
  <c r="I743" i="5"/>
  <c r="H743" i="5"/>
  <c r="G743" i="5"/>
  <c r="F743" i="5"/>
  <c r="E743" i="5"/>
  <c r="H812" i="5" l="1"/>
  <c r="G812" i="5"/>
  <c r="E812" i="5"/>
  <c r="I812" i="5"/>
  <c r="F812" i="5"/>
  <c r="K812" i="5"/>
  <c r="J812" i="5"/>
  <c r="J772" i="5"/>
  <c r="G772" i="5"/>
  <c r="E772" i="5"/>
  <c r="F772" i="5"/>
  <c r="H772" i="5"/>
  <c r="I772" i="5"/>
  <c r="K772" i="5"/>
  <c r="K709" i="5"/>
  <c r="J709" i="5"/>
  <c r="I709" i="5"/>
  <c r="H709" i="5"/>
  <c r="G709" i="5"/>
  <c r="E709" i="5"/>
  <c r="F709" i="5"/>
  <c r="K733" i="5" l="1"/>
  <c r="J733" i="5"/>
  <c r="I733" i="5"/>
  <c r="H733" i="5"/>
  <c r="G733" i="5"/>
  <c r="F733" i="5"/>
  <c r="E733" i="5"/>
  <c r="K731" i="5"/>
  <c r="J731" i="5"/>
  <c r="I731" i="5"/>
  <c r="H731" i="5"/>
  <c r="G731" i="5"/>
  <c r="F731" i="5"/>
  <c r="E731" i="5"/>
  <c r="K730" i="5"/>
  <c r="J730" i="5"/>
  <c r="I730" i="5"/>
  <c r="H730" i="5"/>
  <c r="G730" i="5"/>
  <c r="F730" i="5"/>
  <c r="E730" i="5"/>
  <c r="K729" i="5"/>
  <c r="J729" i="5"/>
  <c r="I729" i="5"/>
  <c r="H729" i="5"/>
  <c r="G729" i="5"/>
  <c r="F729" i="5"/>
  <c r="E729" i="5"/>
  <c r="K728" i="5"/>
  <c r="J728" i="5"/>
  <c r="I728" i="5"/>
  <c r="H728" i="5"/>
  <c r="G728" i="5"/>
  <c r="F728" i="5"/>
  <c r="E728" i="5"/>
  <c r="K727" i="5"/>
  <c r="J727" i="5"/>
  <c r="I727" i="5"/>
  <c r="H727" i="5"/>
  <c r="G727" i="5"/>
  <c r="F727" i="5"/>
  <c r="E727" i="5"/>
  <c r="K721" i="5"/>
  <c r="J721" i="5"/>
  <c r="I721" i="5"/>
  <c r="H721" i="5"/>
  <c r="G721" i="5"/>
  <c r="F721" i="5"/>
  <c r="E721" i="5"/>
  <c r="K715" i="5"/>
  <c r="J715" i="5"/>
  <c r="I715" i="5"/>
  <c r="H715" i="5"/>
  <c r="G715" i="5"/>
  <c r="F715" i="5"/>
  <c r="E715" i="5"/>
  <c r="K703" i="5"/>
  <c r="J703" i="5"/>
  <c r="I703" i="5"/>
  <c r="H703" i="5"/>
  <c r="G703" i="5"/>
  <c r="F703" i="5"/>
  <c r="E703" i="5"/>
  <c r="R45" i="4"/>
  <c r="S45" i="4"/>
  <c r="T45" i="4"/>
  <c r="U45" i="4"/>
  <c r="V45" i="4"/>
  <c r="W45" i="4"/>
  <c r="X45" i="4"/>
  <c r="Y45" i="4"/>
  <c r="Z45" i="4"/>
  <c r="AA45" i="4"/>
  <c r="AC45" i="4"/>
  <c r="R47" i="4"/>
  <c r="S47" i="4"/>
  <c r="T47" i="4"/>
  <c r="U47" i="4"/>
  <c r="V47" i="4"/>
  <c r="W47" i="4"/>
  <c r="X47" i="4"/>
  <c r="Y47" i="4"/>
  <c r="Z47" i="4"/>
  <c r="AA47" i="4"/>
  <c r="AC47" i="4"/>
  <c r="E732" i="5" l="1"/>
  <c r="K732" i="5"/>
  <c r="H732" i="5"/>
  <c r="J732" i="5"/>
  <c r="F732" i="5"/>
  <c r="G732" i="5"/>
  <c r="I732" i="5"/>
  <c r="K693" i="5"/>
  <c r="J693" i="5"/>
  <c r="I693" i="5"/>
  <c r="H693" i="5"/>
  <c r="G693" i="5"/>
  <c r="F693" i="5"/>
  <c r="E693" i="5"/>
  <c r="K691" i="5"/>
  <c r="J691" i="5"/>
  <c r="I691" i="5"/>
  <c r="H691" i="5"/>
  <c r="G691" i="5"/>
  <c r="F691" i="5"/>
  <c r="E691" i="5"/>
  <c r="K690" i="5"/>
  <c r="J690" i="5"/>
  <c r="I690" i="5"/>
  <c r="H690" i="5"/>
  <c r="G690" i="5"/>
  <c r="F690" i="5"/>
  <c r="E690" i="5"/>
  <c r="K689" i="5"/>
  <c r="J689" i="5"/>
  <c r="I689" i="5"/>
  <c r="H689" i="5"/>
  <c r="G689" i="5"/>
  <c r="F689" i="5"/>
  <c r="E689" i="5"/>
  <c r="K688" i="5"/>
  <c r="J688" i="5"/>
  <c r="I688" i="5"/>
  <c r="H688" i="5"/>
  <c r="G688" i="5"/>
  <c r="F688" i="5"/>
  <c r="E688" i="5"/>
  <c r="K687" i="5"/>
  <c r="J687" i="5"/>
  <c r="I687" i="5"/>
  <c r="H687" i="5"/>
  <c r="G687" i="5"/>
  <c r="F687" i="5"/>
  <c r="E687" i="5"/>
  <c r="K681" i="5"/>
  <c r="J681" i="5"/>
  <c r="I681" i="5"/>
  <c r="H681" i="5"/>
  <c r="G681" i="5"/>
  <c r="F681" i="5"/>
  <c r="E681" i="5"/>
  <c r="K675" i="5"/>
  <c r="J675" i="5"/>
  <c r="I675" i="5"/>
  <c r="H675" i="5"/>
  <c r="G675" i="5"/>
  <c r="F675" i="5"/>
  <c r="E675" i="5"/>
  <c r="K669" i="5"/>
  <c r="J669" i="5"/>
  <c r="I669" i="5"/>
  <c r="H669" i="5"/>
  <c r="G669" i="5"/>
  <c r="F669" i="5"/>
  <c r="E669" i="5"/>
  <c r="K663" i="5"/>
  <c r="J663" i="5"/>
  <c r="I663" i="5"/>
  <c r="H663" i="5"/>
  <c r="G663" i="5"/>
  <c r="F663" i="5"/>
  <c r="E663" i="5"/>
  <c r="K692" i="5" l="1"/>
  <c r="J692" i="5"/>
  <c r="E692" i="5"/>
  <c r="H692" i="5"/>
  <c r="G692" i="5"/>
  <c r="F692" i="5"/>
  <c r="I692" i="5"/>
  <c r="K653" i="5"/>
  <c r="J653" i="5"/>
  <c r="I653" i="5"/>
  <c r="H653" i="5"/>
  <c r="G653" i="5"/>
  <c r="F653" i="5"/>
  <c r="E653" i="5"/>
  <c r="K651" i="5"/>
  <c r="J651" i="5"/>
  <c r="I651" i="5"/>
  <c r="H651" i="5"/>
  <c r="G651" i="5"/>
  <c r="F651" i="5"/>
  <c r="E651" i="5"/>
  <c r="K650" i="5"/>
  <c r="J650" i="5"/>
  <c r="I650" i="5"/>
  <c r="H650" i="5"/>
  <c r="G650" i="5"/>
  <c r="F650" i="5"/>
  <c r="E650" i="5"/>
  <c r="K649" i="5"/>
  <c r="J649" i="5"/>
  <c r="I649" i="5"/>
  <c r="H649" i="5"/>
  <c r="G649" i="5"/>
  <c r="F649" i="5"/>
  <c r="E649" i="5"/>
  <c r="K648" i="5"/>
  <c r="J648" i="5"/>
  <c r="I648" i="5"/>
  <c r="H648" i="5"/>
  <c r="G648" i="5"/>
  <c r="F648" i="5"/>
  <c r="E648" i="5"/>
  <c r="K647" i="5"/>
  <c r="J647" i="5"/>
  <c r="I647" i="5"/>
  <c r="H647" i="5"/>
  <c r="G647" i="5"/>
  <c r="F647" i="5"/>
  <c r="E647" i="5"/>
  <c r="K641" i="5"/>
  <c r="J641" i="5"/>
  <c r="I641" i="5"/>
  <c r="H641" i="5"/>
  <c r="G641" i="5"/>
  <c r="F641" i="5"/>
  <c r="E641" i="5"/>
  <c r="K635" i="5"/>
  <c r="J635" i="5"/>
  <c r="I635" i="5"/>
  <c r="H635" i="5"/>
  <c r="G635" i="5"/>
  <c r="F635" i="5"/>
  <c r="E635" i="5"/>
  <c r="K629" i="5"/>
  <c r="J629" i="5"/>
  <c r="I629" i="5"/>
  <c r="H629" i="5"/>
  <c r="G629" i="5"/>
  <c r="F629" i="5"/>
  <c r="E629" i="5"/>
  <c r="K623" i="5"/>
  <c r="J623" i="5"/>
  <c r="I623" i="5"/>
  <c r="H623" i="5"/>
  <c r="G623" i="5"/>
  <c r="F623" i="5"/>
  <c r="E623" i="5"/>
  <c r="G652" i="5" l="1"/>
  <c r="K652" i="5"/>
  <c r="E652" i="5"/>
  <c r="I652" i="5"/>
  <c r="F652" i="5"/>
  <c r="J652" i="5"/>
  <c r="H652" i="5"/>
  <c r="K613" i="5"/>
  <c r="J613" i="5"/>
  <c r="I613" i="5"/>
  <c r="H613" i="5"/>
  <c r="G613" i="5"/>
  <c r="F613" i="5"/>
  <c r="E613" i="5"/>
  <c r="K611" i="5"/>
  <c r="J611" i="5"/>
  <c r="I611" i="5"/>
  <c r="H611" i="5"/>
  <c r="G611" i="5"/>
  <c r="F611" i="5"/>
  <c r="E611" i="5"/>
  <c r="K610" i="5"/>
  <c r="J610" i="5"/>
  <c r="I610" i="5"/>
  <c r="H610" i="5"/>
  <c r="G610" i="5"/>
  <c r="F610" i="5"/>
  <c r="E610" i="5"/>
  <c r="K609" i="5"/>
  <c r="J609" i="5"/>
  <c r="I609" i="5"/>
  <c r="H609" i="5"/>
  <c r="G609" i="5"/>
  <c r="F609" i="5"/>
  <c r="E609" i="5"/>
  <c r="K608" i="5"/>
  <c r="J608" i="5"/>
  <c r="I608" i="5"/>
  <c r="H608" i="5"/>
  <c r="G608" i="5"/>
  <c r="F608" i="5"/>
  <c r="E608" i="5"/>
  <c r="K607" i="5"/>
  <c r="J607" i="5"/>
  <c r="I607" i="5"/>
  <c r="H607" i="5"/>
  <c r="G607" i="5"/>
  <c r="F607" i="5"/>
  <c r="E607" i="5"/>
  <c r="K601" i="5"/>
  <c r="J601" i="5"/>
  <c r="I601" i="5"/>
  <c r="H601" i="5"/>
  <c r="G601" i="5"/>
  <c r="F601" i="5"/>
  <c r="E601" i="5"/>
  <c r="K595" i="5"/>
  <c r="J595" i="5"/>
  <c r="I595" i="5"/>
  <c r="H595" i="5"/>
  <c r="G595" i="5"/>
  <c r="F595" i="5"/>
  <c r="E595" i="5"/>
  <c r="K589" i="5"/>
  <c r="J589" i="5"/>
  <c r="I589" i="5"/>
  <c r="H589" i="5"/>
  <c r="G589" i="5"/>
  <c r="F589" i="5"/>
  <c r="E589" i="5"/>
  <c r="K583" i="5"/>
  <c r="J583" i="5"/>
  <c r="I583" i="5"/>
  <c r="H583" i="5"/>
  <c r="G583" i="5"/>
  <c r="F583" i="5"/>
  <c r="E583" i="5"/>
  <c r="G612" i="5" l="1"/>
  <c r="K612" i="5"/>
  <c r="E612" i="5"/>
  <c r="I612" i="5"/>
  <c r="F612" i="5"/>
  <c r="J612" i="5"/>
  <c r="H612" i="5"/>
  <c r="K579" i="19"/>
  <c r="K580" i="19" s="1"/>
  <c r="J579" i="19"/>
  <c r="J580" i="19" s="1"/>
  <c r="I579" i="19"/>
  <c r="I580" i="19" s="1"/>
  <c r="H579" i="19"/>
  <c r="H580" i="19" s="1"/>
  <c r="G579" i="19"/>
  <c r="G580" i="19" s="1"/>
  <c r="F579" i="19"/>
  <c r="F580" i="19" s="1"/>
  <c r="E579" i="19"/>
  <c r="E580" i="19" s="1"/>
  <c r="K577" i="19"/>
  <c r="J577" i="19"/>
  <c r="I577" i="19"/>
  <c r="H577" i="19"/>
  <c r="G577" i="19"/>
  <c r="F577" i="19"/>
  <c r="E577" i="19"/>
  <c r="K576" i="19"/>
  <c r="J576" i="19"/>
  <c r="I576" i="19"/>
  <c r="I578" i="19" s="1"/>
  <c r="H576" i="19"/>
  <c r="H578" i="19" s="1"/>
  <c r="G576" i="19"/>
  <c r="F576" i="19"/>
  <c r="E576" i="19"/>
  <c r="K575" i="19"/>
  <c r="J575" i="19"/>
  <c r="I575" i="19"/>
  <c r="H575" i="19"/>
  <c r="G575" i="19"/>
  <c r="F575" i="19"/>
  <c r="E575" i="19"/>
  <c r="K574" i="19"/>
  <c r="J574" i="19"/>
  <c r="I574" i="19"/>
  <c r="H574" i="19"/>
  <c r="G574" i="19"/>
  <c r="F574" i="19"/>
  <c r="E574" i="19"/>
  <c r="K573" i="19"/>
  <c r="J573" i="19"/>
  <c r="I573" i="19"/>
  <c r="H573" i="19"/>
  <c r="G573" i="19"/>
  <c r="F573" i="19"/>
  <c r="E573" i="19"/>
  <c r="K567" i="19"/>
  <c r="J567" i="19"/>
  <c r="I567" i="19"/>
  <c r="H567" i="19"/>
  <c r="G567" i="19"/>
  <c r="F567" i="19"/>
  <c r="E567" i="19"/>
  <c r="K561" i="19"/>
  <c r="J561" i="19"/>
  <c r="I561" i="19"/>
  <c r="H561" i="19"/>
  <c r="G561" i="19"/>
  <c r="F561" i="19"/>
  <c r="E561" i="19"/>
  <c r="K555" i="19"/>
  <c r="J555" i="19"/>
  <c r="I555" i="19"/>
  <c r="H555" i="19"/>
  <c r="G555" i="19"/>
  <c r="F555" i="19"/>
  <c r="E555" i="19"/>
  <c r="K549" i="19"/>
  <c r="J549" i="19"/>
  <c r="I549" i="19"/>
  <c r="H549" i="19"/>
  <c r="G549" i="19"/>
  <c r="F549" i="19"/>
  <c r="E549" i="19"/>
  <c r="K538" i="19"/>
  <c r="K539" i="19" s="1"/>
  <c r="J538" i="19"/>
  <c r="J539" i="19" s="1"/>
  <c r="I538" i="19"/>
  <c r="I539" i="19" s="1"/>
  <c r="H538" i="19"/>
  <c r="H539" i="19" s="1"/>
  <c r="G538" i="19"/>
  <c r="G539" i="19" s="1"/>
  <c r="F538" i="19"/>
  <c r="F539" i="19" s="1"/>
  <c r="E538" i="19"/>
  <c r="E539" i="19" s="1"/>
  <c r="K536" i="19"/>
  <c r="J536" i="19"/>
  <c r="I536" i="19"/>
  <c r="H536" i="19"/>
  <c r="G536" i="19"/>
  <c r="F536" i="19"/>
  <c r="E536" i="19"/>
  <c r="K535" i="19"/>
  <c r="J535" i="19"/>
  <c r="I535" i="19"/>
  <c r="H535" i="19"/>
  <c r="G535" i="19"/>
  <c r="G537" i="19" s="1"/>
  <c r="F535" i="19"/>
  <c r="E535" i="19"/>
  <c r="K534" i="19"/>
  <c r="J534" i="19"/>
  <c r="I534" i="19"/>
  <c r="H534" i="19"/>
  <c r="G534" i="19"/>
  <c r="F534" i="19"/>
  <c r="E534" i="19"/>
  <c r="K533" i="19"/>
  <c r="J533" i="19"/>
  <c r="I533" i="19"/>
  <c r="H533" i="19"/>
  <c r="G533" i="19"/>
  <c r="F533" i="19"/>
  <c r="E533" i="19"/>
  <c r="K532" i="19"/>
  <c r="J532" i="19"/>
  <c r="I532" i="19"/>
  <c r="H532" i="19"/>
  <c r="G532" i="19"/>
  <c r="F532" i="19"/>
  <c r="E532" i="19"/>
  <c r="K526" i="19"/>
  <c r="J526" i="19"/>
  <c r="I526" i="19"/>
  <c r="H526" i="19"/>
  <c r="G526" i="19"/>
  <c r="F526" i="19"/>
  <c r="E526" i="19"/>
  <c r="K520" i="19"/>
  <c r="J520" i="19"/>
  <c r="I520" i="19"/>
  <c r="H520" i="19"/>
  <c r="G520" i="19"/>
  <c r="F520" i="19"/>
  <c r="E520" i="19"/>
  <c r="K514" i="19"/>
  <c r="J514" i="19"/>
  <c r="I514" i="19"/>
  <c r="H514" i="19"/>
  <c r="G514" i="19"/>
  <c r="F514" i="19"/>
  <c r="E514" i="19"/>
  <c r="K508" i="19"/>
  <c r="J508" i="19"/>
  <c r="I508" i="19"/>
  <c r="H508" i="19"/>
  <c r="G508" i="19"/>
  <c r="F508" i="19"/>
  <c r="E508" i="19"/>
  <c r="K497" i="19"/>
  <c r="K498" i="19" s="1"/>
  <c r="J497" i="19"/>
  <c r="J498" i="19" s="1"/>
  <c r="I497" i="19"/>
  <c r="I498" i="19" s="1"/>
  <c r="H497" i="19"/>
  <c r="H498" i="19" s="1"/>
  <c r="G497" i="19"/>
  <c r="G498" i="19" s="1"/>
  <c r="F497" i="19"/>
  <c r="F498" i="19" s="1"/>
  <c r="E497" i="19"/>
  <c r="E498" i="19" s="1"/>
  <c r="K495" i="19"/>
  <c r="J495" i="19"/>
  <c r="I495" i="19"/>
  <c r="H495" i="19"/>
  <c r="G495" i="19"/>
  <c r="F495" i="19"/>
  <c r="E495" i="19"/>
  <c r="K494" i="19"/>
  <c r="K496" i="19" s="1"/>
  <c r="J494" i="19"/>
  <c r="I494" i="19"/>
  <c r="H494" i="19"/>
  <c r="G494" i="19"/>
  <c r="F494" i="19"/>
  <c r="E494" i="19"/>
  <c r="K493" i="19"/>
  <c r="J493" i="19"/>
  <c r="I493" i="19"/>
  <c r="H493" i="19"/>
  <c r="G493" i="19"/>
  <c r="F493" i="19"/>
  <c r="E493" i="19"/>
  <c r="K492" i="19"/>
  <c r="J492" i="19"/>
  <c r="I492" i="19"/>
  <c r="H492" i="19"/>
  <c r="G492" i="19"/>
  <c r="F492" i="19"/>
  <c r="E492" i="19"/>
  <c r="K491" i="19"/>
  <c r="J491" i="19"/>
  <c r="I491" i="19"/>
  <c r="H491" i="19"/>
  <c r="G491" i="19"/>
  <c r="F491" i="19"/>
  <c r="E491" i="19"/>
  <c r="K485" i="19"/>
  <c r="J485" i="19"/>
  <c r="I485" i="19"/>
  <c r="H485" i="19"/>
  <c r="G485" i="19"/>
  <c r="F485" i="19"/>
  <c r="E485" i="19"/>
  <c r="K479" i="19"/>
  <c r="J479" i="19"/>
  <c r="I479" i="19"/>
  <c r="H479" i="19"/>
  <c r="G479" i="19"/>
  <c r="F479" i="19"/>
  <c r="E479" i="19"/>
  <c r="K473" i="19"/>
  <c r="J473" i="19"/>
  <c r="I473" i="19"/>
  <c r="H473" i="19"/>
  <c r="G473" i="19"/>
  <c r="F473" i="19"/>
  <c r="E473" i="19"/>
  <c r="K467" i="19"/>
  <c r="J467" i="19"/>
  <c r="I467" i="19"/>
  <c r="H467" i="19"/>
  <c r="G467" i="19"/>
  <c r="F467" i="19"/>
  <c r="E467" i="19"/>
  <c r="K456" i="19"/>
  <c r="K457" i="19" s="1"/>
  <c r="J456" i="19"/>
  <c r="J457" i="19" s="1"/>
  <c r="I456" i="19"/>
  <c r="I457" i="19" s="1"/>
  <c r="H456" i="19"/>
  <c r="H457" i="19" s="1"/>
  <c r="G456" i="19"/>
  <c r="G457" i="19" s="1"/>
  <c r="F456" i="19"/>
  <c r="F457" i="19" s="1"/>
  <c r="E456" i="19"/>
  <c r="E457" i="19" s="1"/>
  <c r="K454" i="19"/>
  <c r="J454" i="19"/>
  <c r="I454" i="19"/>
  <c r="H454" i="19"/>
  <c r="G454" i="19"/>
  <c r="F454" i="19"/>
  <c r="E454" i="19"/>
  <c r="K453" i="19"/>
  <c r="J453" i="19"/>
  <c r="I453" i="19"/>
  <c r="H453" i="19"/>
  <c r="G453" i="19"/>
  <c r="F453" i="19"/>
  <c r="E453" i="19"/>
  <c r="K452" i="19"/>
  <c r="J452" i="19"/>
  <c r="I452" i="19"/>
  <c r="H452" i="19"/>
  <c r="G452" i="19"/>
  <c r="F452" i="19"/>
  <c r="E452" i="19"/>
  <c r="K451" i="19"/>
  <c r="J451" i="19"/>
  <c r="I451" i="19"/>
  <c r="H451" i="19"/>
  <c r="G451" i="19"/>
  <c r="F451" i="19"/>
  <c r="E451" i="19"/>
  <c r="K450" i="19"/>
  <c r="J450" i="19"/>
  <c r="I450" i="19"/>
  <c r="H450" i="19"/>
  <c r="G450" i="19"/>
  <c r="F450" i="19"/>
  <c r="E450" i="19"/>
  <c r="K444" i="19"/>
  <c r="J444" i="19"/>
  <c r="I444" i="19"/>
  <c r="H444" i="19"/>
  <c r="G444" i="19"/>
  <c r="F444" i="19"/>
  <c r="E444" i="19"/>
  <c r="K438" i="19"/>
  <c r="J438" i="19"/>
  <c r="I438" i="19"/>
  <c r="H438" i="19"/>
  <c r="G438" i="19"/>
  <c r="F438" i="19"/>
  <c r="E438" i="19"/>
  <c r="K432" i="19"/>
  <c r="J432" i="19"/>
  <c r="I432" i="19"/>
  <c r="H432" i="19"/>
  <c r="G432" i="19"/>
  <c r="F432" i="19"/>
  <c r="E432" i="19"/>
  <c r="K426" i="19"/>
  <c r="J426" i="19"/>
  <c r="I426" i="19"/>
  <c r="H426" i="19"/>
  <c r="G426" i="19"/>
  <c r="F426" i="19"/>
  <c r="E426" i="19"/>
  <c r="N400" i="19"/>
  <c r="L400" i="19"/>
  <c r="K400" i="19"/>
  <c r="J400" i="19"/>
  <c r="I400" i="19"/>
  <c r="H400" i="19"/>
  <c r="G400" i="19"/>
  <c r="F400" i="19"/>
  <c r="E400" i="19"/>
  <c r="N389" i="19"/>
  <c r="L389" i="19"/>
  <c r="K389" i="19"/>
  <c r="J389" i="19"/>
  <c r="J416" i="19" s="1"/>
  <c r="I389" i="19"/>
  <c r="H389" i="19"/>
  <c r="G389" i="19"/>
  <c r="F389" i="19"/>
  <c r="E389" i="19"/>
  <c r="N368" i="19"/>
  <c r="L368" i="19"/>
  <c r="K368" i="19"/>
  <c r="J368" i="19"/>
  <c r="I368" i="19"/>
  <c r="H368" i="19"/>
  <c r="G368" i="19"/>
  <c r="F368" i="19"/>
  <c r="E368" i="19"/>
  <c r="N357" i="19"/>
  <c r="L357" i="19"/>
  <c r="K357" i="19"/>
  <c r="J357" i="19"/>
  <c r="I357" i="19"/>
  <c r="H357" i="19"/>
  <c r="G357" i="19"/>
  <c r="F357" i="19"/>
  <c r="E357" i="19"/>
  <c r="N336" i="19"/>
  <c r="L336" i="19"/>
  <c r="K336" i="19"/>
  <c r="J336" i="19"/>
  <c r="I336" i="19"/>
  <c r="H336" i="19"/>
  <c r="G336" i="19"/>
  <c r="F336" i="19"/>
  <c r="E336" i="19"/>
  <c r="N325" i="19"/>
  <c r="L325" i="19"/>
  <c r="K325" i="19"/>
  <c r="J325" i="19"/>
  <c r="I325" i="19"/>
  <c r="H325" i="19"/>
  <c r="G325" i="19"/>
  <c r="F325" i="19"/>
  <c r="E325" i="19"/>
  <c r="N304" i="19"/>
  <c r="L304" i="19"/>
  <c r="K304" i="19"/>
  <c r="J304" i="19"/>
  <c r="I304" i="19"/>
  <c r="H304" i="19"/>
  <c r="G304" i="19"/>
  <c r="F304" i="19"/>
  <c r="E304" i="19"/>
  <c r="N293" i="19"/>
  <c r="L293" i="19"/>
  <c r="K293" i="19"/>
  <c r="J293" i="19"/>
  <c r="I293" i="19"/>
  <c r="H293" i="19"/>
  <c r="G293" i="19"/>
  <c r="F293" i="19"/>
  <c r="E293" i="19"/>
  <c r="N272" i="19"/>
  <c r="L272" i="19"/>
  <c r="K272" i="19"/>
  <c r="J272" i="19"/>
  <c r="I272" i="19"/>
  <c r="H272" i="19"/>
  <c r="G272" i="19"/>
  <c r="F272" i="19"/>
  <c r="E272" i="19"/>
  <c r="N261" i="19"/>
  <c r="L261" i="19"/>
  <c r="K261" i="19"/>
  <c r="J261" i="19"/>
  <c r="I261" i="19"/>
  <c r="H261" i="19"/>
  <c r="G261" i="19"/>
  <c r="F261" i="19"/>
  <c r="E261" i="19"/>
  <c r="N240" i="19"/>
  <c r="L240" i="19"/>
  <c r="K240" i="19"/>
  <c r="J240" i="19"/>
  <c r="I240" i="19"/>
  <c r="H240" i="19"/>
  <c r="G240" i="19"/>
  <c r="F240" i="19"/>
  <c r="E240" i="19"/>
  <c r="N229" i="19"/>
  <c r="L229" i="19"/>
  <c r="K229" i="19"/>
  <c r="J229" i="19"/>
  <c r="I229" i="19"/>
  <c r="H229" i="19"/>
  <c r="G229" i="19"/>
  <c r="F229" i="19"/>
  <c r="E229" i="19"/>
  <c r="N208" i="19"/>
  <c r="L208" i="19"/>
  <c r="K208" i="19"/>
  <c r="J208" i="19"/>
  <c r="I208" i="19"/>
  <c r="H208" i="19"/>
  <c r="G208" i="19"/>
  <c r="F208" i="19"/>
  <c r="E208" i="19"/>
  <c r="N197" i="19"/>
  <c r="L197" i="19"/>
  <c r="K197" i="19"/>
  <c r="J197" i="19"/>
  <c r="I197" i="19"/>
  <c r="H197" i="19"/>
  <c r="G197" i="19"/>
  <c r="F197" i="19"/>
  <c r="E197" i="19"/>
  <c r="N176" i="19"/>
  <c r="M176" i="19"/>
  <c r="L176" i="19"/>
  <c r="K176" i="19"/>
  <c r="J176" i="19"/>
  <c r="I176" i="19"/>
  <c r="H176" i="19"/>
  <c r="G176" i="19"/>
  <c r="F176" i="19"/>
  <c r="E176" i="19"/>
  <c r="N165" i="19"/>
  <c r="M165" i="19"/>
  <c r="L165" i="19"/>
  <c r="K165" i="19"/>
  <c r="J165" i="19"/>
  <c r="I165" i="19"/>
  <c r="I192" i="19" s="1"/>
  <c r="H165" i="19"/>
  <c r="G165" i="19"/>
  <c r="F165" i="19"/>
  <c r="E165" i="19"/>
  <c r="N144" i="19"/>
  <c r="M144" i="19"/>
  <c r="L144" i="19"/>
  <c r="K144" i="19"/>
  <c r="J144" i="19"/>
  <c r="I144" i="19"/>
  <c r="H144" i="19"/>
  <c r="G144" i="19"/>
  <c r="F144" i="19"/>
  <c r="E144" i="19"/>
  <c r="N133" i="19"/>
  <c r="M133" i="19"/>
  <c r="L133" i="19"/>
  <c r="K133" i="19"/>
  <c r="J133" i="19"/>
  <c r="I133" i="19"/>
  <c r="H133" i="19"/>
  <c r="G133" i="19"/>
  <c r="F133" i="19"/>
  <c r="E133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N112" i="19"/>
  <c r="M112" i="19"/>
  <c r="L112" i="19"/>
  <c r="J112" i="19"/>
  <c r="I112" i="19"/>
  <c r="H112" i="19"/>
  <c r="G112" i="19"/>
  <c r="F112" i="19"/>
  <c r="E112" i="19"/>
  <c r="K111" i="19"/>
  <c r="K110" i="19"/>
  <c r="K109" i="19"/>
  <c r="K108" i="19"/>
  <c r="K107" i="19"/>
  <c r="K106" i="19"/>
  <c r="K105" i="19"/>
  <c r="K104" i="19"/>
  <c r="K103" i="19"/>
  <c r="K102" i="19"/>
  <c r="N101" i="19"/>
  <c r="M101" i="19"/>
  <c r="L101" i="19"/>
  <c r="J101" i="19"/>
  <c r="I101" i="19"/>
  <c r="H101" i="19"/>
  <c r="G101" i="19"/>
  <c r="F101" i="19"/>
  <c r="E101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N80" i="19"/>
  <c r="M80" i="19"/>
  <c r="L80" i="19"/>
  <c r="J80" i="19"/>
  <c r="I80" i="19"/>
  <c r="H80" i="19"/>
  <c r="G80" i="19"/>
  <c r="F80" i="19"/>
  <c r="E80" i="19"/>
  <c r="K79" i="19"/>
  <c r="K78" i="19"/>
  <c r="K77" i="19"/>
  <c r="K76" i="19"/>
  <c r="K75" i="19"/>
  <c r="K74" i="19"/>
  <c r="K73" i="19"/>
  <c r="K72" i="19"/>
  <c r="K71" i="19"/>
  <c r="K70" i="19"/>
  <c r="N69" i="19"/>
  <c r="M69" i="19"/>
  <c r="L69" i="19"/>
  <c r="L96" i="19" s="1"/>
  <c r="J69" i="19"/>
  <c r="J96" i="19" s="1"/>
  <c r="I69" i="19"/>
  <c r="H69" i="19"/>
  <c r="G69" i="19"/>
  <c r="F69" i="19"/>
  <c r="E69" i="19"/>
  <c r="N48" i="19"/>
  <c r="L48" i="19"/>
  <c r="K48" i="19"/>
  <c r="J48" i="19"/>
  <c r="I48" i="19"/>
  <c r="H48" i="19"/>
  <c r="G48" i="19"/>
  <c r="F48" i="19"/>
  <c r="E48" i="19"/>
  <c r="K47" i="19"/>
  <c r="K46" i="19"/>
  <c r="K45" i="19"/>
  <c r="K44" i="19"/>
  <c r="K43" i="19"/>
  <c r="N37" i="19"/>
  <c r="L37" i="19"/>
  <c r="J37" i="19"/>
  <c r="I37" i="19"/>
  <c r="H37" i="19"/>
  <c r="G37" i="19"/>
  <c r="F37" i="19"/>
  <c r="E37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N16" i="19"/>
  <c r="L16" i="19"/>
  <c r="J16" i="19"/>
  <c r="I16" i="19"/>
  <c r="H16" i="19"/>
  <c r="G16" i="19"/>
  <c r="F16" i="19"/>
  <c r="E16" i="19"/>
  <c r="K15" i="19"/>
  <c r="K14" i="19"/>
  <c r="K13" i="19"/>
  <c r="K12" i="19"/>
  <c r="K11" i="19"/>
  <c r="K10" i="19"/>
  <c r="K9" i="19"/>
  <c r="K8" i="19"/>
  <c r="K7" i="19"/>
  <c r="K6" i="19"/>
  <c r="N5" i="19"/>
  <c r="L5" i="19"/>
  <c r="J5" i="19"/>
  <c r="I5" i="19"/>
  <c r="H5" i="19"/>
  <c r="G5" i="19"/>
  <c r="F5" i="19"/>
  <c r="E5" i="19"/>
  <c r="K573" i="5"/>
  <c r="J573" i="5"/>
  <c r="I573" i="5"/>
  <c r="H573" i="5"/>
  <c r="G573" i="5"/>
  <c r="F573" i="5"/>
  <c r="E573" i="5"/>
  <c r="K571" i="5"/>
  <c r="J571" i="5"/>
  <c r="I571" i="5"/>
  <c r="H571" i="5"/>
  <c r="G571" i="5"/>
  <c r="F571" i="5"/>
  <c r="E571" i="5"/>
  <c r="K570" i="5"/>
  <c r="J570" i="5"/>
  <c r="I570" i="5"/>
  <c r="H570" i="5"/>
  <c r="G570" i="5"/>
  <c r="F570" i="5"/>
  <c r="E570" i="5"/>
  <c r="K569" i="5"/>
  <c r="J569" i="5"/>
  <c r="I569" i="5"/>
  <c r="H569" i="5"/>
  <c r="G569" i="5"/>
  <c r="F569" i="5"/>
  <c r="E569" i="5"/>
  <c r="K568" i="5"/>
  <c r="J568" i="5"/>
  <c r="I568" i="5"/>
  <c r="H568" i="5"/>
  <c r="G568" i="5"/>
  <c r="F568" i="5"/>
  <c r="E568" i="5"/>
  <c r="K567" i="5"/>
  <c r="J567" i="5"/>
  <c r="I567" i="5"/>
  <c r="H567" i="5"/>
  <c r="G567" i="5"/>
  <c r="F567" i="5"/>
  <c r="E567" i="5"/>
  <c r="K561" i="5"/>
  <c r="J561" i="5"/>
  <c r="I561" i="5"/>
  <c r="H561" i="5"/>
  <c r="G561" i="5"/>
  <c r="F561" i="5"/>
  <c r="E561" i="5"/>
  <c r="K555" i="5"/>
  <c r="J555" i="5"/>
  <c r="I555" i="5"/>
  <c r="H555" i="5"/>
  <c r="G555" i="5"/>
  <c r="F555" i="5"/>
  <c r="E555" i="5"/>
  <c r="K549" i="5"/>
  <c r="J549" i="5"/>
  <c r="I549" i="5"/>
  <c r="H549" i="5"/>
  <c r="G549" i="5"/>
  <c r="F549" i="5"/>
  <c r="E549" i="5"/>
  <c r="K543" i="5"/>
  <c r="J543" i="5"/>
  <c r="I543" i="5"/>
  <c r="H543" i="5"/>
  <c r="G543" i="5"/>
  <c r="F543" i="5"/>
  <c r="E543" i="5"/>
  <c r="K533" i="5"/>
  <c r="J533" i="5"/>
  <c r="I533" i="5"/>
  <c r="H533" i="5"/>
  <c r="G533" i="5"/>
  <c r="F533" i="5"/>
  <c r="E533" i="5"/>
  <c r="K531" i="5"/>
  <c r="J531" i="5"/>
  <c r="I531" i="5"/>
  <c r="H531" i="5"/>
  <c r="G531" i="5"/>
  <c r="F531" i="5"/>
  <c r="E531" i="5"/>
  <c r="K530" i="5"/>
  <c r="J530" i="5"/>
  <c r="I530" i="5"/>
  <c r="H530" i="5"/>
  <c r="G530" i="5"/>
  <c r="F530" i="5"/>
  <c r="E530" i="5"/>
  <c r="K529" i="5"/>
  <c r="J529" i="5"/>
  <c r="I529" i="5"/>
  <c r="H529" i="5"/>
  <c r="G529" i="5"/>
  <c r="F529" i="5"/>
  <c r="E529" i="5"/>
  <c r="K528" i="5"/>
  <c r="J528" i="5"/>
  <c r="I528" i="5"/>
  <c r="H528" i="5"/>
  <c r="G528" i="5"/>
  <c r="F528" i="5"/>
  <c r="E528" i="5"/>
  <c r="K527" i="5"/>
  <c r="J527" i="5"/>
  <c r="I527" i="5"/>
  <c r="H527" i="5"/>
  <c r="G527" i="5"/>
  <c r="F527" i="5"/>
  <c r="E527" i="5"/>
  <c r="K521" i="5"/>
  <c r="J521" i="5"/>
  <c r="I521" i="5"/>
  <c r="H521" i="5"/>
  <c r="G521" i="5"/>
  <c r="F521" i="5"/>
  <c r="E521" i="5"/>
  <c r="K515" i="5"/>
  <c r="J515" i="5"/>
  <c r="I515" i="5"/>
  <c r="H515" i="5"/>
  <c r="G515" i="5"/>
  <c r="F515" i="5"/>
  <c r="E515" i="5"/>
  <c r="K509" i="5"/>
  <c r="J509" i="5"/>
  <c r="I509" i="5"/>
  <c r="H509" i="5"/>
  <c r="G509" i="5"/>
  <c r="F509" i="5"/>
  <c r="E509" i="5"/>
  <c r="K503" i="5"/>
  <c r="J503" i="5"/>
  <c r="I503" i="5"/>
  <c r="H503" i="5"/>
  <c r="G503" i="5"/>
  <c r="F503" i="5"/>
  <c r="E503" i="5"/>
  <c r="K493" i="5"/>
  <c r="J493" i="5"/>
  <c r="I493" i="5"/>
  <c r="H493" i="5"/>
  <c r="G493" i="5"/>
  <c r="F493" i="5"/>
  <c r="E493" i="5"/>
  <c r="K491" i="5"/>
  <c r="J491" i="5"/>
  <c r="I491" i="5"/>
  <c r="H491" i="5"/>
  <c r="G491" i="5"/>
  <c r="F491" i="5"/>
  <c r="E491" i="5"/>
  <c r="K490" i="5"/>
  <c r="J490" i="5"/>
  <c r="I490" i="5"/>
  <c r="H490" i="5"/>
  <c r="G490" i="5"/>
  <c r="F490" i="5"/>
  <c r="E490" i="5"/>
  <c r="K489" i="5"/>
  <c r="J489" i="5"/>
  <c r="I489" i="5"/>
  <c r="H489" i="5"/>
  <c r="G489" i="5"/>
  <c r="F489" i="5"/>
  <c r="E489" i="5"/>
  <c r="K488" i="5"/>
  <c r="J488" i="5"/>
  <c r="I488" i="5"/>
  <c r="H488" i="5"/>
  <c r="G488" i="5"/>
  <c r="F488" i="5"/>
  <c r="E488" i="5"/>
  <c r="K487" i="5"/>
  <c r="J487" i="5"/>
  <c r="I487" i="5"/>
  <c r="H487" i="5"/>
  <c r="G487" i="5"/>
  <c r="F487" i="5"/>
  <c r="E487" i="5"/>
  <c r="K481" i="5"/>
  <c r="J481" i="5"/>
  <c r="I481" i="5"/>
  <c r="H481" i="5"/>
  <c r="G481" i="5"/>
  <c r="F481" i="5"/>
  <c r="E481" i="5"/>
  <c r="K475" i="5"/>
  <c r="J475" i="5"/>
  <c r="I475" i="5"/>
  <c r="H475" i="5"/>
  <c r="G475" i="5"/>
  <c r="F475" i="5"/>
  <c r="E475" i="5"/>
  <c r="K469" i="5"/>
  <c r="J469" i="5"/>
  <c r="I469" i="5"/>
  <c r="H469" i="5"/>
  <c r="G469" i="5"/>
  <c r="F469" i="5"/>
  <c r="E469" i="5"/>
  <c r="K463" i="5"/>
  <c r="J463" i="5"/>
  <c r="I463" i="5"/>
  <c r="H463" i="5"/>
  <c r="G463" i="5"/>
  <c r="F463" i="5"/>
  <c r="E463" i="5"/>
  <c r="K452" i="5"/>
  <c r="K453" i="5" s="1"/>
  <c r="J452" i="5"/>
  <c r="J453" i="5" s="1"/>
  <c r="I452" i="5"/>
  <c r="I453" i="5" s="1"/>
  <c r="H452" i="5"/>
  <c r="H453" i="5" s="1"/>
  <c r="G452" i="5"/>
  <c r="G453" i="5" s="1"/>
  <c r="F452" i="5"/>
  <c r="F453" i="5" s="1"/>
  <c r="E452" i="5"/>
  <c r="E453" i="5" s="1"/>
  <c r="K450" i="5"/>
  <c r="J450" i="5"/>
  <c r="I450" i="5"/>
  <c r="H450" i="5"/>
  <c r="G450" i="5"/>
  <c r="F450" i="5"/>
  <c r="E450" i="5"/>
  <c r="K449" i="5"/>
  <c r="J449" i="5"/>
  <c r="I449" i="5"/>
  <c r="H449" i="5"/>
  <c r="G449" i="5"/>
  <c r="F449" i="5"/>
  <c r="E449" i="5"/>
  <c r="K448" i="5"/>
  <c r="J448" i="5"/>
  <c r="I448" i="5"/>
  <c r="H448" i="5"/>
  <c r="G448" i="5"/>
  <c r="F448" i="5"/>
  <c r="E448" i="5"/>
  <c r="K447" i="5"/>
  <c r="J447" i="5"/>
  <c r="I447" i="5"/>
  <c r="H447" i="5"/>
  <c r="G447" i="5"/>
  <c r="F447" i="5"/>
  <c r="E447" i="5"/>
  <c r="K446" i="5"/>
  <c r="J446" i="5"/>
  <c r="I446" i="5"/>
  <c r="H446" i="5"/>
  <c r="G446" i="5"/>
  <c r="F446" i="5"/>
  <c r="E446" i="5"/>
  <c r="K440" i="5"/>
  <c r="J440" i="5"/>
  <c r="I440" i="5"/>
  <c r="H440" i="5"/>
  <c r="G440" i="5"/>
  <c r="F440" i="5"/>
  <c r="E440" i="5"/>
  <c r="K434" i="5"/>
  <c r="J434" i="5"/>
  <c r="I434" i="5"/>
  <c r="H434" i="5"/>
  <c r="G434" i="5"/>
  <c r="F434" i="5"/>
  <c r="E434" i="5"/>
  <c r="K428" i="5"/>
  <c r="J428" i="5"/>
  <c r="I428" i="5"/>
  <c r="H428" i="5"/>
  <c r="G428" i="5"/>
  <c r="F428" i="5"/>
  <c r="E428" i="5"/>
  <c r="K422" i="5"/>
  <c r="J422" i="5"/>
  <c r="I422" i="5"/>
  <c r="H422" i="5"/>
  <c r="G422" i="5"/>
  <c r="F422" i="5"/>
  <c r="E422" i="5"/>
  <c r="K411" i="5"/>
  <c r="K412" i="5" s="1"/>
  <c r="J411" i="5"/>
  <c r="J412" i="5" s="1"/>
  <c r="I411" i="5"/>
  <c r="I412" i="5" s="1"/>
  <c r="H411" i="5"/>
  <c r="H412" i="5" s="1"/>
  <c r="G411" i="5"/>
  <c r="G412" i="5" s="1"/>
  <c r="F411" i="5"/>
  <c r="F412" i="5" s="1"/>
  <c r="E411" i="5"/>
  <c r="E412" i="5" s="1"/>
  <c r="K409" i="5"/>
  <c r="J409" i="5"/>
  <c r="I409" i="5"/>
  <c r="H409" i="5"/>
  <c r="G409" i="5"/>
  <c r="F409" i="5"/>
  <c r="E409" i="5"/>
  <c r="K408" i="5"/>
  <c r="J408" i="5"/>
  <c r="I408" i="5"/>
  <c r="H408" i="5"/>
  <c r="G408" i="5"/>
  <c r="F408" i="5"/>
  <c r="E408" i="5"/>
  <c r="K407" i="5"/>
  <c r="J407" i="5"/>
  <c r="I407" i="5"/>
  <c r="H407" i="5"/>
  <c r="G407" i="5"/>
  <c r="F407" i="5"/>
  <c r="E407" i="5"/>
  <c r="K406" i="5"/>
  <c r="J406" i="5"/>
  <c r="I406" i="5"/>
  <c r="H406" i="5"/>
  <c r="G406" i="5"/>
  <c r="F406" i="5"/>
  <c r="E406" i="5"/>
  <c r="K405" i="5"/>
  <c r="J405" i="5"/>
  <c r="I405" i="5"/>
  <c r="H405" i="5"/>
  <c r="G405" i="5"/>
  <c r="F405" i="5"/>
  <c r="E405" i="5"/>
  <c r="K399" i="5"/>
  <c r="J399" i="5"/>
  <c r="I399" i="5"/>
  <c r="H399" i="5"/>
  <c r="G399" i="5"/>
  <c r="F399" i="5"/>
  <c r="E399" i="5"/>
  <c r="K393" i="5"/>
  <c r="J393" i="5"/>
  <c r="I393" i="5"/>
  <c r="H393" i="5"/>
  <c r="G393" i="5"/>
  <c r="F393" i="5"/>
  <c r="E393" i="5"/>
  <c r="K387" i="5"/>
  <c r="J387" i="5"/>
  <c r="I387" i="5"/>
  <c r="H387" i="5"/>
  <c r="G387" i="5"/>
  <c r="F387" i="5"/>
  <c r="E387" i="5"/>
  <c r="K381" i="5"/>
  <c r="J381" i="5"/>
  <c r="I381" i="5"/>
  <c r="H381" i="5"/>
  <c r="G381" i="5"/>
  <c r="F381" i="5"/>
  <c r="E381" i="5"/>
  <c r="K369" i="5"/>
  <c r="K370" i="5" s="1"/>
  <c r="J369" i="5"/>
  <c r="J370" i="5" s="1"/>
  <c r="I369" i="5"/>
  <c r="I370" i="5" s="1"/>
  <c r="H369" i="5"/>
  <c r="H370" i="5" s="1"/>
  <c r="G369" i="5"/>
  <c r="G370" i="5" s="1"/>
  <c r="F369" i="5"/>
  <c r="F370" i="5" s="1"/>
  <c r="E369" i="5"/>
  <c r="E370" i="5" s="1"/>
  <c r="K367" i="5"/>
  <c r="J367" i="5"/>
  <c r="I367" i="5"/>
  <c r="H367" i="5"/>
  <c r="G367" i="5"/>
  <c r="F367" i="5"/>
  <c r="E367" i="5"/>
  <c r="K366" i="5"/>
  <c r="J366" i="5"/>
  <c r="I366" i="5"/>
  <c r="H366" i="5"/>
  <c r="G366" i="5"/>
  <c r="F366" i="5"/>
  <c r="E366" i="5"/>
  <c r="K365" i="5"/>
  <c r="J365" i="5"/>
  <c r="I365" i="5"/>
  <c r="H365" i="5"/>
  <c r="G365" i="5"/>
  <c r="F365" i="5"/>
  <c r="E365" i="5"/>
  <c r="K364" i="5"/>
  <c r="J364" i="5"/>
  <c r="I364" i="5"/>
  <c r="H364" i="5"/>
  <c r="G364" i="5"/>
  <c r="F364" i="5"/>
  <c r="E364" i="5"/>
  <c r="K363" i="5"/>
  <c r="J363" i="5"/>
  <c r="I363" i="5"/>
  <c r="H363" i="5"/>
  <c r="G363" i="5"/>
  <c r="F363" i="5"/>
  <c r="E363" i="5"/>
  <c r="K357" i="5"/>
  <c r="J357" i="5"/>
  <c r="I357" i="5"/>
  <c r="H357" i="5"/>
  <c r="G357" i="5"/>
  <c r="F357" i="5"/>
  <c r="E357" i="5"/>
  <c r="K351" i="5"/>
  <c r="J351" i="5"/>
  <c r="I351" i="5"/>
  <c r="H351" i="5"/>
  <c r="G351" i="5"/>
  <c r="F351" i="5"/>
  <c r="E351" i="5"/>
  <c r="K345" i="5"/>
  <c r="J345" i="5"/>
  <c r="I345" i="5"/>
  <c r="H345" i="5"/>
  <c r="G345" i="5"/>
  <c r="F345" i="5"/>
  <c r="E345" i="5"/>
  <c r="K339" i="5"/>
  <c r="J339" i="5"/>
  <c r="I339" i="5"/>
  <c r="H339" i="5"/>
  <c r="G339" i="5"/>
  <c r="F339" i="5"/>
  <c r="E339" i="5"/>
  <c r="K328" i="5"/>
  <c r="K329" i="5" s="1"/>
  <c r="J328" i="5"/>
  <c r="J329" i="5" s="1"/>
  <c r="I328" i="5"/>
  <c r="I329" i="5" s="1"/>
  <c r="H328" i="5"/>
  <c r="H329" i="5" s="1"/>
  <c r="G328" i="5"/>
  <c r="G329" i="5" s="1"/>
  <c r="F328" i="5"/>
  <c r="F329" i="5" s="1"/>
  <c r="E328" i="5"/>
  <c r="E329" i="5" s="1"/>
  <c r="K326" i="5"/>
  <c r="J326" i="5"/>
  <c r="I326" i="5"/>
  <c r="H326" i="5"/>
  <c r="G326" i="5"/>
  <c r="F326" i="5"/>
  <c r="E326" i="5"/>
  <c r="K325" i="5"/>
  <c r="J325" i="5"/>
  <c r="I325" i="5"/>
  <c r="H325" i="5"/>
  <c r="G325" i="5"/>
  <c r="F325" i="5"/>
  <c r="E325" i="5"/>
  <c r="K324" i="5"/>
  <c r="J324" i="5"/>
  <c r="I324" i="5"/>
  <c r="H324" i="5"/>
  <c r="G324" i="5"/>
  <c r="F324" i="5"/>
  <c r="E324" i="5"/>
  <c r="K323" i="5"/>
  <c r="J323" i="5"/>
  <c r="I323" i="5"/>
  <c r="H323" i="5"/>
  <c r="G323" i="5"/>
  <c r="F323" i="5"/>
  <c r="E323" i="5"/>
  <c r="K322" i="5"/>
  <c r="J322" i="5"/>
  <c r="I322" i="5"/>
  <c r="H322" i="5"/>
  <c r="G322" i="5"/>
  <c r="F322" i="5"/>
  <c r="E322" i="5"/>
  <c r="K316" i="5"/>
  <c r="J316" i="5"/>
  <c r="I316" i="5"/>
  <c r="H316" i="5"/>
  <c r="G316" i="5"/>
  <c r="F316" i="5"/>
  <c r="E316" i="5"/>
  <c r="K310" i="5"/>
  <c r="J310" i="5"/>
  <c r="I310" i="5"/>
  <c r="H310" i="5"/>
  <c r="G310" i="5"/>
  <c r="F310" i="5"/>
  <c r="E310" i="5"/>
  <c r="K304" i="5"/>
  <c r="J304" i="5"/>
  <c r="I304" i="5"/>
  <c r="H304" i="5"/>
  <c r="G304" i="5"/>
  <c r="F304" i="5"/>
  <c r="E304" i="5"/>
  <c r="K298" i="5"/>
  <c r="J298" i="5"/>
  <c r="I298" i="5"/>
  <c r="H298" i="5"/>
  <c r="G298" i="5"/>
  <c r="F298" i="5"/>
  <c r="E298" i="5"/>
  <c r="K287" i="5"/>
  <c r="K288" i="5" s="1"/>
  <c r="J287" i="5"/>
  <c r="J288" i="5" s="1"/>
  <c r="I287" i="5"/>
  <c r="I288" i="5" s="1"/>
  <c r="H287" i="5"/>
  <c r="H288" i="5" s="1"/>
  <c r="G287" i="5"/>
  <c r="G288" i="5" s="1"/>
  <c r="F287" i="5"/>
  <c r="F288" i="5" s="1"/>
  <c r="E287" i="5"/>
  <c r="E288" i="5" s="1"/>
  <c r="K285" i="5"/>
  <c r="J285" i="5"/>
  <c r="I285" i="5"/>
  <c r="H285" i="5"/>
  <c r="G285" i="5"/>
  <c r="F285" i="5"/>
  <c r="E285" i="5"/>
  <c r="K284" i="5"/>
  <c r="J284" i="5"/>
  <c r="I284" i="5"/>
  <c r="H284" i="5"/>
  <c r="G284" i="5"/>
  <c r="F284" i="5"/>
  <c r="E284" i="5"/>
  <c r="K283" i="5"/>
  <c r="J283" i="5"/>
  <c r="I283" i="5"/>
  <c r="H283" i="5"/>
  <c r="G283" i="5"/>
  <c r="F283" i="5"/>
  <c r="E283" i="5"/>
  <c r="K282" i="5"/>
  <c r="J282" i="5"/>
  <c r="I282" i="5"/>
  <c r="H282" i="5"/>
  <c r="G282" i="5"/>
  <c r="F282" i="5"/>
  <c r="E282" i="5"/>
  <c r="K281" i="5"/>
  <c r="J281" i="5"/>
  <c r="I281" i="5"/>
  <c r="H281" i="5"/>
  <c r="G281" i="5"/>
  <c r="F281" i="5"/>
  <c r="E281" i="5"/>
  <c r="K275" i="5"/>
  <c r="J275" i="5"/>
  <c r="I275" i="5"/>
  <c r="H275" i="5"/>
  <c r="G275" i="5"/>
  <c r="F275" i="5"/>
  <c r="E275" i="5"/>
  <c r="K269" i="5"/>
  <c r="J269" i="5"/>
  <c r="I269" i="5"/>
  <c r="H269" i="5"/>
  <c r="G269" i="5"/>
  <c r="F269" i="5"/>
  <c r="E269" i="5"/>
  <c r="K263" i="5"/>
  <c r="J263" i="5"/>
  <c r="I263" i="5"/>
  <c r="H263" i="5"/>
  <c r="G263" i="5"/>
  <c r="F263" i="5"/>
  <c r="E263" i="5"/>
  <c r="K257" i="5"/>
  <c r="J257" i="5"/>
  <c r="I257" i="5"/>
  <c r="H257" i="5"/>
  <c r="G257" i="5"/>
  <c r="F257" i="5"/>
  <c r="E257" i="5"/>
  <c r="K246" i="5"/>
  <c r="K247" i="5" s="1"/>
  <c r="J246" i="5"/>
  <c r="J247" i="5" s="1"/>
  <c r="I246" i="5"/>
  <c r="I247" i="5" s="1"/>
  <c r="H246" i="5"/>
  <c r="H247" i="5" s="1"/>
  <c r="G246" i="5"/>
  <c r="G247" i="5" s="1"/>
  <c r="F246" i="5"/>
  <c r="F247" i="5" s="1"/>
  <c r="E246" i="5"/>
  <c r="E247" i="5" s="1"/>
  <c r="K244" i="5"/>
  <c r="J244" i="5"/>
  <c r="I244" i="5"/>
  <c r="H244" i="5"/>
  <c r="G244" i="5"/>
  <c r="F244" i="5"/>
  <c r="E244" i="5"/>
  <c r="K243" i="5"/>
  <c r="J243" i="5"/>
  <c r="I243" i="5"/>
  <c r="H243" i="5"/>
  <c r="G243" i="5"/>
  <c r="F243" i="5"/>
  <c r="E243" i="5"/>
  <c r="K242" i="5"/>
  <c r="J242" i="5"/>
  <c r="I242" i="5"/>
  <c r="H242" i="5"/>
  <c r="G242" i="5"/>
  <c r="F242" i="5"/>
  <c r="E242" i="5"/>
  <c r="K241" i="5"/>
  <c r="J241" i="5"/>
  <c r="I241" i="5"/>
  <c r="H241" i="5"/>
  <c r="G241" i="5"/>
  <c r="F241" i="5"/>
  <c r="E241" i="5"/>
  <c r="K240" i="5"/>
  <c r="J240" i="5"/>
  <c r="I240" i="5"/>
  <c r="H240" i="5"/>
  <c r="G240" i="5"/>
  <c r="F240" i="5"/>
  <c r="E240" i="5"/>
  <c r="K234" i="5"/>
  <c r="J234" i="5"/>
  <c r="I234" i="5"/>
  <c r="H234" i="5"/>
  <c r="G234" i="5"/>
  <c r="F234" i="5"/>
  <c r="E234" i="5"/>
  <c r="K228" i="5"/>
  <c r="J228" i="5"/>
  <c r="I228" i="5"/>
  <c r="H228" i="5"/>
  <c r="G228" i="5"/>
  <c r="F228" i="5"/>
  <c r="E228" i="5"/>
  <c r="K222" i="5"/>
  <c r="J222" i="5"/>
  <c r="I222" i="5"/>
  <c r="H222" i="5"/>
  <c r="G222" i="5"/>
  <c r="F222" i="5"/>
  <c r="E222" i="5"/>
  <c r="K216" i="5"/>
  <c r="J216" i="5"/>
  <c r="I216" i="5"/>
  <c r="H216" i="5"/>
  <c r="G216" i="5"/>
  <c r="F216" i="5"/>
  <c r="E216" i="5"/>
  <c r="K205" i="5"/>
  <c r="K206" i="5" s="1"/>
  <c r="J205" i="5"/>
  <c r="J206" i="5" s="1"/>
  <c r="I205" i="5"/>
  <c r="I206" i="5" s="1"/>
  <c r="H205" i="5"/>
  <c r="H206" i="5" s="1"/>
  <c r="G205" i="5"/>
  <c r="G206" i="5" s="1"/>
  <c r="F205" i="5"/>
  <c r="F206" i="5" s="1"/>
  <c r="E205" i="5"/>
  <c r="E206" i="5" s="1"/>
  <c r="K203" i="5"/>
  <c r="J203" i="5"/>
  <c r="I203" i="5"/>
  <c r="H203" i="5"/>
  <c r="G203" i="5"/>
  <c r="F203" i="5"/>
  <c r="E203" i="5"/>
  <c r="K202" i="5"/>
  <c r="J202" i="5"/>
  <c r="I202" i="5"/>
  <c r="H202" i="5"/>
  <c r="G202" i="5"/>
  <c r="F202" i="5"/>
  <c r="E202" i="5"/>
  <c r="K201" i="5"/>
  <c r="J201" i="5"/>
  <c r="I201" i="5"/>
  <c r="H201" i="5"/>
  <c r="G201" i="5"/>
  <c r="F201" i="5"/>
  <c r="E201" i="5"/>
  <c r="K200" i="5"/>
  <c r="J200" i="5"/>
  <c r="I200" i="5"/>
  <c r="H200" i="5"/>
  <c r="G200" i="5"/>
  <c r="F200" i="5"/>
  <c r="E200" i="5"/>
  <c r="K199" i="5"/>
  <c r="J199" i="5"/>
  <c r="I199" i="5"/>
  <c r="H199" i="5"/>
  <c r="G199" i="5"/>
  <c r="F199" i="5"/>
  <c r="E199" i="5"/>
  <c r="K193" i="5"/>
  <c r="J193" i="5"/>
  <c r="I193" i="5"/>
  <c r="H193" i="5"/>
  <c r="G193" i="5"/>
  <c r="F193" i="5"/>
  <c r="E193" i="5"/>
  <c r="K187" i="5"/>
  <c r="J187" i="5"/>
  <c r="I187" i="5"/>
  <c r="H187" i="5"/>
  <c r="G187" i="5"/>
  <c r="F187" i="5"/>
  <c r="E187" i="5"/>
  <c r="K181" i="5"/>
  <c r="J181" i="5"/>
  <c r="I181" i="5"/>
  <c r="H181" i="5"/>
  <c r="G181" i="5"/>
  <c r="F181" i="5"/>
  <c r="E181" i="5"/>
  <c r="K175" i="5"/>
  <c r="J175" i="5"/>
  <c r="I175" i="5"/>
  <c r="H175" i="5"/>
  <c r="G175" i="5"/>
  <c r="F175" i="5"/>
  <c r="E175" i="5"/>
  <c r="K164" i="5"/>
  <c r="K165" i="5" s="1"/>
  <c r="J164" i="5"/>
  <c r="J165" i="5" s="1"/>
  <c r="I164" i="5"/>
  <c r="I165" i="5" s="1"/>
  <c r="H164" i="5"/>
  <c r="H165" i="5" s="1"/>
  <c r="G164" i="5"/>
  <c r="G165" i="5" s="1"/>
  <c r="F164" i="5"/>
  <c r="F165" i="5" s="1"/>
  <c r="E164" i="5"/>
  <c r="E165" i="5" s="1"/>
  <c r="K162" i="5"/>
  <c r="J162" i="5"/>
  <c r="I162" i="5"/>
  <c r="H162" i="5"/>
  <c r="G162" i="5"/>
  <c r="F162" i="5"/>
  <c r="E162" i="5"/>
  <c r="K161" i="5"/>
  <c r="J161" i="5"/>
  <c r="I161" i="5"/>
  <c r="H161" i="5"/>
  <c r="G161" i="5"/>
  <c r="F161" i="5"/>
  <c r="E161" i="5"/>
  <c r="K160" i="5"/>
  <c r="J160" i="5"/>
  <c r="I160" i="5"/>
  <c r="H160" i="5"/>
  <c r="G160" i="5"/>
  <c r="F160" i="5"/>
  <c r="E160" i="5"/>
  <c r="K159" i="5"/>
  <c r="J159" i="5"/>
  <c r="I159" i="5"/>
  <c r="H159" i="5"/>
  <c r="G159" i="5"/>
  <c r="F159" i="5"/>
  <c r="E159" i="5"/>
  <c r="K158" i="5"/>
  <c r="J158" i="5"/>
  <c r="I158" i="5"/>
  <c r="H158" i="5"/>
  <c r="G158" i="5"/>
  <c r="F158" i="5"/>
  <c r="E158" i="5"/>
  <c r="K152" i="5"/>
  <c r="J152" i="5"/>
  <c r="I152" i="5"/>
  <c r="H152" i="5"/>
  <c r="G152" i="5"/>
  <c r="F152" i="5"/>
  <c r="E152" i="5"/>
  <c r="K146" i="5"/>
  <c r="J146" i="5"/>
  <c r="I146" i="5"/>
  <c r="H146" i="5"/>
  <c r="G146" i="5"/>
  <c r="F146" i="5"/>
  <c r="E146" i="5"/>
  <c r="K140" i="5"/>
  <c r="J140" i="5"/>
  <c r="I140" i="5"/>
  <c r="H140" i="5"/>
  <c r="G140" i="5"/>
  <c r="F140" i="5"/>
  <c r="E140" i="5"/>
  <c r="K134" i="5"/>
  <c r="J134" i="5"/>
  <c r="I134" i="5"/>
  <c r="H134" i="5"/>
  <c r="G134" i="5"/>
  <c r="F134" i="5"/>
  <c r="E134" i="5"/>
  <c r="K123" i="5"/>
  <c r="K124" i="5" s="1"/>
  <c r="J123" i="5"/>
  <c r="J124" i="5" s="1"/>
  <c r="I123" i="5"/>
  <c r="I124" i="5" s="1"/>
  <c r="H123" i="5"/>
  <c r="H124" i="5" s="1"/>
  <c r="G123" i="5"/>
  <c r="G124" i="5" s="1"/>
  <c r="F123" i="5"/>
  <c r="F124" i="5" s="1"/>
  <c r="E123" i="5"/>
  <c r="E124" i="5" s="1"/>
  <c r="K121" i="5"/>
  <c r="J121" i="5"/>
  <c r="I121" i="5"/>
  <c r="H121" i="5"/>
  <c r="G121" i="5"/>
  <c r="F121" i="5"/>
  <c r="E121" i="5"/>
  <c r="K120" i="5"/>
  <c r="J120" i="5"/>
  <c r="I120" i="5"/>
  <c r="H120" i="5"/>
  <c r="G120" i="5"/>
  <c r="F120" i="5"/>
  <c r="E120" i="5"/>
  <c r="K119" i="5"/>
  <c r="J119" i="5"/>
  <c r="I119" i="5"/>
  <c r="H119" i="5"/>
  <c r="G119" i="5"/>
  <c r="F119" i="5"/>
  <c r="E119" i="5"/>
  <c r="K118" i="5"/>
  <c r="J118" i="5"/>
  <c r="I118" i="5"/>
  <c r="H118" i="5"/>
  <c r="G118" i="5"/>
  <c r="F118" i="5"/>
  <c r="E118" i="5"/>
  <c r="K117" i="5"/>
  <c r="J117" i="5"/>
  <c r="I117" i="5"/>
  <c r="H117" i="5"/>
  <c r="G117" i="5"/>
  <c r="F117" i="5"/>
  <c r="E117" i="5"/>
  <c r="K111" i="5"/>
  <c r="J111" i="5"/>
  <c r="I111" i="5"/>
  <c r="H111" i="5"/>
  <c r="G111" i="5"/>
  <c r="F111" i="5"/>
  <c r="E111" i="5"/>
  <c r="K105" i="5"/>
  <c r="J105" i="5"/>
  <c r="I105" i="5"/>
  <c r="H105" i="5"/>
  <c r="G105" i="5"/>
  <c r="F105" i="5"/>
  <c r="E105" i="5"/>
  <c r="K99" i="5"/>
  <c r="J99" i="5"/>
  <c r="I99" i="5"/>
  <c r="H99" i="5"/>
  <c r="G99" i="5"/>
  <c r="F99" i="5"/>
  <c r="E99" i="5"/>
  <c r="K93" i="5"/>
  <c r="J93" i="5"/>
  <c r="I93" i="5"/>
  <c r="H93" i="5"/>
  <c r="G93" i="5"/>
  <c r="F93" i="5"/>
  <c r="E93" i="5"/>
  <c r="K82" i="5"/>
  <c r="K83" i="5" s="1"/>
  <c r="J82" i="5"/>
  <c r="J83" i="5" s="1"/>
  <c r="I82" i="5"/>
  <c r="I83" i="5" s="1"/>
  <c r="H82" i="5"/>
  <c r="H83" i="5" s="1"/>
  <c r="G82" i="5"/>
  <c r="G83" i="5" s="1"/>
  <c r="F82" i="5"/>
  <c r="F83" i="5" s="1"/>
  <c r="E82" i="5"/>
  <c r="E83" i="5" s="1"/>
  <c r="K80" i="5"/>
  <c r="J80" i="5"/>
  <c r="I80" i="5"/>
  <c r="H80" i="5"/>
  <c r="G80" i="5"/>
  <c r="F80" i="5"/>
  <c r="E80" i="5"/>
  <c r="K79" i="5"/>
  <c r="J79" i="5"/>
  <c r="I79" i="5"/>
  <c r="H79" i="5"/>
  <c r="G79" i="5"/>
  <c r="F79" i="5"/>
  <c r="E79" i="5"/>
  <c r="K78" i="5"/>
  <c r="J78" i="5"/>
  <c r="I78" i="5"/>
  <c r="H78" i="5"/>
  <c r="G78" i="5"/>
  <c r="F78" i="5"/>
  <c r="E78" i="5"/>
  <c r="K77" i="5"/>
  <c r="J77" i="5"/>
  <c r="I77" i="5"/>
  <c r="H77" i="5"/>
  <c r="G77" i="5"/>
  <c r="F77" i="5"/>
  <c r="E77" i="5"/>
  <c r="K76" i="5"/>
  <c r="J76" i="5"/>
  <c r="I76" i="5"/>
  <c r="H76" i="5"/>
  <c r="G76" i="5"/>
  <c r="F76" i="5"/>
  <c r="E76" i="5"/>
  <c r="K70" i="5"/>
  <c r="J70" i="5"/>
  <c r="I70" i="5"/>
  <c r="H70" i="5"/>
  <c r="G70" i="5"/>
  <c r="F70" i="5"/>
  <c r="E70" i="5"/>
  <c r="K64" i="5"/>
  <c r="J64" i="5"/>
  <c r="I64" i="5"/>
  <c r="H64" i="5"/>
  <c r="G64" i="5"/>
  <c r="F64" i="5"/>
  <c r="E64" i="5"/>
  <c r="K58" i="5"/>
  <c r="J58" i="5"/>
  <c r="I58" i="5"/>
  <c r="H58" i="5"/>
  <c r="G58" i="5"/>
  <c r="F58" i="5"/>
  <c r="E58" i="5"/>
  <c r="K52" i="5"/>
  <c r="J52" i="5"/>
  <c r="I52" i="5"/>
  <c r="H52" i="5"/>
  <c r="G52" i="5"/>
  <c r="F52" i="5"/>
  <c r="E52" i="5"/>
  <c r="K41" i="5"/>
  <c r="K42" i="5" s="1"/>
  <c r="J41" i="5"/>
  <c r="J42" i="5" s="1"/>
  <c r="I41" i="5"/>
  <c r="I42" i="5" s="1"/>
  <c r="H41" i="5"/>
  <c r="H42" i="5" s="1"/>
  <c r="G41" i="5"/>
  <c r="G42" i="5" s="1"/>
  <c r="F41" i="5"/>
  <c r="F42" i="5" s="1"/>
  <c r="E41" i="5"/>
  <c r="E42" i="5" s="1"/>
  <c r="K39" i="5"/>
  <c r="J39" i="5"/>
  <c r="I39" i="5"/>
  <c r="H39" i="5"/>
  <c r="G39" i="5"/>
  <c r="F39" i="5"/>
  <c r="E39" i="5"/>
  <c r="K38" i="5"/>
  <c r="J38" i="5"/>
  <c r="I38" i="5"/>
  <c r="H38" i="5"/>
  <c r="G38" i="5"/>
  <c r="F38" i="5"/>
  <c r="E38" i="5"/>
  <c r="K37" i="5"/>
  <c r="J37" i="5"/>
  <c r="I37" i="5"/>
  <c r="H37" i="5"/>
  <c r="G37" i="5"/>
  <c r="F37" i="5"/>
  <c r="E37" i="5"/>
  <c r="K36" i="5"/>
  <c r="J36" i="5"/>
  <c r="I36" i="5"/>
  <c r="H36" i="5"/>
  <c r="G36" i="5"/>
  <c r="F36" i="5"/>
  <c r="E36" i="5"/>
  <c r="K35" i="5"/>
  <c r="J35" i="5"/>
  <c r="I35" i="5"/>
  <c r="H35" i="5"/>
  <c r="G35" i="5"/>
  <c r="F35" i="5"/>
  <c r="E35" i="5"/>
  <c r="K29" i="5"/>
  <c r="J29" i="5"/>
  <c r="I29" i="5"/>
  <c r="H29" i="5"/>
  <c r="G29" i="5"/>
  <c r="F29" i="5"/>
  <c r="E29" i="5"/>
  <c r="K23" i="5"/>
  <c r="J23" i="5"/>
  <c r="I23" i="5"/>
  <c r="H23" i="5"/>
  <c r="G23" i="5"/>
  <c r="F23" i="5"/>
  <c r="E23" i="5"/>
  <c r="K17" i="5"/>
  <c r="J17" i="5"/>
  <c r="I17" i="5"/>
  <c r="H17" i="5"/>
  <c r="G17" i="5"/>
  <c r="F17" i="5"/>
  <c r="E17" i="5"/>
  <c r="K11" i="5"/>
  <c r="J11" i="5"/>
  <c r="I11" i="5"/>
  <c r="H11" i="5"/>
  <c r="G11" i="5"/>
  <c r="F11" i="5"/>
  <c r="E11" i="5"/>
  <c r="Z27" i="18"/>
  <c r="Y27" i="18"/>
  <c r="X27" i="18"/>
  <c r="W27" i="18"/>
  <c r="V27" i="18"/>
  <c r="U27" i="18"/>
  <c r="T27" i="18"/>
  <c r="S27" i="18"/>
  <c r="R27" i="18"/>
  <c r="Q27" i="18"/>
  <c r="P27" i="18"/>
  <c r="Z25" i="18"/>
  <c r="Y25" i="18"/>
  <c r="X25" i="18"/>
  <c r="W25" i="18"/>
  <c r="V25" i="18"/>
  <c r="U25" i="18"/>
  <c r="T25" i="18"/>
  <c r="S25" i="18"/>
  <c r="R25" i="18"/>
  <c r="Q25" i="18"/>
  <c r="P25" i="18"/>
  <c r="Z23" i="18"/>
  <c r="Y23" i="18"/>
  <c r="X23" i="18"/>
  <c r="W23" i="18"/>
  <c r="V23" i="18"/>
  <c r="U23" i="18"/>
  <c r="T23" i="18"/>
  <c r="S23" i="18"/>
  <c r="R23" i="18"/>
  <c r="Q23" i="18"/>
  <c r="P23" i="18"/>
  <c r="Z21" i="18"/>
  <c r="Y21" i="18"/>
  <c r="X21" i="18"/>
  <c r="W21" i="18"/>
  <c r="V21" i="18"/>
  <c r="U21" i="18"/>
  <c r="T21" i="18"/>
  <c r="S21" i="18"/>
  <c r="R21" i="18"/>
  <c r="Q21" i="18"/>
  <c r="P21" i="18"/>
  <c r="Z19" i="18"/>
  <c r="Y19" i="18"/>
  <c r="X19" i="18"/>
  <c r="W19" i="18"/>
  <c r="V19" i="18"/>
  <c r="U19" i="18"/>
  <c r="T19" i="18"/>
  <c r="S19" i="18"/>
  <c r="R19" i="18"/>
  <c r="Q19" i="18"/>
  <c r="P19" i="18"/>
  <c r="Z17" i="18"/>
  <c r="Y17" i="18"/>
  <c r="X17" i="18"/>
  <c r="W17" i="18"/>
  <c r="V17" i="18"/>
  <c r="U17" i="18"/>
  <c r="T17" i="18"/>
  <c r="S17" i="18"/>
  <c r="R17" i="18"/>
  <c r="Q17" i="18"/>
  <c r="P17" i="18"/>
  <c r="Z15" i="18"/>
  <c r="Y15" i="18"/>
  <c r="X15" i="18"/>
  <c r="W15" i="18"/>
  <c r="V15" i="18"/>
  <c r="U15" i="18"/>
  <c r="T15" i="18"/>
  <c r="S15" i="18"/>
  <c r="R15" i="18"/>
  <c r="Q15" i="18"/>
  <c r="P15" i="18"/>
  <c r="Z13" i="18"/>
  <c r="Y13" i="18"/>
  <c r="X13" i="18"/>
  <c r="W13" i="18"/>
  <c r="V13" i="18"/>
  <c r="U13" i="18"/>
  <c r="T13" i="18"/>
  <c r="S13" i="18"/>
  <c r="R13" i="18"/>
  <c r="Q13" i="18"/>
  <c r="P13" i="18"/>
  <c r="Z11" i="18"/>
  <c r="Y11" i="18"/>
  <c r="X11" i="18"/>
  <c r="W11" i="18"/>
  <c r="V11" i="18"/>
  <c r="U11" i="18"/>
  <c r="T11" i="18"/>
  <c r="S11" i="18"/>
  <c r="R11" i="18"/>
  <c r="Q11" i="18"/>
  <c r="P11" i="18"/>
  <c r="Z9" i="18"/>
  <c r="Y9" i="18"/>
  <c r="X9" i="18"/>
  <c r="W9" i="18"/>
  <c r="V9" i="18"/>
  <c r="U9" i="18"/>
  <c r="T9" i="18"/>
  <c r="S9" i="18"/>
  <c r="R9" i="18"/>
  <c r="Q9" i="18"/>
  <c r="P9" i="18"/>
  <c r="Z7" i="18"/>
  <c r="Y7" i="18"/>
  <c r="X7" i="18"/>
  <c r="W7" i="18"/>
  <c r="V7" i="18"/>
  <c r="U7" i="18"/>
  <c r="T7" i="18"/>
  <c r="S7" i="18"/>
  <c r="R7" i="18"/>
  <c r="Q7" i="18"/>
  <c r="P7" i="18"/>
  <c r="AC43" i="4"/>
  <c r="AA43" i="4"/>
  <c r="Z43" i="4"/>
  <c r="Y43" i="4"/>
  <c r="X43" i="4"/>
  <c r="W43" i="4"/>
  <c r="V43" i="4"/>
  <c r="U43" i="4"/>
  <c r="T43" i="4"/>
  <c r="S43" i="4"/>
  <c r="R43" i="4"/>
  <c r="AC41" i="4"/>
  <c r="AA41" i="4"/>
  <c r="Z41" i="4"/>
  <c r="Y41" i="4"/>
  <c r="X41" i="4"/>
  <c r="W41" i="4"/>
  <c r="V41" i="4"/>
  <c r="U41" i="4"/>
  <c r="T41" i="4"/>
  <c r="S41" i="4"/>
  <c r="R41" i="4"/>
  <c r="AC39" i="4"/>
  <c r="AA39" i="4"/>
  <c r="Z39" i="4"/>
  <c r="Y39" i="4"/>
  <c r="X39" i="4"/>
  <c r="W39" i="4"/>
  <c r="V39" i="4"/>
  <c r="U39" i="4"/>
  <c r="T39" i="4"/>
  <c r="S39" i="4"/>
  <c r="R39" i="4"/>
  <c r="AC37" i="4"/>
  <c r="AA37" i="4"/>
  <c r="Z37" i="4"/>
  <c r="Y37" i="4"/>
  <c r="X37" i="4"/>
  <c r="W37" i="4"/>
  <c r="V37" i="4"/>
  <c r="U37" i="4"/>
  <c r="T37" i="4"/>
  <c r="S37" i="4"/>
  <c r="R37" i="4"/>
  <c r="AC35" i="4"/>
  <c r="AA35" i="4"/>
  <c r="Z35" i="4"/>
  <c r="Y35" i="4"/>
  <c r="X35" i="4"/>
  <c r="W35" i="4"/>
  <c r="V35" i="4"/>
  <c r="U35" i="4"/>
  <c r="T35" i="4"/>
  <c r="S35" i="4"/>
  <c r="R35" i="4"/>
  <c r="AC33" i="4"/>
  <c r="AA33" i="4"/>
  <c r="Z33" i="4"/>
  <c r="Y33" i="4"/>
  <c r="X33" i="4"/>
  <c r="W33" i="4"/>
  <c r="V33" i="4"/>
  <c r="U33" i="4"/>
  <c r="T33" i="4"/>
  <c r="S33" i="4"/>
  <c r="R33" i="4"/>
  <c r="AC31" i="4"/>
  <c r="AA31" i="4"/>
  <c r="Z31" i="4"/>
  <c r="Y31" i="4"/>
  <c r="X31" i="4"/>
  <c r="W31" i="4"/>
  <c r="V31" i="4"/>
  <c r="U31" i="4"/>
  <c r="T31" i="4"/>
  <c r="S31" i="4"/>
  <c r="R31" i="4"/>
  <c r="AC29" i="4"/>
  <c r="AA29" i="4"/>
  <c r="Z29" i="4"/>
  <c r="Y29" i="4"/>
  <c r="X29" i="4"/>
  <c r="W29" i="4"/>
  <c r="V29" i="4"/>
  <c r="U29" i="4"/>
  <c r="T29" i="4"/>
  <c r="S29" i="4"/>
  <c r="R29" i="4"/>
  <c r="AC27" i="4"/>
  <c r="AA27" i="4"/>
  <c r="Z27" i="4"/>
  <c r="Y27" i="4"/>
  <c r="X27" i="4"/>
  <c r="W27" i="4"/>
  <c r="V27" i="4"/>
  <c r="U27" i="4"/>
  <c r="T27" i="4"/>
  <c r="S27" i="4"/>
  <c r="R27" i="4"/>
  <c r="AC25" i="4"/>
  <c r="AA25" i="4"/>
  <c r="Z25" i="4"/>
  <c r="Y25" i="4"/>
  <c r="X25" i="4"/>
  <c r="W25" i="4"/>
  <c r="V25" i="4"/>
  <c r="U25" i="4"/>
  <c r="T25" i="4"/>
  <c r="S25" i="4"/>
  <c r="R25" i="4"/>
  <c r="AC23" i="4"/>
  <c r="AA23" i="4"/>
  <c r="Z23" i="4"/>
  <c r="Y23" i="4"/>
  <c r="X23" i="4"/>
  <c r="W23" i="4"/>
  <c r="V23" i="4"/>
  <c r="U23" i="4"/>
  <c r="T23" i="4"/>
  <c r="S23" i="4"/>
  <c r="R23" i="4"/>
  <c r="AC21" i="4"/>
  <c r="AA21" i="4"/>
  <c r="Z21" i="4"/>
  <c r="Y21" i="4"/>
  <c r="X21" i="4"/>
  <c r="W21" i="4"/>
  <c r="V21" i="4"/>
  <c r="U21" i="4"/>
  <c r="T21" i="4"/>
  <c r="S21" i="4"/>
  <c r="R21" i="4"/>
  <c r="AC19" i="4"/>
  <c r="AA19" i="4"/>
  <c r="Z19" i="4"/>
  <c r="Y19" i="4"/>
  <c r="X19" i="4"/>
  <c r="W19" i="4"/>
  <c r="V19" i="4"/>
  <c r="U19" i="4"/>
  <c r="T19" i="4"/>
  <c r="S19" i="4"/>
  <c r="R19" i="4"/>
  <c r="AC17" i="4"/>
  <c r="AA17" i="4"/>
  <c r="Z17" i="4"/>
  <c r="Y17" i="4"/>
  <c r="X17" i="4"/>
  <c r="W17" i="4"/>
  <c r="V17" i="4"/>
  <c r="U17" i="4"/>
  <c r="T17" i="4"/>
  <c r="S17" i="4"/>
  <c r="R17" i="4"/>
  <c r="AC15" i="4"/>
  <c r="AA15" i="4"/>
  <c r="Z15" i="4"/>
  <c r="Y15" i="4"/>
  <c r="X15" i="4"/>
  <c r="W15" i="4"/>
  <c r="V15" i="4"/>
  <c r="U15" i="4"/>
  <c r="T15" i="4"/>
  <c r="S15" i="4"/>
  <c r="R15" i="4"/>
  <c r="AC13" i="4"/>
  <c r="AA13" i="4"/>
  <c r="Z13" i="4"/>
  <c r="Y13" i="4"/>
  <c r="X13" i="4"/>
  <c r="W13" i="4"/>
  <c r="V13" i="4"/>
  <c r="U13" i="4"/>
  <c r="T13" i="4"/>
  <c r="S13" i="4"/>
  <c r="R13" i="4"/>
  <c r="AC11" i="4"/>
  <c r="AA11" i="4"/>
  <c r="Z11" i="4"/>
  <c r="Y11" i="4"/>
  <c r="X11" i="4"/>
  <c r="W11" i="4"/>
  <c r="V11" i="4"/>
  <c r="U11" i="4"/>
  <c r="T11" i="4"/>
  <c r="S11" i="4"/>
  <c r="R11" i="4"/>
  <c r="AC9" i="4"/>
  <c r="AA9" i="4"/>
  <c r="Z9" i="4"/>
  <c r="Y9" i="4"/>
  <c r="X9" i="4"/>
  <c r="W9" i="4"/>
  <c r="V9" i="4"/>
  <c r="U9" i="4"/>
  <c r="T9" i="4"/>
  <c r="S9" i="4"/>
  <c r="R9" i="4"/>
  <c r="AC7" i="4"/>
  <c r="AA7" i="4"/>
  <c r="Z7" i="4"/>
  <c r="Y7" i="4"/>
  <c r="X7" i="4"/>
  <c r="W7" i="4"/>
  <c r="V7" i="4"/>
  <c r="U7" i="4"/>
  <c r="T7" i="4"/>
  <c r="S7" i="4"/>
  <c r="R7" i="4"/>
  <c r="G572" i="5" l="1"/>
  <c r="H320" i="19"/>
  <c r="E532" i="5"/>
  <c r="G96" i="19"/>
  <c r="L320" i="19"/>
  <c r="J352" i="19"/>
  <c r="H384" i="19"/>
  <c r="G496" i="19"/>
  <c r="J64" i="19"/>
  <c r="E192" i="19"/>
  <c r="M192" i="19"/>
  <c r="K537" i="19"/>
  <c r="K288" i="19"/>
  <c r="K352" i="19"/>
  <c r="H496" i="19"/>
  <c r="F286" i="5"/>
  <c r="L128" i="19"/>
  <c r="E455" i="19"/>
  <c r="H537" i="19"/>
  <c r="G578" i="19"/>
  <c r="H416" i="19"/>
  <c r="I96" i="19"/>
  <c r="K16" i="19"/>
  <c r="M96" i="19"/>
  <c r="E128" i="19"/>
  <c r="H455" i="19"/>
  <c r="E496" i="19"/>
  <c r="I496" i="19"/>
  <c r="F368" i="5"/>
  <c r="H160" i="19"/>
  <c r="L192" i="19"/>
  <c r="J192" i="19"/>
  <c r="L224" i="19"/>
  <c r="F256" i="19"/>
  <c r="J256" i="19"/>
  <c r="I122" i="5"/>
  <c r="E368" i="5"/>
  <c r="F572" i="5"/>
  <c r="J40" i="5"/>
  <c r="I81" i="5"/>
  <c r="H286" i="5"/>
  <c r="E410" i="5"/>
  <c r="I64" i="19"/>
  <c r="L64" i="19"/>
  <c r="G128" i="19"/>
  <c r="G160" i="19"/>
  <c r="K160" i="19"/>
  <c r="F224" i="19"/>
  <c r="H256" i="19"/>
  <c r="L256" i="19"/>
  <c r="F288" i="19"/>
  <c r="K320" i="19"/>
  <c r="G384" i="19"/>
  <c r="L416" i="19"/>
  <c r="J204" i="5"/>
  <c r="E96" i="19"/>
  <c r="M128" i="19"/>
  <c r="K224" i="19"/>
  <c r="E256" i="19"/>
  <c r="G455" i="19"/>
  <c r="K455" i="19"/>
  <c r="E537" i="19"/>
  <c r="K578" i="19"/>
  <c r="K80" i="19"/>
  <c r="F160" i="19"/>
  <c r="J160" i="19"/>
  <c r="L160" i="19"/>
  <c r="H224" i="19"/>
  <c r="K256" i="19"/>
  <c r="F320" i="19"/>
  <c r="I320" i="19"/>
  <c r="G352" i="19"/>
  <c r="F384" i="19"/>
  <c r="J384" i="19"/>
  <c r="I384" i="19"/>
  <c r="K416" i="19"/>
  <c r="H204" i="5"/>
  <c r="F327" i="5"/>
  <c r="J286" i="5"/>
  <c r="E40" i="5"/>
  <c r="H122" i="5"/>
  <c r="F204" i="5"/>
  <c r="I368" i="5"/>
  <c r="F410" i="5"/>
  <c r="I451" i="5"/>
  <c r="J163" i="5"/>
  <c r="J245" i="5"/>
  <c r="I327" i="5"/>
  <c r="J368" i="5"/>
  <c r="E204" i="5"/>
  <c r="E492" i="5"/>
  <c r="F122" i="5"/>
  <c r="F245" i="5"/>
  <c r="I492" i="5"/>
  <c r="E163" i="5"/>
  <c r="I286" i="5"/>
  <c r="E245" i="5"/>
  <c r="F451" i="5"/>
  <c r="K40" i="5"/>
  <c r="G410" i="5"/>
  <c r="J451" i="5"/>
  <c r="J492" i="5"/>
  <c r="F492" i="5"/>
  <c r="I256" i="19"/>
  <c r="G245" i="5"/>
  <c r="H451" i="5"/>
  <c r="K5" i="19"/>
  <c r="I455" i="19"/>
  <c r="J81" i="5"/>
  <c r="H352" i="19"/>
  <c r="K81" i="5"/>
  <c r="F40" i="5"/>
  <c r="G40" i="5"/>
  <c r="E81" i="5"/>
  <c r="F81" i="5"/>
  <c r="E122" i="5"/>
  <c r="I245" i="5"/>
  <c r="E327" i="5"/>
  <c r="K410" i="5"/>
  <c r="I532" i="5"/>
  <c r="G64" i="19"/>
  <c r="F96" i="19"/>
  <c r="K192" i="19"/>
  <c r="G224" i="19"/>
  <c r="J288" i="19"/>
  <c r="G320" i="19"/>
  <c r="L352" i="19"/>
  <c r="F416" i="19"/>
  <c r="E578" i="19"/>
  <c r="I163" i="5"/>
  <c r="I537" i="19"/>
  <c r="I410" i="5"/>
  <c r="G492" i="5"/>
  <c r="G288" i="19"/>
  <c r="H532" i="5"/>
  <c r="E64" i="19"/>
  <c r="K37" i="19"/>
  <c r="K64" i="19" s="1"/>
  <c r="H64" i="19"/>
  <c r="K69" i="19"/>
  <c r="H128" i="19"/>
  <c r="F192" i="19"/>
  <c r="J122" i="5"/>
  <c r="J327" i="5"/>
  <c r="H572" i="5"/>
  <c r="G532" i="5"/>
  <c r="J572" i="5"/>
  <c r="H288" i="19"/>
  <c r="E320" i="19"/>
  <c r="G81" i="5"/>
  <c r="G204" i="5"/>
  <c r="K245" i="5"/>
  <c r="H368" i="5"/>
  <c r="K492" i="5"/>
  <c r="K532" i="5"/>
  <c r="F64" i="19"/>
  <c r="H96" i="19"/>
  <c r="I128" i="19"/>
  <c r="G192" i="19"/>
  <c r="J224" i="19"/>
  <c r="G256" i="19"/>
  <c r="L288" i="19"/>
  <c r="F352" i="19"/>
  <c r="K384" i="19"/>
  <c r="G416" i="19"/>
  <c r="H410" i="5"/>
  <c r="E384" i="19"/>
  <c r="K204" i="5"/>
  <c r="H192" i="19"/>
  <c r="J320" i="19"/>
  <c r="L384" i="19"/>
  <c r="H40" i="5"/>
  <c r="F163" i="5"/>
  <c r="I204" i="5"/>
  <c r="H245" i="5"/>
  <c r="G327" i="5"/>
  <c r="K327" i="5"/>
  <c r="E451" i="5"/>
  <c r="F128" i="19"/>
  <c r="J128" i="19"/>
  <c r="K112" i="19"/>
  <c r="F455" i="19"/>
  <c r="J455" i="19"/>
  <c r="F578" i="19"/>
  <c r="J578" i="19"/>
  <c r="I40" i="5"/>
  <c r="H81" i="5"/>
  <c r="G163" i="5"/>
  <c r="K163" i="5"/>
  <c r="E286" i="5"/>
  <c r="G368" i="5"/>
  <c r="K368" i="5"/>
  <c r="J410" i="5"/>
  <c r="K572" i="5"/>
  <c r="L32" i="19"/>
  <c r="K101" i="19"/>
  <c r="E160" i="19"/>
  <c r="I160" i="19"/>
  <c r="M160" i="19"/>
  <c r="F496" i="19"/>
  <c r="J496" i="19"/>
  <c r="F537" i="19"/>
  <c r="J537" i="19"/>
  <c r="E224" i="19"/>
  <c r="I224" i="19"/>
  <c r="E288" i="19"/>
  <c r="I288" i="19"/>
  <c r="E352" i="19"/>
  <c r="I352" i="19"/>
  <c r="E416" i="19"/>
  <c r="I416" i="19"/>
  <c r="G122" i="5"/>
  <c r="K122" i="5"/>
  <c r="H163" i="5"/>
  <c r="G286" i="5"/>
  <c r="K286" i="5"/>
  <c r="H327" i="5"/>
  <c r="G451" i="5"/>
  <c r="K451" i="5"/>
  <c r="H492" i="5"/>
  <c r="F532" i="5"/>
  <c r="J532" i="5"/>
  <c r="E572" i="5"/>
  <c r="I572" i="5"/>
  <c r="K32" i="19" l="1"/>
  <c r="K96" i="19"/>
  <c r="K128" i="19"/>
</calcChain>
</file>

<file path=xl/comments1.xml><?xml version="1.0" encoding="utf-8"?>
<comments xmlns="http://schemas.openxmlformats.org/spreadsheetml/2006/main">
  <authors>
    <author>LJY</author>
  </authors>
  <commentList>
    <comment ref="G47" authorId="0" shapeId="0">
      <text>
        <r>
          <rPr>
            <b/>
            <sz val="9"/>
            <color indexed="81"/>
            <rFont val="Tahoma"/>
            <family val="2"/>
          </rPr>
          <t>PPT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복사되는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효율의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소수점을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결정합니다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<sst xmlns="http://schemas.openxmlformats.org/spreadsheetml/2006/main" count="6362" uniqueCount="788">
  <si>
    <t>LOT#</t>
    <phoneticPr fontId="21" type="noConversion"/>
  </si>
  <si>
    <t>Cell#</t>
    <phoneticPr fontId="19" type="noConversion"/>
  </si>
  <si>
    <t>V</t>
  </si>
  <si>
    <t>cd/A</t>
  </si>
  <si>
    <t>Lm/W</t>
  </si>
  <si>
    <t>Q.E.</t>
    <phoneticPr fontId="19" type="noConversion"/>
  </si>
  <si>
    <t>CIE(x)</t>
  </si>
  <si>
    <t>CIE(y)</t>
  </si>
  <si>
    <t>cd/A/y</t>
    <phoneticPr fontId="19" type="noConversion"/>
  </si>
  <si>
    <t>휘도(nit)
(100시간 경과)</t>
    <phoneticPr fontId="19" type="noConversion"/>
  </si>
  <si>
    <t>비 고(공정 특이사항)</t>
    <phoneticPr fontId="23" type="noConversion"/>
  </si>
  <si>
    <t>No.</t>
    <phoneticPr fontId="21" type="noConversion"/>
  </si>
  <si>
    <t>※ 10mA/cm2 광특성 결과</t>
  </si>
  <si>
    <t>LOT#</t>
  </si>
  <si>
    <t>No.</t>
  </si>
  <si>
    <t>Cell#</t>
  </si>
  <si>
    <t>Q.E.</t>
  </si>
  <si>
    <t>cd/A/y</t>
  </si>
  <si>
    <t>T90</t>
  </si>
  <si>
    <t>비 고
(공정 특이사항)</t>
  </si>
  <si>
    <t>2-1</t>
  </si>
  <si>
    <t>2-2</t>
  </si>
  <si>
    <t>2-4</t>
  </si>
  <si>
    <t>2-5</t>
  </si>
  <si>
    <t>3-1</t>
  </si>
  <si>
    <t>3-2</t>
  </si>
  <si>
    <t>3-3</t>
  </si>
  <si>
    <t>3-4</t>
  </si>
  <si>
    <t>3-5</t>
  </si>
  <si>
    <t>4-1</t>
  </si>
  <si>
    <t>4-2</t>
  </si>
  <si>
    <t>4-3</t>
  </si>
  <si>
    <t>4-4</t>
  </si>
  <si>
    <t>4-5</t>
  </si>
  <si>
    <t>5-1</t>
  </si>
  <si>
    <t>5-2</t>
  </si>
  <si>
    <t>5-3</t>
  </si>
  <si>
    <t>5-4</t>
  </si>
  <si>
    <t>5-5</t>
  </si>
  <si>
    <t>Ref. 대비 차이</t>
  </si>
  <si>
    <t>1. LG-101 양산QC Data</t>
    <phoneticPr fontId="19" type="noConversion"/>
  </si>
  <si>
    <r>
      <t>1) 적용 소자 구조 : LGHI-001(650Å)</t>
    </r>
    <r>
      <rPr>
        <sz val="11"/>
        <color rgb="FFFF0000"/>
        <rFont val="맑은 고딕"/>
        <family val="3"/>
        <charset val="129"/>
        <scheme val="minor"/>
      </rPr>
      <t>/</t>
    </r>
    <r>
      <rPr>
        <b/>
        <sz val="11"/>
        <color rgb="FFFF0000"/>
        <rFont val="맑은 고딕"/>
        <family val="3"/>
        <charset val="129"/>
        <scheme val="minor"/>
      </rPr>
      <t>LG101(50Å)</t>
    </r>
    <r>
      <rPr>
        <sz val="11"/>
        <color theme="1"/>
        <rFont val="맑은 고딕"/>
        <family val="3"/>
        <charset val="129"/>
        <scheme val="minor"/>
      </rPr>
      <t>/LGHT-794(650Å)/BH-113(200Å)+BD-370(4%)/</t>
    </r>
    <r>
      <rPr>
        <sz val="11"/>
        <rFont val="맑은 고딕"/>
        <family val="3"/>
        <charset val="129"/>
        <scheme val="minor"/>
      </rPr>
      <t>ETL(248)+LiQ(180Å</t>
    </r>
    <r>
      <rPr>
        <sz val="11"/>
        <color theme="1"/>
        <rFont val="맑은 고딕"/>
        <family val="3"/>
        <charset val="129"/>
        <scheme val="minor"/>
      </rPr>
      <t>+180Å)/Liq(5Å)/</t>
    </r>
    <r>
      <rPr>
        <sz val="11"/>
        <color theme="0" tint="-0.14999847407452621"/>
        <rFont val="맑은 고딕"/>
        <family val="3"/>
        <charset val="129"/>
        <scheme val="minor"/>
      </rPr>
      <t>Mg : Ag(200Å+20Å)</t>
    </r>
    <r>
      <rPr>
        <sz val="11"/>
        <color theme="1"/>
        <rFont val="맑은 고딕"/>
        <family val="3"/>
        <charset val="129"/>
        <scheme val="minor"/>
      </rPr>
      <t>/Al(1000Å)</t>
    </r>
    <phoneticPr fontId="19" type="noConversion"/>
  </si>
  <si>
    <t>※ 10mA/cm2 기준 Data</t>
    <phoneticPr fontId="19" type="noConversion"/>
  </si>
  <si>
    <t>No.</t>
    <phoneticPr fontId="21" type="noConversion"/>
  </si>
  <si>
    <t>증착일</t>
    <phoneticPr fontId="19" type="noConversion"/>
  </si>
  <si>
    <t>T90</t>
    <phoneticPr fontId="19" type="noConversion"/>
  </si>
  <si>
    <t>Q.E.</t>
    <phoneticPr fontId="19" type="noConversion"/>
  </si>
  <si>
    <t>cd/A/y</t>
    <phoneticPr fontId="19" type="noConversion"/>
  </si>
  <si>
    <t>Ref.(101)</t>
    <phoneticPr fontId="19" type="noConversion"/>
  </si>
  <si>
    <t>평균</t>
    <phoneticPr fontId="19" type="noConversion"/>
  </si>
  <si>
    <t>101F15001</t>
    <phoneticPr fontId="19" type="noConversion"/>
  </si>
  <si>
    <t>101F15002</t>
    <phoneticPr fontId="19" type="noConversion"/>
  </si>
  <si>
    <t>Ref.(101F15003)</t>
    <phoneticPr fontId="19" type="noConversion"/>
  </si>
  <si>
    <t>-</t>
    <phoneticPr fontId="19" type="noConversion"/>
  </si>
  <si>
    <t>101F15002</t>
  </si>
  <si>
    <t>101F15003</t>
    <phoneticPr fontId="19" type="noConversion"/>
  </si>
  <si>
    <t>101F15004</t>
    <phoneticPr fontId="19" type="noConversion"/>
  </si>
  <si>
    <t>101F15005</t>
    <phoneticPr fontId="19" type="noConversion"/>
  </si>
  <si>
    <t>101G15006</t>
    <phoneticPr fontId="19" type="noConversion"/>
  </si>
  <si>
    <t>Ref.(101)</t>
  </si>
  <si>
    <t>1-3</t>
    <phoneticPr fontId="19" type="noConversion"/>
  </si>
  <si>
    <t>1-1</t>
    <phoneticPr fontId="19" type="noConversion"/>
  </si>
  <si>
    <t>1-2</t>
    <phoneticPr fontId="19" type="noConversion"/>
  </si>
  <si>
    <t>1-4</t>
    <phoneticPr fontId="19" type="noConversion"/>
  </si>
  <si>
    <t>1-5</t>
    <phoneticPr fontId="19" type="noConversion"/>
  </si>
  <si>
    <t>2-3</t>
  </si>
  <si>
    <t>101F15001</t>
  </si>
  <si>
    <t>3-1</t>
    <phoneticPr fontId="19" type="noConversion"/>
  </si>
  <si>
    <t>※ 10mA/cm2 광특성 결과</t>
    <phoneticPr fontId="19" type="noConversion"/>
  </si>
  <si>
    <t>3-2</t>
    <phoneticPr fontId="19" type="noConversion"/>
  </si>
  <si>
    <t>01월22일a-101F15001</t>
    <phoneticPr fontId="19" type="noConversion"/>
  </si>
  <si>
    <t>01월22일a-101F15002</t>
    <phoneticPr fontId="19" type="noConversion"/>
  </si>
  <si>
    <t>-</t>
  </si>
  <si>
    <t>3-4</t>
    <phoneticPr fontId="19" type="noConversion"/>
  </si>
  <si>
    <t>Ref.(101F15003)</t>
  </si>
  <si>
    <t>2-1</t>
    <phoneticPr fontId="19" type="noConversion"/>
  </si>
  <si>
    <t>101F15004</t>
  </si>
  <si>
    <t>101G15001</t>
    <phoneticPr fontId="19" type="noConversion"/>
  </si>
  <si>
    <t>101G15002</t>
    <phoneticPr fontId="19" type="noConversion"/>
  </si>
  <si>
    <t>101G15003</t>
    <phoneticPr fontId="19" type="noConversion"/>
  </si>
  <si>
    <t>101G15004</t>
    <phoneticPr fontId="19" type="noConversion"/>
  </si>
  <si>
    <t>101G15005</t>
    <phoneticPr fontId="19" type="noConversion"/>
  </si>
  <si>
    <t>Cell#</t>
    <phoneticPr fontId="19" type="noConversion"/>
  </si>
  <si>
    <t>※ Ref. 대비 특성값 차이(%) : 사양 Ref. 대비 ±5%</t>
    <phoneticPr fontId="19" type="noConversion"/>
  </si>
  <si>
    <t>LG-101</t>
    <phoneticPr fontId="78" type="noConversion"/>
  </si>
  <si>
    <t>LG-201</t>
    <phoneticPr fontId="78" type="noConversion"/>
  </si>
  <si>
    <t>LG-851</t>
    <phoneticPr fontId="78" type="noConversion"/>
  </si>
  <si>
    <t>LG-207</t>
    <phoneticPr fontId="78" type="noConversion"/>
  </si>
  <si>
    <t>LG-248</t>
    <phoneticPr fontId="78" type="noConversion"/>
  </si>
  <si>
    <t>LG-243</t>
    <phoneticPr fontId="78" type="noConversion"/>
  </si>
  <si>
    <t>LG-661</t>
    <phoneticPr fontId="78" type="noConversion"/>
  </si>
  <si>
    <t>LG-352</t>
    <phoneticPr fontId="78" type="noConversion"/>
  </si>
  <si>
    <t>LG-148</t>
    <phoneticPr fontId="78" type="noConversion"/>
  </si>
  <si>
    <t>LG-431</t>
    <phoneticPr fontId="78" type="noConversion"/>
  </si>
  <si>
    <t>LG-227</t>
    <phoneticPr fontId="78" type="noConversion"/>
  </si>
  <si>
    <t>No.</t>
    <phoneticPr fontId="78" type="noConversion"/>
  </si>
  <si>
    <t>입고일</t>
    <phoneticPr fontId="78" type="noConversion"/>
  </si>
  <si>
    <t>Product</t>
    <phoneticPr fontId="78" type="noConversion"/>
  </si>
  <si>
    <t>Lot No.</t>
    <phoneticPr fontId="78" type="noConversion"/>
  </si>
  <si>
    <t>양산 QC 여부</t>
    <phoneticPr fontId="78" type="noConversion"/>
  </si>
  <si>
    <t>증착일</t>
    <phoneticPr fontId="78" type="noConversion"/>
  </si>
  <si>
    <t>LG-101F</t>
  </si>
  <si>
    <t>○</t>
    <phoneticPr fontId="78" type="noConversion"/>
  </si>
  <si>
    <t>LG-201G</t>
  </si>
  <si>
    <t>LG-851C</t>
    <phoneticPr fontId="78" type="noConversion"/>
  </si>
  <si>
    <t>×</t>
    <phoneticPr fontId="78" type="noConversion"/>
  </si>
  <si>
    <t>LG-248A</t>
    <phoneticPr fontId="78" type="noConversion"/>
  </si>
  <si>
    <t>14M003</t>
    <phoneticPr fontId="78" type="noConversion"/>
  </si>
  <si>
    <t>LG-243A</t>
    <phoneticPr fontId="78" type="noConversion"/>
  </si>
  <si>
    <t>15M001</t>
    <phoneticPr fontId="78" type="noConversion"/>
  </si>
  <si>
    <t>LG-661A</t>
    <phoneticPr fontId="78" type="noConversion"/>
  </si>
  <si>
    <t>LG-148B</t>
  </si>
  <si>
    <t>LG-431A</t>
  </si>
  <si>
    <t>LG-227A</t>
    <phoneticPr fontId="78" type="noConversion"/>
  </si>
  <si>
    <t>LG-201D</t>
    <phoneticPr fontId="78" type="noConversion"/>
  </si>
  <si>
    <t>LG-851F</t>
    <phoneticPr fontId="78" type="noConversion"/>
  </si>
  <si>
    <t>연구소</t>
    <phoneticPr fontId="78" type="noConversion"/>
  </si>
  <si>
    <t>15M003</t>
    <phoneticPr fontId="78" type="noConversion"/>
  </si>
  <si>
    <t>15M002</t>
    <phoneticPr fontId="78" type="noConversion"/>
  </si>
  <si>
    <t>15M002</t>
  </si>
  <si>
    <t>15M003</t>
  </si>
  <si>
    <t>LG-248B</t>
    <phoneticPr fontId="78" type="noConversion"/>
  </si>
  <si>
    <t>15M004</t>
    <phoneticPr fontId="78" type="noConversion"/>
  </si>
  <si>
    <t>LG-201C</t>
    <phoneticPr fontId="78" type="noConversion"/>
  </si>
  <si>
    <t>15M005</t>
    <phoneticPr fontId="78" type="noConversion"/>
  </si>
  <si>
    <t>LG-201G</t>
    <phoneticPr fontId="78" type="noConversion"/>
  </si>
  <si>
    <t>15M004</t>
  </si>
  <si>
    <t>15M006</t>
    <phoneticPr fontId="78" type="noConversion"/>
  </si>
  <si>
    <t>RECYCLE</t>
    <phoneticPr fontId="78" type="noConversion"/>
  </si>
  <si>
    <t>LG-148C</t>
    <phoneticPr fontId="78" type="noConversion"/>
  </si>
  <si>
    <t>15M007</t>
    <phoneticPr fontId="78" type="noConversion"/>
  </si>
  <si>
    <t>LG-101G</t>
    <phoneticPr fontId="78" type="noConversion"/>
  </si>
  <si>
    <t>LG-851E</t>
    <phoneticPr fontId="78" type="noConversion"/>
  </si>
  <si>
    <t>LG-207A</t>
    <phoneticPr fontId="78" type="noConversion"/>
  </si>
  <si>
    <t>16M001</t>
    <phoneticPr fontId="78" type="noConversion"/>
  </si>
  <si>
    <t>15M008</t>
    <phoneticPr fontId="78" type="noConversion"/>
  </si>
  <si>
    <t>○</t>
    <phoneticPr fontId="78" type="noConversion"/>
  </si>
  <si>
    <t>LG-661A</t>
    <phoneticPr fontId="78" type="noConversion"/>
  </si>
  <si>
    <t>×</t>
    <phoneticPr fontId="78" type="noConversion"/>
  </si>
  <si>
    <t>LG-227A</t>
    <phoneticPr fontId="78" type="noConversion"/>
  </si>
  <si>
    <t>LG-851F</t>
    <phoneticPr fontId="78" type="noConversion"/>
  </si>
  <si>
    <t>LG-248A</t>
    <phoneticPr fontId="78" type="noConversion"/>
  </si>
  <si>
    <t>LG-243A</t>
    <phoneticPr fontId="78" type="noConversion"/>
  </si>
  <si>
    <t>15M009</t>
    <phoneticPr fontId="78" type="noConversion"/>
  </si>
  <si>
    <t>LG-431B</t>
    <phoneticPr fontId="78" type="noConversion"/>
  </si>
  <si>
    <t>LG-851C</t>
    <phoneticPr fontId="78" type="noConversion"/>
  </si>
  <si>
    <t>15M010</t>
  </si>
  <si>
    <t>LG-201C</t>
    <phoneticPr fontId="78" type="noConversion"/>
  </si>
  <si>
    <t>15M011</t>
  </si>
  <si>
    <t>LG-431B</t>
  </si>
  <si>
    <t>LG-201D</t>
    <phoneticPr fontId="78" type="noConversion"/>
  </si>
  <si>
    <t>LG-101G</t>
    <phoneticPr fontId="78" type="noConversion"/>
  </si>
  <si>
    <t>LG-851E</t>
    <phoneticPr fontId="78" type="noConversion"/>
  </si>
  <si>
    <t>LG-101F</t>
    <phoneticPr fontId="78" type="noConversion"/>
  </si>
  <si>
    <t>LG-432B</t>
  </si>
  <si>
    <t>LG-851D</t>
    <phoneticPr fontId="78" type="noConversion"/>
  </si>
  <si>
    <t>LG-201H</t>
    <phoneticPr fontId="78" type="noConversion"/>
  </si>
  <si>
    <t>LG-851D</t>
  </si>
  <si>
    <t>LG-201G</t>
    <phoneticPr fontId="78" type="noConversion"/>
  </si>
  <si>
    <t>x</t>
    <phoneticPr fontId="78" type="noConversion"/>
  </si>
  <si>
    <t>수명차이 %</t>
    <phoneticPr fontId="19" type="noConversion"/>
  </si>
  <si>
    <t>증착일</t>
    <phoneticPr fontId="19" type="noConversion"/>
  </si>
  <si>
    <t>V</t>
    <phoneticPr fontId="19" type="noConversion"/>
  </si>
  <si>
    <t>CIE(x)</t>
    <phoneticPr fontId="19" type="noConversion"/>
  </si>
  <si>
    <t>1. 160122a-101F15001</t>
    <phoneticPr fontId="19" type="noConversion"/>
  </si>
  <si>
    <t xml:space="preserve"> 160122a</t>
  </si>
  <si>
    <t>2. 160122b-101F15002</t>
    <phoneticPr fontId="19" type="noConversion"/>
  </si>
  <si>
    <t>160122b</t>
  </si>
  <si>
    <t>160127a</t>
    <phoneticPr fontId="19" type="noConversion"/>
  </si>
  <si>
    <t>4. 160127b-101F15004</t>
    <phoneticPr fontId="19" type="noConversion"/>
  </si>
  <si>
    <t>3. 160127a-101F15003</t>
    <phoneticPr fontId="19" type="noConversion"/>
  </si>
  <si>
    <t>160127b</t>
    <phoneticPr fontId="19" type="noConversion"/>
  </si>
  <si>
    <t>5. 160128a-101F15005</t>
    <phoneticPr fontId="19" type="noConversion"/>
  </si>
  <si>
    <t xml:space="preserve"> 160128a</t>
    <phoneticPr fontId="19" type="noConversion"/>
  </si>
  <si>
    <t>101F15005</t>
  </si>
  <si>
    <t>101G15001</t>
    <phoneticPr fontId="19" type="noConversion"/>
  </si>
  <si>
    <t>101G15002</t>
    <phoneticPr fontId="19" type="noConversion"/>
  </si>
  <si>
    <t>101G15003</t>
    <phoneticPr fontId="19" type="noConversion"/>
  </si>
  <si>
    <t>101G15004</t>
    <phoneticPr fontId="19" type="noConversion"/>
  </si>
  <si>
    <t>101G15005</t>
    <phoneticPr fontId="19" type="noConversion"/>
  </si>
  <si>
    <t>6. 160130a-101G15001</t>
    <phoneticPr fontId="19" type="noConversion"/>
  </si>
  <si>
    <t>160130a</t>
    <phoneticPr fontId="19" type="noConversion"/>
  </si>
  <si>
    <t>7. 160130b-101G15002</t>
    <phoneticPr fontId="19" type="noConversion"/>
  </si>
  <si>
    <t>160130b</t>
    <phoneticPr fontId="19" type="noConversion"/>
  </si>
  <si>
    <t>8. 160130c-101G15003</t>
    <phoneticPr fontId="19" type="noConversion"/>
  </si>
  <si>
    <t>160130c</t>
    <phoneticPr fontId="19" type="noConversion"/>
  </si>
  <si>
    <t>9. 160130d-101G15004</t>
    <phoneticPr fontId="19" type="noConversion"/>
  </si>
  <si>
    <t>160130d</t>
    <phoneticPr fontId="19" type="noConversion"/>
  </si>
  <si>
    <t>10. 160201a-101G15005</t>
    <phoneticPr fontId="19" type="noConversion"/>
  </si>
  <si>
    <t>160201a</t>
    <phoneticPr fontId="19" type="noConversion"/>
  </si>
  <si>
    <t>11. 160201b-101G15006</t>
    <phoneticPr fontId="19" type="noConversion"/>
  </si>
  <si>
    <t>160201b</t>
    <phoneticPr fontId="19" type="noConversion"/>
  </si>
  <si>
    <t>lm/W</t>
    <phoneticPr fontId="19" type="noConversion"/>
  </si>
  <si>
    <t>1-1</t>
  </si>
  <si>
    <t>1-2</t>
  </si>
  <si>
    <t>1-3</t>
  </si>
  <si>
    <t>1-4</t>
  </si>
  <si>
    <t>1-5</t>
  </si>
  <si>
    <t>중간값(Median)</t>
    <phoneticPr fontId="19" type="noConversion"/>
  </si>
  <si>
    <t>Max</t>
    <phoneticPr fontId="19" type="noConversion"/>
  </si>
  <si>
    <t>Min</t>
    <phoneticPr fontId="19" type="noConversion"/>
  </si>
  <si>
    <t>Rnage</t>
    <phoneticPr fontId="19" type="noConversion"/>
  </si>
  <si>
    <t>σ</t>
    <phoneticPr fontId="19" type="noConversion"/>
  </si>
  <si>
    <t>3σ</t>
    <phoneticPr fontId="19" type="noConversion"/>
  </si>
  <si>
    <t>1. 160926b 101 Ref.-QC Data확보용</t>
    <phoneticPr fontId="19" type="noConversion"/>
  </si>
  <si>
    <t>Ref. 101G15006</t>
  </si>
  <si>
    <t>Ref. 101G15006</t>
    <phoneticPr fontId="19" type="noConversion"/>
  </si>
  <si>
    <t>2. 160927a-101 Ref. Split-QC Data확보용</t>
    <phoneticPr fontId="19" type="noConversion"/>
  </si>
  <si>
    <t>3. 161018c-101 Ref. -QC Data확보용</t>
    <phoneticPr fontId="19" type="noConversion"/>
  </si>
  <si>
    <t>4. 161018c-101 Ref. Split-QC Data확보용</t>
    <phoneticPr fontId="19" type="noConversion"/>
  </si>
  <si>
    <t>ETL Only</t>
    <phoneticPr fontId="19" type="noConversion"/>
  </si>
  <si>
    <t>N2/150W/10mT/120sec</t>
  </si>
  <si>
    <t>N2/150W/10mT/120sec</t>
    <phoneticPr fontId="19" type="noConversion"/>
  </si>
  <si>
    <t>C11</t>
  </si>
  <si>
    <t>C12</t>
  </si>
  <si>
    <t>C11</t>
    <phoneticPr fontId="19" type="noConversion"/>
  </si>
  <si>
    <t>C12</t>
    <phoneticPr fontId="19" type="noConversion"/>
  </si>
  <si>
    <t>C13</t>
  </si>
  <si>
    <t>C14</t>
  </si>
  <si>
    <t>C15</t>
    <phoneticPr fontId="19" type="noConversion"/>
  </si>
  <si>
    <t>C21</t>
    <phoneticPr fontId="19" type="noConversion"/>
  </si>
  <si>
    <t>C22</t>
    <phoneticPr fontId="19" type="noConversion"/>
  </si>
  <si>
    <t>C23</t>
  </si>
  <si>
    <t>C24</t>
  </si>
  <si>
    <t>C25</t>
    <phoneticPr fontId="19" type="noConversion"/>
  </si>
  <si>
    <t>C31</t>
    <phoneticPr fontId="19" type="noConversion"/>
  </si>
  <si>
    <t>C32</t>
    <phoneticPr fontId="19" type="noConversion"/>
  </si>
  <si>
    <t>C33</t>
  </si>
  <si>
    <t>C34</t>
  </si>
  <si>
    <t>C35</t>
    <phoneticPr fontId="19" type="noConversion"/>
  </si>
  <si>
    <t>C41</t>
    <phoneticPr fontId="19" type="noConversion"/>
  </si>
  <si>
    <t>C42</t>
    <phoneticPr fontId="19" type="noConversion"/>
  </si>
  <si>
    <t>C43</t>
  </si>
  <si>
    <t>C44</t>
  </si>
  <si>
    <t>C45</t>
    <phoneticPr fontId="19" type="noConversion"/>
  </si>
  <si>
    <t>C51</t>
    <phoneticPr fontId="19" type="noConversion"/>
  </si>
  <si>
    <t>C52</t>
    <phoneticPr fontId="19" type="noConversion"/>
  </si>
  <si>
    <t>C53</t>
  </si>
  <si>
    <t>C54</t>
  </si>
  <si>
    <t>C55</t>
    <phoneticPr fontId="19" type="noConversion"/>
  </si>
  <si>
    <t>C15</t>
  </si>
  <si>
    <t>C21</t>
  </si>
  <si>
    <t>C22</t>
  </si>
  <si>
    <t>C25</t>
  </si>
  <si>
    <t>C31</t>
  </si>
  <si>
    <t>C32</t>
  </si>
  <si>
    <t>C35</t>
  </si>
  <si>
    <t>C41</t>
  </si>
  <si>
    <t>C42</t>
  </si>
  <si>
    <t>C45</t>
  </si>
  <si>
    <t>C51</t>
  </si>
  <si>
    <t>C52</t>
  </si>
  <si>
    <t>C55</t>
  </si>
  <si>
    <t>LG-101 Tooling 22%</t>
    <phoneticPr fontId="19" type="noConversion"/>
  </si>
  <si>
    <t>LG-101 Tooling 13.8%</t>
    <phoneticPr fontId="19" type="noConversion"/>
  </si>
  <si>
    <t>101G16005</t>
  </si>
  <si>
    <t>101G16005</t>
    <phoneticPr fontId="19" type="noConversion"/>
  </si>
  <si>
    <t>101G16007</t>
  </si>
  <si>
    <t>101G16007</t>
    <phoneticPr fontId="19" type="noConversion"/>
  </si>
  <si>
    <t>101G16008</t>
  </si>
  <si>
    <t>101G16008</t>
    <phoneticPr fontId="19" type="noConversion"/>
  </si>
  <si>
    <t>T98</t>
    <phoneticPr fontId="19" type="noConversion"/>
  </si>
  <si>
    <t>9. 170113c-LG-101 Ref.</t>
    <phoneticPr fontId="19" type="noConversion"/>
  </si>
  <si>
    <t>10. 170113d-LG-101 Ref. split</t>
    <phoneticPr fontId="19" type="noConversion"/>
  </si>
  <si>
    <t>101G16002</t>
  </si>
  <si>
    <t>101G16002</t>
    <phoneticPr fontId="19" type="noConversion"/>
  </si>
  <si>
    <t>101G16003</t>
  </si>
  <si>
    <t>101G16004</t>
  </si>
  <si>
    <t>101G16004</t>
    <phoneticPr fontId="19" type="noConversion"/>
  </si>
  <si>
    <t>101G16003</t>
    <phoneticPr fontId="19" type="noConversion"/>
  </si>
  <si>
    <t>170120a</t>
  </si>
  <si>
    <t>170120a</t>
    <phoneticPr fontId="19" type="noConversion"/>
  </si>
  <si>
    <t>Ref. 101G15006</t>
    <phoneticPr fontId="19" type="noConversion"/>
  </si>
  <si>
    <t>Pass/Fail</t>
    <phoneticPr fontId="23" type="noConversion"/>
  </si>
  <si>
    <t>Pass</t>
  </si>
  <si>
    <t>Pass</t>
    <phoneticPr fontId="19" type="noConversion"/>
  </si>
  <si>
    <t>Ref. 101G15006</t>
    <phoneticPr fontId="19" type="noConversion"/>
  </si>
  <si>
    <t>170120a</t>
    <phoneticPr fontId="19" type="noConversion"/>
  </si>
  <si>
    <t>101G16001</t>
    <phoneticPr fontId="19" type="noConversion"/>
  </si>
  <si>
    <t>101G17001</t>
    <phoneticPr fontId="19" type="noConversion"/>
  </si>
  <si>
    <t>101G17002</t>
    <phoneticPr fontId="19" type="noConversion"/>
  </si>
  <si>
    <t>101G17003</t>
    <phoneticPr fontId="19" type="noConversion"/>
  </si>
  <si>
    <t>101G16001</t>
  </si>
  <si>
    <t>101G17001</t>
  </si>
  <si>
    <t>101G17002</t>
  </si>
  <si>
    <t>101G17003</t>
  </si>
  <si>
    <t>170421a</t>
  </si>
  <si>
    <t>170421a</t>
    <phoneticPr fontId="19" type="noConversion"/>
  </si>
  <si>
    <t>170421b</t>
  </si>
  <si>
    <t>170421b</t>
    <phoneticPr fontId="19" type="noConversion"/>
  </si>
  <si>
    <t>Ref. 101G15006</t>
    <phoneticPr fontId="19" type="noConversion"/>
  </si>
  <si>
    <t>101G17004</t>
  </si>
  <si>
    <t>101G17004</t>
    <phoneticPr fontId="19" type="noConversion"/>
  </si>
  <si>
    <t>170612b</t>
    <phoneticPr fontId="19" type="noConversion"/>
  </si>
  <si>
    <t>101G17008</t>
  </si>
  <si>
    <t>101G17008</t>
    <phoneticPr fontId="19" type="noConversion"/>
  </si>
  <si>
    <t>LG-101 Ref.</t>
  </si>
  <si>
    <t>LG-101 Ref.</t>
    <phoneticPr fontId="19" type="noConversion"/>
  </si>
  <si>
    <t>Ref. 101G17004</t>
  </si>
  <si>
    <t>Ref. 101G17004</t>
    <phoneticPr fontId="19" type="noConversion"/>
  </si>
  <si>
    <t>171011a</t>
    <phoneticPr fontId="19" type="noConversion"/>
  </si>
  <si>
    <t>171011b</t>
    <phoneticPr fontId="19" type="noConversion"/>
  </si>
  <si>
    <t>101G17008</t>
    <phoneticPr fontId="19" type="noConversion"/>
  </si>
  <si>
    <t>101G17006</t>
  </si>
  <si>
    <t>101G17006</t>
    <phoneticPr fontId="19" type="noConversion"/>
  </si>
  <si>
    <t>101G17006</t>
    <phoneticPr fontId="19" type="noConversion"/>
  </si>
  <si>
    <t>101G17007</t>
  </si>
  <si>
    <t>101G17007</t>
    <phoneticPr fontId="19" type="noConversion"/>
  </si>
  <si>
    <t>171023c</t>
  </si>
  <si>
    <t>171023c</t>
    <phoneticPr fontId="19" type="noConversion"/>
  </si>
  <si>
    <t>171023d</t>
    <phoneticPr fontId="19" type="noConversion"/>
  </si>
  <si>
    <t>101G17006</t>
    <phoneticPr fontId="19" type="noConversion"/>
  </si>
  <si>
    <t>101G17007</t>
    <phoneticPr fontId="19" type="noConversion"/>
  </si>
  <si>
    <t>2mA</t>
    <phoneticPr fontId="19" type="noConversion"/>
  </si>
  <si>
    <t>101G17009</t>
  </si>
  <si>
    <t>101G17009</t>
    <phoneticPr fontId="19" type="noConversion"/>
  </si>
  <si>
    <t>171026a</t>
  </si>
  <si>
    <t>171026a</t>
    <phoneticPr fontId="19" type="noConversion"/>
  </si>
  <si>
    <t>171026b</t>
    <phoneticPr fontId="19" type="noConversion"/>
  </si>
  <si>
    <t>101G17009</t>
    <phoneticPr fontId="19" type="noConversion"/>
  </si>
  <si>
    <t>101G17006</t>
    <phoneticPr fontId="19" type="noConversion"/>
  </si>
  <si>
    <t>2.4mA</t>
    <phoneticPr fontId="19" type="noConversion"/>
  </si>
  <si>
    <t>2mA</t>
  </si>
  <si>
    <t>2.4mA</t>
  </si>
  <si>
    <t>101G17010</t>
  </si>
  <si>
    <t>101G17010</t>
    <phoneticPr fontId="19" type="noConversion"/>
  </si>
  <si>
    <t>171104c</t>
    <phoneticPr fontId="19" type="noConversion"/>
  </si>
  <si>
    <t>171104d</t>
    <phoneticPr fontId="19" type="noConversion"/>
  </si>
  <si>
    <t>101G17010</t>
    <phoneticPr fontId="19" type="noConversion"/>
  </si>
  <si>
    <t>101G17005</t>
  </si>
  <si>
    <t>101G17005</t>
    <phoneticPr fontId="19" type="noConversion"/>
  </si>
  <si>
    <t>171127b</t>
    <phoneticPr fontId="19" type="noConversion"/>
  </si>
  <si>
    <t>171127c</t>
    <phoneticPr fontId="19" type="noConversion"/>
  </si>
  <si>
    <t>101G17005</t>
    <phoneticPr fontId="19" type="noConversion"/>
  </si>
  <si>
    <t>101G17011</t>
  </si>
  <si>
    <t>101G17011</t>
    <phoneticPr fontId="19" type="noConversion"/>
  </si>
  <si>
    <t>171203a</t>
    <phoneticPr fontId="19" type="noConversion"/>
  </si>
  <si>
    <t>171203b</t>
    <phoneticPr fontId="19" type="noConversion"/>
  </si>
  <si>
    <t>101G17011</t>
    <phoneticPr fontId="19" type="noConversion"/>
  </si>
  <si>
    <t>180206d</t>
    <phoneticPr fontId="19" type="noConversion"/>
  </si>
  <si>
    <t>101G18001</t>
  </si>
  <si>
    <t>101G18001</t>
    <phoneticPr fontId="19" type="noConversion"/>
  </si>
  <si>
    <t>101G18002</t>
  </si>
  <si>
    <t>101G18002</t>
    <phoneticPr fontId="19" type="noConversion"/>
  </si>
  <si>
    <t>180305c</t>
    <phoneticPr fontId="19" type="noConversion"/>
  </si>
  <si>
    <t>180305d</t>
    <phoneticPr fontId="19" type="noConversion"/>
  </si>
  <si>
    <t>101G18002</t>
    <phoneticPr fontId="19" type="noConversion"/>
  </si>
  <si>
    <t>OC111</t>
    <phoneticPr fontId="19" type="noConversion"/>
  </si>
  <si>
    <t>OC262</t>
    <phoneticPr fontId="19" type="noConversion"/>
  </si>
  <si>
    <t>OC212</t>
    <phoneticPr fontId="19" type="noConversion"/>
  </si>
  <si>
    <t>160113a</t>
  </si>
  <si>
    <t>160113b</t>
  </si>
  <si>
    <t>제품</t>
    <phoneticPr fontId="19" type="noConversion"/>
  </si>
  <si>
    <t>Lot.</t>
    <phoneticPr fontId="19" type="noConversion"/>
  </si>
  <si>
    <t>소자평가</t>
    <phoneticPr fontId="19" type="noConversion"/>
  </si>
  <si>
    <t>일자</t>
    <phoneticPr fontId="19" type="noConversion"/>
  </si>
  <si>
    <t>LG-101</t>
    <phoneticPr fontId="19" type="noConversion"/>
  </si>
  <si>
    <t>효율</t>
    <phoneticPr fontId="19" type="noConversion"/>
  </si>
  <si>
    <t>수명</t>
    <phoneticPr fontId="19" type="noConversion"/>
  </si>
  <si>
    <t>-0.6%</t>
    <phoneticPr fontId="19" type="noConversion"/>
  </si>
  <si>
    <t>-1.7%</t>
    <phoneticPr fontId="19" type="noConversion"/>
  </si>
  <si>
    <t>180420c</t>
    <phoneticPr fontId="19" type="noConversion"/>
  </si>
  <si>
    <t>101G18003</t>
  </si>
  <si>
    <t>101G18003</t>
    <phoneticPr fontId="19" type="noConversion"/>
  </si>
  <si>
    <t>180421b</t>
    <phoneticPr fontId="19" type="noConversion"/>
  </si>
  <si>
    <t>LG-101 Ref.</t>
    <phoneticPr fontId="19" type="noConversion"/>
  </si>
  <si>
    <t>101G18003</t>
    <phoneticPr fontId="19" type="noConversion"/>
  </si>
  <si>
    <t>C21</t>
    <phoneticPr fontId="19" type="noConversion"/>
  </si>
  <si>
    <t>101G18001</t>
    <phoneticPr fontId="19" type="noConversion"/>
  </si>
  <si>
    <t>101G18002</t>
    <phoneticPr fontId="19" type="noConversion"/>
  </si>
  <si>
    <t>180430a</t>
  </si>
  <si>
    <t>180430a</t>
    <phoneticPr fontId="19" type="noConversion"/>
  </si>
  <si>
    <t>101G18002</t>
    <phoneticPr fontId="19" type="noConversion"/>
  </si>
  <si>
    <t>101G18001</t>
    <phoneticPr fontId="19" type="noConversion"/>
  </si>
  <si>
    <t>101G18003</t>
    <phoneticPr fontId="19" type="noConversion"/>
  </si>
  <si>
    <t>180526c</t>
    <phoneticPr fontId="19" type="noConversion"/>
  </si>
  <si>
    <t>Ref. 101G18001</t>
    <phoneticPr fontId="19" type="noConversion"/>
  </si>
  <si>
    <t>101G18004</t>
    <phoneticPr fontId="19" type="noConversion"/>
  </si>
  <si>
    <t>101G18004</t>
    <phoneticPr fontId="19" type="noConversion"/>
  </si>
  <si>
    <t>180618b</t>
    <phoneticPr fontId="19" type="noConversion"/>
  </si>
  <si>
    <t>Ref. 101G18001</t>
  </si>
  <si>
    <t>101G18005</t>
    <phoneticPr fontId="19" type="noConversion"/>
  </si>
  <si>
    <t>101G18005</t>
    <phoneticPr fontId="19" type="noConversion"/>
  </si>
  <si>
    <t>180702a</t>
    <phoneticPr fontId="19" type="noConversion"/>
  </si>
  <si>
    <t>Ref.High Tg NPB</t>
    <phoneticPr fontId="19" type="noConversion"/>
  </si>
  <si>
    <t>180702b</t>
    <phoneticPr fontId="19" type="noConversion"/>
  </si>
  <si>
    <t>Ref.High Tg NPB</t>
    <phoneticPr fontId="19" type="noConversion"/>
  </si>
  <si>
    <t>T97</t>
    <phoneticPr fontId="19" type="noConversion"/>
  </si>
  <si>
    <t>Ref.</t>
  </si>
  <si>
    <t>Ref.</t>
    <phoneticPr fontId="19" type="noConversion"/>
  </si>
  <si>
    <t>101G18006</t>
  </si>
  <si>
    <t>101G18006</t>
    <phoneticPr fontId="19" type="noConversion"/>
  </si>
  <si>
    <t>101G18006</t>
    <phoneticPr fontId="19" type="noConversion"/>
  </si>
  <si>
    <t>180704a</t>
    <phoneticPr fontId="19" type="noConversion"/>
  </si>
  <si>
    <t>Ref.</t>
    <phoneticPr fontId="19" type="noConversion"/>
  </si>
  <si>
    <t>101G18007</t>
    <phoneticPr fontId="19" type="noConversion"/>
  </si>
  <si>
    <t>101G18007</t>
    <phoneticPr fontId="19" type="noConversion"/>
  </si>
  <si>
    <t>101G18007</t>
    <phoneticPr fontId="19" type="noConversion"/>
  </si>
  <si>
    <t>180724a</t>
    <phoneticPr fontId="19" type="noConversion"/>
  </si>
  <si>
    <t>180809d</t>
    <phoneticPr fontId="19" type="noConversion"/>
  </si>
  <si>
    <t>High Tg NPB Ref.</t>
    <phoneticPr fontId="19" type="noConversion"/>
  </si>
  <si>
    <t>High Tg NPB Ref.</t>
    <phoneticPr fontId="19" type="noConversion"/>
  </si>
  <si>
    <t>Ref.High Tg NPB</t>
    <phoneticPr fontId="19" type="noConversion"/>
  </si>
  <si>
    <t>T95</t>
    <phoneticPr fontId="19" type="noConversion"/>
  </si>
  <si>
    <t>ref</t>
    <phoneticPr fontId="19" type="noConversion"/>
  </si>
  <si>
    <t>lm/W</t>
  </si>
  <si>
    <t>101G18008</t>
    <phoneticPr fontId="19" type="noConversion"/>
  </si>
  <si>
    <t>180809e</t>
    <phoneticPr fontId="19" type="noConversion"/>
  </si>
  <si>
    <t>180817a</t>
    <phoneticPr fontId="19" type="noConversion"/>
  </si>
  <si>
    <t>Ref.</t>
    <phoneticPr fontId="19" type="noConversion"/>
  </si>
  <si>
    <t>101G18008</t>
    <phoneticPr fontId="19" type="noConversion"/>
  </si>
  <si>
    <t>101G18008</t>
    <phoneticPr fontId="19" type="noConversion"/>
  </si>
  <si>
    <t>Ref.</t>
    <phoneticPr fontId="19" type="noConversion"/>
  </si>
  <si>
    <t>Ref.</t>
    <phoneticPr fontId="19" type="noConversion"/>
  </si>
  <si>
    <t>180828d</t>
    <phoneticPr fontId="19" type="noConversion"/>
  </si>
  <si>
    <t>101G18009</t>
    <phoneticPr fontId="19" type="noConversion"/>
  </si>
  <si>
    <t>101G18009</t>
    <phoneticPr fontId="19" type="noConversion"/>
  </si>
  <si>
    <t>101G18010</t>
  </si>
  <si>
    <t>101G18010</t>
    <phoneticPr fontId="19" type="noConversion"/>
  </si>
  <si>
    <t>101G18010</t>
    <phoneticPr fontId="19" type="noConversion"/>
  </si>
  <si>
    <t>180921e</t>
    <phoneticPr fontId="19" type="noConversion"/>
  </si>
  <si>
    <t>Ref. 101G18001</t>
    <phoneticPr fontId="19" type="noConversion"/>
  </si>
  <si>
    <t>Ref. 101G18009</t>
    <phoneticPr fontId="19" type="noConversion"/>
  </si>
  <si>
    <t>101G18011</t>
    <phoneticPr fontId="19" type="noConversion"/>
  </si>
  <si>
    <t>T97</t>
    <phoneticPr fontId="19" type="noConversion"/>
  </si>
  <si>
    <t>181019e</t>
    <phoneticPr fontId="19" type="noConversion"/>
  </si>
  <si>
    <t>181019f</t>
    <phoneticPr fontId="19" type="noConversion"/>
  </si>
  <si>
    <t>101G18011</t>
    <phoneticPr fontId="19" type="noConversion"/>
  </si>
  <si>
    <t>101G18011</t>
    <phoneticPr fontId="19" type="noConversion"/>
  </si>
  <si>
    <t>101G18012</t>
  </si>
  <si>
    <t>101G18012</t>
    <phoneticPr fontId="19" type="noConversion"/>
  </si>
  <si>
    <t>181207e</t>
    <phoneticPr fontId="19" type="noConversion"/>
  </si>
  <si>
    <t>101G18012</t>
    <phoneticPr fontId="19" type="noConversion"/>
  </si>
  <si>
    <r>
      <t xml:space="preserve">1. LG-101 </t>
    </r>
    <r>
      <rPr>
        <b/>
        <sz val="11"/>
        <color theme="1"/>
        <rFont val="LG스마트체 Regular"/>
        <family val="3"/>
        <charset val="129"/>
      </rPr>
      <t>양산</t>
    </r>
    <r>
      <rPr>
        <b/>
        <sz val="11"/>
        <color theme="1"/>
        <rFont val="Arial Narrow"/>
        <family val="2"/>
      </rPr>
      <t>QC Data</t>
    </r>
    <phoneticPr fontId="19" type="noConversion"/>
  </si>
  <si>
    <r>
      <t xml:space="preserve">1)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: LG-101 500A / NPB 400A / BH-113+BD-370 300A 4% / LG-201 100A + LiQ 100A / LiQ 5A / Al 1000A</t>
    </r>
    <phoneticPr fontId="19" type="noConversion"/>
  </si>
  <si>
    <r>
      <rPr>
        <sz val="11"/>
        <color theme="1"/>
        <rFont val="LG스마트체 Regular"/>
        <family val="3"/>
        <charset val="129"/>
      </rPr>
      <t>※</t>
    </r>
    <r>
      <rPr>
        <sz val="11"/>
        <color theme="1"/>
        <rFont val="Arial Narrow"/>
        <family val="2"/>
      </rPr>
      <t xml:space="preserve"> 10mA/cm2 </t>
    </r>
    <r>
      <rPr>
        <sz val="11"/>
        <color theme="1"/>
        <rFont val="LG스마트체 Regular"/>
        <family val="3"/>
        <charset val="129"/>
      </rPr>
      <t>기준</t>
    </r>
    <r>
      <rPr>
        <sz val="11"/>
        <color theme="1"/>
        <rFont val="Arial Narrow"/>
        <family val="2"/>
      </rPr>
      <t xml:space="preserve"> Data</t>
    </r>
    <phoneticPr fontId="19" type="noConversion"/>
  </si>
  <si>
    <r>
      <rPr>
        <sz val="11"/>
        <color theme="1"/>
        <rFont val="LG스마트체 Regular"/>
        <family val="3"/>
        <charset val="129"/>
      </rPr>
      <t>※</t>
    </r>
    <r>
      <rPr>
        <sz val="11"/>
        <color theme="1"/>
        <rFont val="Arial Narrow"/>
        <family val="2"/>
      </rPr>
      <t xml:space="preserve"> Ref. </t>
    </r>
    <r>
      <rPr>
        <sz val="11"/>
        <color theme="1"/>
        <rFont val="LG스마트체 Regular"/>
        <family val="3"/>
        <charset val="129"/>
      </rPr>
      <t>대비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특성값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차이</t>
    </r>
    <r>
      <rPr>
        <sz val="11"/>
        <color theme="1"/>
        <rFont val="Arial Narrow"/>
        <family val="2"/>
      </rPr>
      <t xml:space="preserve">(%) : </t>
    </r>
    <r>
      <rPr>
        <sz val="11"/>
        <color theme="1"/>
        <rFont val="LG스마트체 Regular"/>
        <family val="3"/>
        <charset val="129"/>
      </rPr>
      <t>사양</t>
    </r>
    <r>
      <rPr>
        <sz val="11"/>
        <color theme="1"/>
        <rFont val="Arial Narrow"/>
        <family val="2"/>
      </rPr>
      <t xml:space="preserve"> Ref. </t>
    </r>
    <r>
      <rPr>
        <sz val="11"/>
        <color theme="1"/>
        <rFont val="LG스마트체 Regular"/>
        <family val="3"/>
        <charset val="129"/>
      </rPr>
      <t>대비</t>
    </r>
    <r>
      <rPr>
        <sz val="11"/>
        <color theme="1"/>
        <rFont val="Arial Narrow"/>
        <family val="2"/>
      </rPr>
      <t xml:space="preserve"> ±5%, </t>
    </r>
    <r>
      <rPr>
        <sz val="11"/>
        <color theme="1"/>
        <rFont val="LG스마트체 Regular"/>
        <family val="3"/>
        <charset val="129"/>
      </rPr>
      <t>수명</t>
    </r>
    <r>
      <rPr>
        <sz val="11"/>
        <color theme="1"/>
        <rFont val="Arial Narrow"/>
        <family val="2"/>
      </rPr>
      <t xml:space="preserve"> Ref. </t>
    </r>
    <r>
      <rPr>
        <sz val="11"/>
        <color theme="1"/>
        <rFont val="LG스마트체 Regular"/>
        <family val="3"/>
        <charset val="129"/>
      </rPr>
      <t>대비</t>
    </r>
    <r>
      <rPr>
        <sz val="11"/>
        <color theme="1"/>
        <rFont val="Arial Narrow"/>
        <family val="2"/>
      </rPr>
      <t xml:space="preserve"> ±10%</t>
    </r>
    <phoneticPr fontId="19" type="noConversion"/>
  </si>
  <si>
    <r>
      <rPr>
        <sz val="11"/>
        <color indexed="8"/>
        <rFont val="LG스마트체 Regular"/>
        <family val="3"/>
        <charset val="129"/>
      </rPr>
      <t>입고일</t>
    </r>
    <phoneticPr fontId="19" type="noConversion"/>
  </si>
  <si>
    <r>
      <rPr>
        <sz val="11"/>
        <color indexed="8"/>
        <rFont val="LG스마트체 Regular"/>
        <family val="3"/>
        <charset val="129"/>
      </rPr>
      <t>평가일</t>
    </r>
    <phoneticPr fontId="19" type="noConversion"/>
  </si>
  <si>
    <r>
      <rPr>
        <sz val="11"/>
        <rFont val="LG스마트체 Regular"/>
        <family val="3"/>
        <charset val="129"/>
      </rPr>
      <t>비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고</t>
    </r>
    <r>
      <rPr>
        <sz val="11"/>
        <rFont val="Arial Narrow"/>
        <family val="2"/>
      </rPr>
      <t>(</t>
    </r>
    <r>
      <rPr>
        <sz val="11"/>
        <rFont val="LG스마트체 Regular"/>
        <family val="3"/>
        <charset val="129"/>
      </rPr>
      <t>공정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특이사항</t>
    </r>
    <r>
      <rPr>
        <sz val="11"/>
        <rFont val="Arial Narrow"/>
        <family val="2"/>
      </rPr>
      <t>)</t>
    </r>
    <phoneticPr fontId="23" type="noConversion"/>
  </si>
  <si>
    <r>
      <rPr>
        <sz val="11"/>
        <rFont val="LG스마트체 Regular"/>
        <family val="3"/>
        <charset val="129"/>
      </rPr>
      <t>수명차이</t>
    </r>
    <r>
      <rPr>
        <sz val="11"/>
        <rFont val="Arial Narrow"/>
        <family val="2"/>
      </rPr>
      <t xml:space="preserve"> %</t>
    </r>
    <phoneticPr fontId="19" type="noConversion"/>
  </si>
  <si>
    <r>
      <rPr>
        <sz val="11"/>
        <color theme="1"/>
        <rFont val="LG스마트체 Regular"/>
        <family val="3"/>
        <charset val="129"/>
      </rPr>
      <t>수명수식변경</t>
    </r>
    <phoneticPr fontId="19" type="noConversion"/>
  </si>
  <si>
    <r>
      <rPr>
        <sz val="8"/>
        <color theme="1"/>
        <rFont val="LG스마트체 Regular"/>
        <family val="3"/>
        <charset val="129"/>
      </rPr>
      <t>조명</t>
    </r>
    <r>
      <rPr>
        <sz val="8"/>
        <color theme="1"/>
        <rFont val="Arial Narrow"/>
        <family val="2"/>
      </rPr>
      <t xml:space="preserve"> </t>
    </r>
    <r>
      <rPr>
        <sz val="8"/>
        <color theme="1"/>
        <rFont val="LG스마트체 Regular"/>
        <family val="3"/>
        <charset val="129"/>
      </rPr>
      <t>잔사</t>
    </r>
    <r>
      <rPr>
        <sz val="8"/>
        <color theme="1"/>
        <rFont val="Arial Narrow"/>
        <family val="2"/>
      </rPr>
      <t xml:space="preserve"> High Tg NPB OC311</t>
    </r>
    <phoneticPr fontId="19" type="noConversion"/>
  </si>
  <si>
    <r>
      <rPr>
        <sz val="8"/>
        <color theme="1"/>
        <rFont val="LG스마트체 Regular"/>
        <family val="3"/>
        <charset val="129"/>
      </rPr>
      <t>조명</t>
    </r>
    <r>
      <rPr>
        <sz val="8"/>
        <color theme="1"/>
        <rFont val="Arial Narrow"/>
        <family val="2"/>
      </rPr>
      <t xml:space="preserve"> </t>
    </r>
    <r>
      <rPr>
        <sz val="8"/>
        <color theme="1"/>
        <rFont val="LG스마트체 Regular"/>
        <family val="3"/>
        <charset val="129"/>
      </rPr>
      <t>잔사</t>
    </r>
    <r>
      <rPr>
        <sz val="8"/>
        <color theme="1"/>
        <rFont val="Arial Narrow"/>
        <family val="2"/>
      </rPr>
      <t xml:space="preserve"> High Tg NPB OC311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</si>
  <si>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_OC111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</si>
  <si>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_OC212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</si>
  <si>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_OC262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</si>
  <si>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_OC121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</si>
  <si>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_OC221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</si>
  <si>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_OC311</t>
    </r>
    <phoneticPr fontId="19" type="noConversion"/>
  </si>
  <si>
    <r>
      <t xml:space="preserve">Ref. </t>
    </r>
    <r>
      <rPr>
        <sz val="11"/>
        <color theme="1"/>
        <rFont val="LG스마트체 Regular"/>
        <family val="3"/>
        <charset val="129"/>
      </rPr>
      <t>변경</t>
    </r>
    <phoneticPr fontId="19" type="noConversion"/>
  </si>
  <si>
    <r>
      <t xml:space="preserve">1. 161209c-LG 101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실험</t>
    </r>
    <r>
      <rPr>
        <sz val="11"/>
        <color theme="1"/>
        <rFont val="Arial Narrow"/>
        <family val="2"/>
      </rPr>
      <t xml:space="preserve">,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: LG-101 500A / NPB 400A / BH-113+BD-370 300A 4% / LG-201 200A / LiF 10A / Al 1000A</t>
    </r>
    <phoneticPr fontId="19" type="noConversion"/>
  </si>
  <si>
    <r>
      <rPr>
        <sz val="11"/>
        <color theme="1"/>
        <rFont val="LG스마트체 Regular"/>
        <family val="3"/>
        <charset val="129"/>
      </rPr>
      <t>※</t>
    </r>
    <r>
      <rPr>
        <sz val="11"/>
        <color theme="1"/>
        <rFont val="Arial Narrow"/>
        <family val="2"/>
      </rPr>
      <t xml:space="preserve"> 10mA/cm2 </t>
    </r>
    <r>
      <rPr>
        <sz val="11"/>
        <color theme="1"/>
        <rFont val="LG스마트체 Regular"/>
        <family val="3"/>
        <charset val="129"/>
      </rPr>
      <t>광특성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결과</t>
    </r>
    <phoneticPr fontId="19" type="noConversion"/>
  </si>
  <si>
    <r>
      <rPr>
        <sz val="11"/>
        <rFont val="LG스마트체 Regular"/>
        <family val="3"/>
        <charset val="129"/>
      </rPr>
      <t>비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고</t>
    </r>
    <r>
      <rPr>
        <sz val="11"/>
        <rFont val="Arial Narrow"/>
        <family val="2"/>
      </rPr>
      <t>(</t>
    </r>
    <r>
      <rPr>
        <sz val="11"/>
        <rFont val="LG스마트체 Regular"/>
        <family val="3"/>
        <charset val="129"/>
      </rPr>
      <t>공정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특이사항</t>
    </r>
    <r>
      <rPr>
        <sz val="11"/>
        <rFont val="Arial Narrow"/>
        <family val="2"/>
      </rPr>
      <t>)</t>
    </r>
    <phoneticPr fontId="23" type="noConversion"/>
  </si>
  <si>
    <r>
      <rPr>
        <b/>
        <sz val="11"/>
        <color theme="1"/>
        <rFont val="LG스마트체 Regular"/>
        <family val="3"/>
        <charset val="129"/>
      </rPr>
      <t>평균</t>
    </r>
    <phoneticPr fontId="19" type="noConversion"/>
  </si>
  <si>
    <r>
      <rPr>
        <sz val="11"/>
        <color indexed="8"/>
        <rFont val="LG스마트체 Regular"/>
        <family val="3"/>
        <charset val="129"/>
      </rPr>
      <t>평균</t>
    </r>
    <phoneticPr fontId="19" type="noConversion"/>
  </si>
  <si>
    <r>
      <rPr>
        <b/>
        <sz val="11"/>
        <color theme="1"/>
        <rFont val="LG스마트체 Regular"/>
        <family val="3"/>
        <charset val="129"/>
      </rPr>
      <t>평균</t>
    </r>
    <phoneticPr fontId="19" type="noConversion"/>
  </si>
  <si>
    <r>
      <rPr>
        <sz val="11"/>
        <color theme="1"/>
        <rFont val="LG스마트체 Regular"/>
        <family val="3"/>
        <charset val="129"/>
      </rPr>
      <t>평균</t>
    </r>
    <phoneticPr fontId="19" type="noConversion"/>
  </si>
  <si>
    <r>
      <rPr>
        <sz val="11"/>
        <color theme="1"/>
        <rFont val="LG스마트체 Regular"/>
        <family val="3"/>
        <charset val="129"/>
      </rPr>
      <t>중간값</t>
    </r>
    <r>
      <rPr>
        <sz val="11"/>
        <color theme="1"/>
        <rFont val="Arial Narrow"/>
        <family val="2"/>
      </rPr>
      <t>(Median)</t>
    </r>
    <phoneticPr fontId="19" type="noConversion"/>
  </si>
  <si>
    <r>
      <t xml:space="preserve">2. 161209d-LG 101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실험</t>
    </r>
    <r>
      <rPr>
        <sz val="11"/>
        <color theme="1"/>
        <rFont val="Arial Narrow"/>
        <family val="2"/>
      </rPr>
      <t xml:space="preserve">,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: LG-101 500A / NPB 400A / BH-113+BD-370 300A 4% / LG-201 100A + LiQ 100A / LiF 10A / Al 1000A</t>
    </r>
    <phoneticPr fontId="19" type="noConversion"/>
  </si>
  <si>
    <r>
      <rPr>
        <sz val="11"/>
        <color theme="1"/>
        <rFont val="LG스마트체 Regular"/>
        <family val="3"/>
        <charset val="129"/>
      </rPr>
      <t>※</t>
    </r>
    <r>
      <rPr>
        <sz val="11"/>
        <color theme="1"/>
        <rFont val="Arial Narrow"/>
        <family val="2"/>
      </rPr>
      <t xml:space="preserve"> 10mA/cm2 </t>
    </r>
    <r>
      <rPr>
        <sz val="11"/>
        <color theme="1"/>
        <rFont val="LG스마트체 Regular"/>
        <family val="3"/>
        <charset val="129"/>
      </rPr>
      <t>광특성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결과</t>
    </r>
    <phoneticPr fontId="19" type="noConversion"/>
  </si>
  <si>
    <r>
      <rPr>
        <sz val="11"/>
        <rFont val="LG스마트체 Regular"/>
        <family val="3"/>
        <charset val="129"/>
      </rPr>
      <t>비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고</t>
    </r>
    <r>
      <rPr>
        <sz val="11"/>
        <rFont val="Arial Narrow"/>
        <family val="2"/>
      </rPr>
      <t>(</t>
    </r>
    <r>
      <rPr>
        <sz val="11"/>
        <rFont val="LG스마트체 Regular"/>
        <family val="3"/>
        <charset val="129"/>
      </rPr>
      <t>공정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특이사항</t>
    </r>
    <r>
      <rPr>
        <sz val="11"/>
        <rFont val="Arial Narrow"/>
        <family val="2"/>
      </rPr>
      <t>)</t>
    </r>
    <phoneticPr fontId="23" type="noConversion"/>
  </si>
  <si>
    <r>
      <t xml:space="preserve">mETL </t>
    </r>
    <r>
      <rPr>
        <sz val="11"/>
        <color theme="1"/>
        <rFont val="LG스마트체 Regular"/>
        <family val="3"/>
        <charset val="129"/>
      </rPr>
      <t>적용</t>
    </r>
    <phoneticPr fontId="19" type="noConversion"/>
  </si>
  <si>
    <r>
      <rPr>
        <b/>
        <sz val="11"/>
        <color theme="1"/>
        <rFont val="LG스마트체 Regular"/>
        <family val="3"/>
        <charset val="129"/>
      </rPr>
      <t>평균</t>
    </r>
  </si>
  <si>
    <r>
      <rPr>
        <sz val="11"/>
        <color indexed="8"/>
        <rFont val="LG스마트체 Regular"/>
        <family val="3"/>
        <charset val="129"/>
      </rPr>
      <t>평균</t>
    </r>
    <phoneticPr fontId="19" type="noConversion"/>
  </si>
  <si>
    <r>
      <rPr>
        <sz val="11"/>
        <color theme="1"/>
        <rFont val="LG스마트체 Regular"/>
        <family val="3"/>
        <charset val="129"/>
      </rPr>
      <t>평균</t>
    </r>
  </si>
  <si>
    <r>
      <rPr>
        <sz val="11"/>
        <color theme="1"/>
        <rFont val="LG스마트체 Regular"/>
        <family val="3"/>
        <charset val="129"/>
      </rPr>
      <t>중간값</t>
    </r>
    <r>
      <rPr>
        <sz val="11"/>
        <color theme="1"/>
        <rFont val="Arial Narrow"/>
        <family val="2"/>
      </rPr>
      <t>(Median)</t>
    </r>
    <phoneticPr fontId="19" type="noConversion"/>
  </si>
  <si>
    <r>
      <rPr>
        <sz val="11"/>
        <color theme="1"/>
        <rFont val="LG스마트체 Regular"/>
        <family val="3"/>
        <charset val="129"/>
      </rPr>
      <t>평균</t>
    </r>
    <phoneticPr fontId="19" type="noConversion"/>
  </si>
  <si>
    <r>
      <t xml:space="preserve">3. 161220a-LG 101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실험</t>
    </r>
    <r>
      <rPr>
        <sz val="11"/>
        <color theme="1"/>
        <rFont val="Arial Narrow"/>
        <family val="2"/>
      </rPr>
      <t xml:space="preserve">,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: LG-101 500A / NPB 400A / BH-113+BD-370 300A 4% / LG-201 200A / LiF 10A / Al 1000A</t>
    </r>
    <phoneticPr fontId="19" type="noConversion"/>
  </si>
  <si>
    <r>
      <rPr>
        <sz val="11"/>
        <color theme="1"/>
        <rFont val="LG스마트체 Regular"/>
        <family val="3"/>
        <charset val="129"/>
      </rPr>
      <t>※</t>
    </r>
    <r>
      <rPr>
        <sz val="11"/>
        <color theme="1"/>
        <rFont val="Arial Narrow"/>
        <family val="2"/>
      </rPr>
      <t xml:space="preserve"> 10mA/cm2 </t>
    </r>
    <r>
      <rPr>
        <sz val="11"/>
        <color theme="1"/>
        <rFont val="LG스마트체 Regular"/>
        <family val="3"/>
        <charset val="129"/>
      </rPr>
      <t>광특성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결과</t>
    </r>
    <phoneticPr fontId="19" type="noConversion"/>
  </si>
  <si>
    <r>
      <rPr>
        <sz val="11"/>
        <rFont val="LG스마트체 Regular"/>
        <family val="3"/>
        <charset val="129"/>
      </rPr>
      <t>비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고</t>
    </r>
    <r>
      <rPr>
        <sz val="11"/>
        <rFont val="Arial Narrow"/>
        <family val="2"/>
      </rPr>
      <t>(</t>
    </r>
    <r>
      <rPr>
        <sz val="11"/>
        <rFont val="LG스마트체 Regular"/>
        <family val="3"/>
        <charset val="129"/>
      </rPr>
      <t>공정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특이사항</t>
    </r>
    <r>
      <rPr>
        <sz val="11"/>
        <rFont val="Arial Narrow"/>
        <family val="2"/>
      </rPr>
      <t>)</t>
    </r>
    <phoneticPr fontId="23" type="noConversion"/>
  </si>
  <si>
    <r>
      <rPr>
        <b/>
        <sz val="11"/>
        <color theme="1"/>
        <rFont val="LG스마트체 Regular"/>
        <family val="3"/>
        <charset val="129"/>
      </rPr>
      <t>평균</t>
    </r>
    <phoneticPr fontId="19" type="noConversion"/>
  </si>
  <si>
    <r>
      <t xml:space="preserve">4. 161220b-LG 101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실험</t>
    </r>
    <r>
      <rPr>
        <sz val="11"/>
        <color theme="1"/>
        <rFont val="Arial Narrow"/>
        <family val="2"/>
      </rPr>
      <t xml:space="preserve">,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: LG-101 500A / NPB 400A / BH-113+BD-370 300A 4% / LG-201 100A + LiQ 100A / LiQ 10A / Al 1000A</t>
    </r>
    <phoneticPr fontId="19" type="noConversion"/>
  </si>
  <si>
    <r>
      <t xml:space="preserve">5. 170106b-LG-101 Ref. </t>
    </r>
    <r>
      <rPr>
        <sz val="11"/>
        <color theme="1"/>
        <rFont val="LG스마트체 Regular"/>
        <family val="3"/>
        <charset val="129"/>
      </rPr>
      <t>원장</t>
    </r>
    <r>
      <rPr>
        <sz val="11"/>
        <color theme="1"/>
        <rFont val="Arial Narrow"/>
        <family val="2"/>
      </rPr>
      <t>(</t>
    </r>
    <r>
      <rPr>
        <b/>
        <sz val="11"/>
        <color theme="1"/>
        <rFont val="Arial Narrow"/>
        <family val="2"/>
      </rPr>
      <t>101 Tooling 22%</t>
    </r>
    <r>
      <rPr>
        <sz val="11"/>
        <color theme="1"/>
        <rFont val="Arial Narrow"/>
        <family val="2"/>
      </rPr>
      <t xml:space="preserve">),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: LG-101 500A / NPB 400A / BH-113+BD-370 300A 4% / LG-201 100A + LiQ 100A / </t>
    </r>
    <r>
      <rPr>
        <b/>
        <sz val="11"/>
        <color theme="1"/>
        <rFont val="Arial Narrow"/>
        <family val="2"/>
      </rPr>
      <t>LiQ 5A</t>
    </r>
    <r>
      <rPr>
        <sz val="11"/>
        <color theme="1"/>
        <rFont val="Arial Narrow"/>
        <family val="2"/>
      </rPr>
      <t xml:space="preserve"> / Al 1000A</t>
    </r>
    <phoneticPr fontId="19" type="noConversion"/>
  </si>
  <si>
    <r>
      <t xml:space="preserve">mETL </t>
    </r>
    <r>
      <rPr>
        <sz val="11"/>
        <color theme="1"/>
        <rFont val="LG스마트체 Regular"/>
        <family val="3"/>
        <charset val="129"/>
      </rPr>
      <t>적용</t>
    </r>
    <phoneticPr fontId="19" type="noConversion"/>
  </si>
  <si>
    <r>
      <t xml:space="preserve">6. 170106c-LG-101 Ref. </t>
    </r>
    <r>
      <rPr>
        <sz val="11"/>
        <color theme="1"/>
        <rFont val="LG스마트체 Regular"/>
        <family val="3"/>
        <charset val="129"/>
      </rPr>
      <t>원장</t>
    </r>
    <r>
      <rPr>
        <sz val="11"/>
        <color theme="1"/>
        <rFont val="Arial Narrow"/>
        <family val="2"/>
      </rPr>
      <t xml:space="preserve">(101 Tooling 13.8%),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: LG-101 500A / NPB 400A / BH-113+BD-370 300A 4% / LG-201 100A + LiQ 100A / </t>
    </r>
    <r>
      <rPr>
        <b/>
        <sz val="11"/>
        <color theme="1"/>
        <rFont val="Arial Narrow"/>
        <family val="2"/>
      </rPr>
      <t>LiQ 5A</t>
    </r>
    <r>
      <rPr>
        <sz val="11"/>
        <color theme="1"/>
        <rFont val="Arial Narrow"/>
        <family val="2"/>
      </rPr>
      <t xml:space="preserve"> / Al 1000A</t>
    </r>
    <phoneticPr fontId="19" type="noConversion"/>
  </si>
  <si>
    <r>
      <t xml:space="preserve">7. 170111a-LG-101 Ref. </t>
    </r>
    <r>
      <rPr>
        <sz val="11"/>
        <color theme="1"/>
        <rFont val="LG스마트체 Regular"/>
        <family val="3"/>
        <charset val="129"/>
      </rPr>
      <t>원장</t>
    </r>
    <r>
      <rPr>
        <sz val="11"/>
        <color theme="1"/>
        <rFont val="Arial Narrow"/>
        <family val="2"/>
      </rPr>
      <t xml:space="preserve">-OC#6 </t>
    </r>
    <r>
      <rPr>
        <sz val="11"/>
        <color theme="1"/>
        <rFont val="LG스마트체 Regular"/>
        <family val="3"/>
        <charset val="129"/>
      </rPr>
      <t>이용</t>
    </r>
    <r>
      <rPr>
        <sz val="11"/>
        <color theme="1"/>
        <rFont val="Arial Narrow"/>
        <family val="2"/>
      </rPr>
      <t xml:space="preserve">,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: LG-101 500A / NPB 400A / BH-113+BD-370 300A 4% / LG-201 100A + LiQ 100A / </t>
    </r>
    <r>
      <rPr>
        <b/>
        <sz val="11"/>
        <color theme="1"/>
        <rFont val="Arial Narrow"/>
        <family val="2"/>
      </rPr>
      <t>LiQ 5A</t>
    </r>
    <r>
      <rPr>
        <sz val="11"/>
        <color theme="1"/>
        <rFont val="Arial Narrow"/>
        <family val="2"/>
      </rPr>
      <t xml:space="preserve"> / Al 1000A</t>
    </r>
    <phoneticPr fontId="19" type="noConversion"/>
  </si>
  <si>
    <r>
      <t xml:space="preserve">OC#6 </t>
    </r>
    <r>
      <rPr>
        <sz val="11"/>
        <color theme="1"/>
        <rFont val="LG스마트체 Regular"/>
        <family val="3"/>
        <charset val="129"/>
      </rPr>
      <t>이용</t>
    </r>
    <phoneticPr fontId="19" type="noConversion"/>
  </si>
  <si>
    <r>
      <t xml:space="preserve">8. 170113a-LG-101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QC-101G16005,7,8</t>
    </r>
    <phoneticPr fontId="19" type="noConversion"/>
  </si>
  <si>
    <r>
      <rPr>
        <sz val="11"/>
        <color indexed="8"/>
        <rFont val="LG스마트체 Regular"/>
        <family val="3"/>
        <charset val="129"/>
      </rPr>
      <t>평균</t>
    </r>
    <phoneticPr fontId="19" type="noConversion"/>
  </si>
  <si>
    <r>
      <t xml:space="preserve">9. 170113b-LG-101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QC-101G16005,7,8</t>
    </r>
    <phoneticPr fontId="19" type="noConversion"/>
  </si>
  <si>
    <r>
      <t xml:space="preserve">Rate Control </t>
    </r>
    <r>
      <rPr>
        <sz val="11"/>
        <color theme="1"/>
        <rFont val="LG스마트체 Regular"/>
        <family val="3"/>
        <charset val="129"/>
      </rPr>
      <t>이상</t>
    </r>
    <phoneticPr fontId="19" type="noConversion"/>
  </si>
  <si>
    <r>
      <t xml:space="preserve">11. 170120a-d-LG-101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QC-101G16002,3,4</t>
    </r>
    <phoneticPr fontId="19" type="noConversion"/>
  </si>
  <si>
    <r>
      <t xml:space="preserve">Rate </t>
    </r>
    <r>
      <rPr>
        <b/>
        <sz val="11"/>
        <color rgb="FFFF0000"/>
        <rFont val="LG스마트체 Regular"/>
        <family val="3"/>
        <charset val="129"/>
      </rPr>
      <t>이상</t>
    </r>
    <phoneticPr fontId="19" type="noConversion"/>
  </si>
  <si>
    <r>
      <t xml:space="preserve">12. 170421a-LG-101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QC-101G16001,17001,2,3</t>
    </r>
    <phoneticPr fontId="19" type="noConversion"/>
  </si>
  <si>
    <r>
      <t xml:space="preserve">13. 170421b-LG-101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QC-101G16001,17001,2,3</t>
    </r>
    <phoneticPr fontId="19" type="noConversion"/>
  </si>
  <si>
    <r>
      <t xml:space="preserve">14. 170612a-LG-101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QC-101G17004</t>
    </r>
    <phoneticPr fontId="19" type="noConversion"/>
  </si>
  <si>
    <r>
      <t xml:space="preserve">15. 170612b-LG-101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QC-101G17004</t>
    </r>
    <phoneticPr fontId="19" type="noConversion"/>
  </si>
  <si>
    <r>
      <t xml:space="preserve">16. 171011a-LG-101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QC-101G17008</t>
    </r>
    <phoneticPr fontId="19" type="noConversion"/>
  </si>
  <si>
    <r>
      <t xml:space="preserve">17. 171011b-LG-101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QC-101G17008</t>
    </r>
    <phoneticPr fontId="19" type="noConversion"/>
  </si>
  <si>
    <r>
      <t xml:space="preserve">18. 171023c-LG-101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QC-101G17006,7</t>
    </r>
    <phoneticPr fontId="19" type="noConversion"/>
  </si>
  <si>
    <r>
      <t xml:space="preserve">19. 171023d-LG-101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QC-101G17006,7</t>
    </r>
    <phoneticPr fontId="19" type="noConversion"/>
  </si>
  <si>
    <r>
      <t xml:space="preserve">20. 171026a-LG-101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QC-101G17009,6</t>
    </r>
    <phoneticPr fontId="19" type="noConversion"/>
  </si>
  <si>
    <r>
      <t xml:space="preserve">21. 171026b-LG-101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QC-101G17009,6</t>
    </r>
    <phoneticPr fontId="19" type="noConversion"/>
  </si>
  <si>
    <r>
      <t xml:space="preserve">22. 171104c-LG-101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QC-101G17010</t>
    </r>
    <phoneticPr fontId="19" type="noConversion"/>
  </si>
  <si>
    <r>
      <t xml:space="preserve">23. 171104d-LG-101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QC-101G17010</t>
    </r>
    <phoneticPr fontId="19" type="noConversion"/>
  </si>
  <si>
    <r>
      <t xml:space="preserve">24. 171127b-LG-101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QC-101G17005</t>
    </r>
    <phoneticPr fontId="19" type="noConversion"/>
  </si>
  <si>
    <r>
      <t xml:space="preserve">25. 171127c-LG-101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QC-101G17005</t>
    </r>
    <phoneticPr fontId="19" type="noConversion"/>
  </si>
  <si>
    <r>
      <t xml:space="preserve">26. 171203a-LG-101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QC-101G17011-</t>
    </r>
    <r>
      <rPr>
        <sz val="11"/>
        <color theme="1"/>
        <rFont val="LG스마트체 Regular"/>
        <family val="3"/>
        <charset val="129"/>
      </rPr>
      <t>원재료불량재정제품</t>
    </r>
    <phoneticPr fontId="19" type="noConversion"/>
  </si>
  <si>
    <r>
      <t xml:space="preserve">26. 171203b-LG-101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QC-101G17011-</t>
    </r>
    <r>
      <rPr>
        <sz val="11"/>
        <color theme="1"/>
        <rFont val="LG스마트체 Regular"/>
        <family val="3"/>
        <charset val="129"/>
      </rPr>
      <t>원재료불량재정제품</t>
    </r>
    <phoneticPr fontId="19" type="noConversion"/>
  </si>
  <si>
    <r>
      <t xml:space="preserve">27. 180206c-LG-101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QC-101G18001-2.4mA</t>
    </r>
    <phoneticPr fontId="19" type="noConversion"/>
  </si>
  <si>
    <r>
      <t xml:space="preserve">28. 180206d-LG-101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QC-101G18001-2.4mA</t>
    </r>
    <phoneticPr fontId="19" type="noConversion"/>
  </si>
  <si>
    <r>
      <t xml:space="preserve">29. 180305c-LG-101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QC-101G18002-2.4mA</t>
    </r>
    <phoneticPr fontId="19" type="noConversion"/>
  </si>
  <si>
    <r>
      <t xml:space="preserve">30. 180305d-LG-101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QC-101G18002-2.4mA</t>
    </r>
    <phoneticPr fontId="19" type="noConversion"/>
  </si>
  <si>
    <r>
      <t>31. 180330e-LG-323</t>
    </r>
    <r>
      <rPr>
        <sz val="11"/>
        <color theme="1"/>
        <rFont val="LG스마트체 Regular"/>
        <family val="3"/>
        <charset val="129"/>
      </rPr>
      <t>구조</t>
    </r>
    <r>
      <rPr>
        <sz val="11"/>
        <color theme="1"/>
        <rFont val="Arial Narrow"/>
        <family val="2"/>
      </rPr>
      <t xml:space="preserve"> 101</t>
    </r>
    <r>
      <rPr>
        <sz val="11"/>
        <color theme="1"/>
        <rFont val="LG스마트체 Regular"/>
        <family val="3"/>
        <charset val="129"/>
      </rPr>
      <t>조명평가</t>
    </r>
    <r>
      <rPr>
        <sz val="11"/>
        <color theme="1"/>
        <rFont val="Arial Narrow"/>
        <family val="2"/>
      </rPr>
      <t xml:space="preserve"> OC111,262,212</t>
    </r>
    <phoneticPr fontId="19" type="noConversion"/>
  </si>
  <si>
    <r>
      <t>32. 180330f-LG-323</t>
    </r>
    <r>
      <rPr>
        <sz val="11"/>
        <color theme="1"/>
        <rFont val="LG스마트체 Regular"/>
        <family val="3"/>
        <charset val="129"/>
      </rPr>
      <t>구조</t>
    </r>
    <r>
      <rPr>
        <sz val="11"/>
        <color theme="1"/>
        <rFont val="Arial Narrow"/>
        <family val="2"/>
      </rPr>
      <t xml:space="preserve"> 101</t>
    </r>
    <r>
      <rPr>
        <sz val="11"/>
        <color theme="1"/>
        <rFont val="LG스마트체 Regular"/>
        <family val="3"/>
        <charset val="129"/>
      </rPr>
      <t>조명평가</t>
    </r>
    <r>
      <rPr>
        <sz val="11"/>
        <color theme="1"/>
        <rFont val="Arial Narrow"/>
        <family val="2"/>
      </rPr>
      <t xml:space="preserve"> OC111,262,212</t>
    </r>
    <phoneticPr fontId="19" type="noConversion"/>
  </si>
  <si>
    <r>
      <t xml:space="preserve">33. 180420c-LG-101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QC-101G18003-2.4mA-</t>
    </r>
    <r>
      <rPr>
        <sz val="11"/>
        <color theme="1"/>
        <rFont val="LG스마트체 Regular"/>
        <family val="3"/>
        <charset val="129"/>
      </rPr>
      <t>수명</t>
    </r>
    <phoneticPr fontId="19" type="noConversion"/>
  </si>
  <si>
    <r>
      <t xml:space="preserve">34. 180421b-LG-101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QC-101G18003-2.4mA-</t>
    </r>
    <r>
      <rPr>
        <sz val="11"/>
        <color theme="1"/>
        <rFont val="LG스마트체 Regular"/>
        <family val="3"/>
        <charset val="129"/>
      </rPr>
      <t>수명</t>
    </r>
    <phoneticPr fontId="19" type="noConversion"/>
  </si>
  <si>
    <r>
      <t xml:space="preserve">35. 180430a-LG-101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QC-101G18001,2,3</t>
    </r>
    <phoneticPr fontId="19" type="noConversion"/>
  </si>
  <si>
    <r>
      <t xml:space="preserve">36. 180526c-LG-101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QC-101G18004</t>
    </r>
    <phoneticPr fontId="19" type="noConversion"/>
  </si>
  <si>
    <r>
      <t xml:space="preserve">37. 180618b-LG-101 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QC-101G18005</t>
    </r>
    <phoneticPr fontId="19" type="noConversion"/>
  </si>
  <si>
    <r>
      <t xml:space="preserve">38. 180702a-LG-101 </t>
    </r>
    <r>
      <rPr>
        <sz val="11"/>
        <color theme="1"/>
        <rFont val="LG스마트체 Regular"/>
        <family val="3"/>
        <charset val="129"/>
      </rPr>
      <t>평가</t>
    </r>
    <r>
      <rPr>
        <sz val="11"/>
        <color theme="1"/>
        <rFont val="Arial Narrow"/>
        <family val="2"/>
      </rPr>
      <t xml:space="preserve"> High Tg NPB OC331-2.4mA</t>
    </r>
    <phoneticPr fontId="19" type="noConversion"/>
  </si>
  <si>
    <r>
      <rPr>
        <sz val="9"/>
        <color theme="1"/>
        <rFont val="LG스마트체 Regular"/>
        <family val="3"/>
        <charset val="129"/>
      </rPr>
      <t>조명</t>
    </r>
    <r>
      <rPr>
        <sz val="9"/>
        <color theme="1"/>
        <rFont val="Arial Narrow"/>
        <family val="2"/>
      </rPr>
      <t xml:space="preserve"> </t>
    </r>
    <r>
      <rPr>
        <sz val="9"/>
        <color theme="1"/>
        <rFont val="LG스마트체 Regular"/>
        <family val="3"/>
        <charset val="129"/>
      </rPr>
      <t>잔사</t>
    </r>
    <r>
      <rPr>
        <sz val="9"/>
        <color theme="1"/>
        <rFont val="Arial Narrow"/>
        <family val="2"/>
      </rPr>
      <t xml:space="preserve"> High Tg NPB OC311</t>
    </r>
    <phoneticPr fontId="19" type="noConversion"/>
  </si>
  <si>
    <r>
      <t xml:space="preserve">39. 180702b-LG-101 </t>
    </r>
    <r>
      <rPr>
        <sz val="11"/>
        <color theme="1"/>
        <rFont val="LG스마트체 Regular"/>
        <family val="3"/>
        <charset val="129"/>
      </rPr>
      <t>평가</t>
    </r>
    <r>
      <rPr>
        <sz val="11"/>
        <color theme="1"/>
        <rFont val="Arial Narrow"/>
        <family val="2"/>
      </rPr>
      <t xml:space="preserve"> High Tg NPB OC331-2.4mA</t>
    </r>
    <phoneticPr fontId="19" type="noConversion"/>
  </si>
  <si>
    <r>
      <t>40. 180704a-LG-101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 101G18006 2.4mA-</t>
    </r>
    <r>
      <rPr>
        <sz val="11"/>
        <color theme="1"/>
        <rFont val="LG스마트체 Regular"/>
        <family val="3"/>
        <charset val="129"/>
      </rPr>
      <t>수명</t>
    </r>
    <phoneticPr fontId="19" type="noConversion"/>
  </si>
  <si>
    <r>
      <t>41. 180704a-LG-101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 101G18006 2.4mA-</t>
    </r>
    <r>
      <rPr>
        <sz val="11"/>
        <color theme="1"/>
        <rFont val="LG스마트체 Regular"/>
        <family val="3"/>
        <charset val="129"/>
      </rPr>
      <t>수명</t>
    </r>
    <phoneticPr fontId="19" type="noConversion"/>
  </si>
  <si>
    <r>
      <t>42. 180809d-LG-101</t>
    </r>
    <r>
      <rPr>
        <sz val="11"/>
        <color theme="1"/>
        <rFont val="LG스마트체 Regular"/>
        <family val="3"/>
        <charset val="129"/>
      </rPr>
      <t>평가</t>
    </r>
    <r>
      <rPr>
        <sz val="11"/>
        <color theme="1"/>
        <rFont val="Arial Narrow"/>
        <family val="2"/>
      </rPr>
      <t xml:space="preserve"> OC111, 212,262-2.4mA </t>
    </r>
    <r>
      <rPr>
        <sz val="11"/>
        <color theme="1"/>
        <rFont val="LG스마트체 Regular"/>
        <family val="3"/>
        <charset val="129"/>
      </rPr>
      <t>수명</t>
    </r>
    <phoneticPr fontId="19" type="noConversion"/>
  </si>
  <si>
    <r>
      <t xml:space="preserve">T95 </t>
    </r>
    <r>
      <rPr>
        <sz val="11"/>
        <color theme="1"/>
        <rFont val="LG스마트체 Regular"/>
        <family val="3"/>
        <charset val="129"/>
      </rPr>
      <t>수명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</si>
  <si>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_OC111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</si>
  <si>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_OC212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</si>
  <si>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_OC262</t>
    </r>
    <phoneticPr fontId="19" type="noConversion"/>
  </si>
  <si>
    <r>
      <t>43. 180809e-High Tg NPB</t>
    </r>
    <r>
      <rPr>
        <sz val="11"/>
        <color theme="1"/>
        <rFont val="LG스마트체 Regular"/>
        <family val="3"/>
        <charset val="129"/>
      </rPr>
      <t>평가</t>
    </r>
    <r>
      <rPr>
        <sz val="11"/>
        <color theme="1"/>
        <rFont val="Arial Narrow"/>
        <family val="2"/>
      </rPr>
      <t xml:space="preserve"> OC121,221,311(311-</t>
    </r>
    <r>
      <rPr>
        <sz val="11"/>
        <color theme="1"/>
        <rFont val="LG스마트체 Regular"/>
        <family val="3"/>
        <charset val="129"/>
      </rPr>
      <t>재료문제로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인해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증착못함</t>
    </r>
    <r>
      <rPr>
        <sz val="11"/>
        <color theme="1"/>
        <rFont val="Arial Narrow"/>
        <family val="2"/>
      </rPr>
      <t>)</t>
    </r>
    <phoneticPr fontId="19" type="noConversion"/>
  </si>
  <si>
    <r>
      <t>T95 (</t>
    </r>
    <r>
      <rPr>
        <sz val="11"/>
        <color theme="1"/>
        <rFont val="LG스마트체 Regular"/>
        <family val="3"/>
        <charset val="129"/>
      </rPr>
      <t>수명</t>
    </r>
    <r>
      <rPr>
        <sz val="11"/>
        <color theme="1"/>
        <rFont val="Arial Narrow"/>
        <family val="2"/>
      </rPr>
      <t>)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</si>
  <si>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_OC121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</si>
  <si>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_OC221</t>
    </r>
    <phoneticPr fontId="19" type="noConversion"/>
  </si>
  <si>
    <r>
      <rPr>
        <sz val="11"/>
        <color theme="1"/>
        <rFont val="LG스마트체 Regular"/>
        <family val="3"/>
        <charset val="129"/>
      </rPr>
      <t>잔사</t>
    </r>
    <r>
      <rPr>
        <sz val="11"/>
        <color theme="1"/>
        <rFont val="Arial Narrow"/>
        <family val="2"/>
      </rPr>
      <t>_OC311</t>
    </r>
    <phoneticPr fontId="19" type="noConversion"/>
  </si>
  <si>
    <r>
      <t>44. 180817a-LG-101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 101G18008</t>
    </r>
    <phoneticPr fontId="19" type="noConversion"/>
  </si>
  <si>
    <r>
      <t>45. 180828d-LG-101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 101G18009</t>
    </r>
    <phoneticPr fontId="19" type="noConversion"/>
  </si>
  <si>
    <r>
      <t>46. 180921e-LG-101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 101G18010</t>
    </r>
    <phoneticPr fontId="19" type="noConversion"/>
  </si>
  <si>
    <r>
      <t>47. 181019e-LG-101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 101G18011</t>
    </r>
    <phoneticPr fontId="19" type="noConversion"/>
  </si>
  <si>
    <r>
      <t>48. 181019f-LG-101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 101G18011</t>
    </r>
    <phoneticPr fontId="19" type="noConversion"/>
  </si>
  <si>
    <r>
      <t>49. 181207e-LG-101</t>
    </r>
    <r>
      <rPr>
        <sz val="11"/>
        <color theme="1"/>
        <rFont val="LG스마트체 Regular"/>
        <family val="3"/>
        <charset val="129"/>
      </rPr>
      <t>양산</t>
    </r>
    <r>
      <rPr>
        <sz val="11"/>
        <color theme="1"/>
        <rFont val="Arial Narrow"/>
        <family val="2"/>
      </rPr>
      <t>QC 101G18012</t>
    </r>
    <phoneticPr fontId="19" type="noConversion"/>
  </si>
  <si>
    <r>
      <t xml:space="preserve">1. LG-101 </t>
    </r>
    <r>
      <rPr>
        <b/>
        <sz val="11"/>
        <color theme="1"/>
        <rFont val="LG스마트체 Regular"/>
        <family val="3"/>
        <charset val="129"/>
      </rPr>
      <t>양산</t>
    </r>
    <r>
      <rPr>
        <b/>
        <sz val="11"/>
        <color theme="1"/>
        <rFont val="Arial Narrow"/>
        <family val="2"/>
      </rPr>
      <t>QC Data</t>
    </r>
    <phoneticPr fontId="19" type="noConversion"/>
  </si>
  <si>
    <r>
      <t xml:space="preserve">1) </t>
    </r>
    <r>
      <rPr>
        <sz val="11"/>
        <color theme="1"/>
        <rFont val="LG스마트체 Regular"/>
        <family val="3"/>
        <charset val="129"/>
      </rPr>
      <t>소자구조</t>
    </r>
    <r>
      <rPr>
        <sz val="11"/>
        <color theme="1"/>
        <rFont val="Arial Narrow"/>
        <family val="2"/>
      </rPr>
      <t xml:space="preserve"> : LG-101 500A / NPB 400A / BH-113+BD-370 300A 4% / LG-201 100A + LiQ 100A / LiQ 5A / Al 1000A</t>
    </r>
    <phoneticPr fontId="19" type="noConversion"/>
  </si>
  <si>
    <r>
      <rPr>
        <sz val="11"/>
        <color theme="1"/>
        <rFont val="LG스마트체 Regular"/>
        <family val="3"/>
        <charset val="129"/>
      </rPr>
      <t>※</t>
    </r>
    <r>
      <rPr>
        <sz val="11"/>
        <color theme="1"/>
        <rFont val="Arial Narrow"/>
        <family val="2"/>
      </rPr>
      <t xml:space="preserve"> 10mA/cm2 </t>
    </r>
    <r>
      <rPr>
        <sz val="11"/>
        <color theme="1"/>
        <rFont val="LG스마트체 Regular"/>
        <family val="3"/>
        <charset val="129"/>
      </rPr>
      <t>기준</t>
    </r>
    <r>
      <rPr>
        <sz val="11"/>
        <color theme="1"/>
        <rFont val="Arial Narrow"/>
        <family val="2"/>
      </rPr>
      <t xml:space="preserve"> Data</t>
    </r>
    <phoneticPr fontId="19" type="noConversion"/>
  </si>
  <si>
    <r>
      <rPr>
        <sz val="11"/>
        <color theme="1"/>
        <rFont val="LG스마트체 Regular"/>
        <family val="3"/>
        <charset val="129"/>
      </rPr>
      <t>※</t>
    </r>
    <r>
      <rPr>
        <sz val="11"/>
        <color theme="1"/>
        <rFont val="Arial Narrow"/>
        <family val="2"/>
      </rPr>
      <t xml:space="preserve"> Ref. </t>
    </r>
    <r>
      <rPr>
        <sz val="11"/>
        <color theme="1"/>
        <rFont val="LG스마트체 Regular"/>
        <family val="3"/>
        <charset val="129"/>
      </rPr>
      <t>대비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특성값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차이</t>
    </r>
    <r>
      <rPr>
        <sz val="11"/>
        <color theme="1"/>
        <rFont val="Arial Narrow"/>
        <family val="2"/>
      </rPr>
      <t xml:space="preserve">(%) : </t>
    </r>
    <r>
      <rPr>
        <sz val="11"/>
        <color theme="1"/>
        <rFont val="LG스마트체 Regular"/>
        <family val="3"/>
        <charset val="129"/>
      </rPr>
      <t>사양</t>
    </r>
    <r>
      <rPr>
        <sz val="11"/>
        <color theme="1"/>
        <rFont val="Arial Narrow"/>
        <family val="2"/>
      </rPr>
      <t xml:space="preserve"> Ref. </t>
    </r>
    <r>
      <rPr>
        <sz val="11"/>
        <color theme="1"/>
        <rFont val="LG스마트체 Regular"/>
        <family val="3"/>
        <charset val="129"/>
      </rPr>
      <t>대비</t>
    </r>
    <r>
      <rPr>
        <sz val="11"/>
        <color theme="1"/>
        <rFont val="Arial Narrow"/>
        <family val="2"/>
      </rPr>
      <t xml:space="preserve"> ±5%, </t>
    </r>
    <r>
      <rPr>
        <sz val="11"/>
        <color theme="1"/>
        <rFont val="LG스마트체 Regular"/>
        <family val="3"/>
        <charset val="129"/>
      </rPr>
      <t>수명</t>
    </r>
    <r>
      <rPr>
        <sz val="11"/>
        <color theme="1"/>
        <rFont val="Arial Narrow"/>
        <family val="2"/>
      </rPr>
      <t xml:space="preserve"> Ref. </t>
    </r>
    <r>
      <rPr>
        <sz val="11"/>
        <color theme="1"/>
        <rFont val="LG스마트체 Regular"/>
        <family val="3"/>
        <charset val="129"/>
      </rPr>
      <t>대비</t>
    </r>
    <r>
      <rPr>
        <sz val="11"/>
        <color theme="1"/>
        <rFont val="Arial Narrow"/>
        <family val="2"/>
      </rPr>
      <t xml:space="preserve"> ±10%</t>
    </r>
    <phoneticPr fontId="19" type="noConversion"/>
  </si>
  <si>
    <r>
      <rPr>
        <sz val="11"/>
        <color indexed="8"/>
        <rFont val="LG스마트체 Regular"/>
        <family val="3"/>
        <charset val="129"/>
      </rPr>
      <t>증착일</t>
    </r>
    <phoneticPr fontId="19" type="noConversion"/>
  </si>
  <si>
    <r>
      <rPr>
        <sz val="11"/>
        <rFont val="LG스마트체 Regular"/>
        <family val="3"/>
        <charset val="129"/>
      </rPr>
      <t>수명차이</t>
    </r>
    <r>
      <rPr>
        <sz val="11"/>
        <rFont val="Arial Narrow"/>
        <family val="2"/>
      </rPr>
      <t xml:space="preserve"> %</t>
    </r>
    <phoneticPr fontId="19" type="noConversion"/>
  </si>
  <si>
    <t>101G18013</t>
    <phoneticPr fontId="19" type="noConversion"/>
  </si>
  <si>
    <t>101G18013</t>
    <phoneticPr fontId="19" type="noConversion"/>
  </si>
  <si>
    <r>
      <t>50. 181218h-LG-101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101G18013 (OC#1-8 Test)</t>
    </r>
    <phoneticPr fontId="19" type="noConversion"/>
  </si>
  <si>
    <t>181218h</t>
    <phoneticPr fontId="19" type="noConversion"/>
  </si>
  <si>
    <t>101G18013</t>
    <phoneticPr fontId="19" type="noConversion"/>
  </si>
  <si>
    <t>190208e</t>
    <phoneticPr fontId="19" type="noConversion"/>
  </si>
  <si>
    <t>Ref. 101G18010</t>
    <phoneticPr fontId="19" type="noConversion"/>
  </si>
  <si>
    <t>Ref. 101G18010</t>
    <phoneticPr fontId="19" type="noConversion"/>
  </si>
  <si>
    <t>101G19001</t>
    <phoneticPr fontId="19" type="noConversion"/>
  </si>
  <si>
    <t>101G19001</t>
    <phoneticPr fontId="19" type="noConversion"/>
  </si>
  <si>
    <r>
      <t>51. 190208e-LG-101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101G19001</t>
    </r>
    <phoneticPr fontId="19" type="noConversion"/>
  </si>
  <si>
    <r>
      <t>52. 190423h-LG-101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101G19002-</t>
    </r>
    <r>
      <rPr>
        <sz val="11"/>
        <color theme="1"/>
        <rFont val="돋움"/>
        <family val="3"/>
        <charset val="129"/>
      </rPr>
      <t>수명</t>
    </r>
    <phoneticPr fontId="19" type="noConversion"/>
  </si>
  <si>
    <t>101G19002</t>
  </si>
  <si>
    <t>101G19002</t>
    <phoneticPr fontId="19" type="noConversion"/>
  </si>
  <si>
    <t>190423h</t>
    <phoneticPr fontId="19" type="noConversion"/>
  </si>
  <si>
    <t>101G19002</t>
    <phoneticPr fontId="19" type="noConversion"/>
  </si>
  <si>
    <r>
      <t>53. 190829b-LG-101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101G19003-</t>
    </r>
    <r>
      <rPr>
        <sz val="11"/>
        <color theme="1"/>
        <rFont val="돋움"/>
        <family val="3"/>
        <charset val="129"/>
      </rPr>
      <t>수명</t>
    </r>
    <phoneticPr fontId="19" type="noConversion"/>
  </si>
  <si>
    <t>101G19003</t>
  </si>
  <si>
    <t>101G19003</t>
    <phoneticPr fontId="19" type="noConversion"/>
  </si>
  <si>
    <t>190829b</t>
    <phoneticPr fontId="19" type="noConversion"/>
  </si>
  <si>
    <t>101G19003</t>
    <phoneticPr fontId="19" type="noConversion"/>
  </si>
  <si>
    <t>101G19004</t>
  </si>
  <si>
    <t>101G19004</t>
    <phoneticPr fontId="19" type="noConversion"/>
  </si>
  <si>
    <t>191004e</t>
    <phoneticPr fontId="19" type="noConversion"/>
  </si>
  <si>
    <t>101G19004</t>
    <phoneticPr fontId="19" type="noConversion"/>
  </si>
  <si>
    <r>
      <t>54. 191004e-LG-101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101G19004</t>
    </r>
    <phoneticPr fontId="19" type="noConversion"/>
  </si>
  <si>
    <t>Ref. 101G19002</t>
    <phoneticPr fontId="19" type="noConversion"/>
  </si>
  <si>
    <r>
      <t xml:space="preserve">Ref. </t>
    </r>
    <r>
      <rPr>
        <sz val="11"/>
        <color theme="1"/>
        <rFont val="돋움"/>
        <family val="3"/>
        <charset val="129"/>
      </rPr>
      <t>변경</t>
    </r>
    <r>
      <rPr>
        <sz val="11"/>
        <color theme="1"/>
        <rFont val="Arial Narrow"/>
        <family val="2"/>
      </rPr>
      <t>(101G19002)</t>
    </r>
    <phoneticPr fontId="19" type="noConversion"/>
  </si>
  <si>
    <r>
      <t>Ref.</t>
    </r>
    <r>
      <rPr>
        <sz val="11"/>
        <color theme="1"/>
        <rFont val="돋움"/>
        <family val="3"/>
        <charset val="129"/>
      </rPr>
      <t>변경</t>
    </r>
    <r>
      <rPr>
        <sz val="11"/>
        <color theme="1"/>
        <rFont val="Arial Narrow"/>
        <family val="2"/>
      </rPr>
      <t xml:space="preserve"> (101G19004)</t>
    </r>
    <phoneticPr fontId="19" type="noConversion"/>
  </si>
  <si>
    <t>101G19005</t>
  </si>
  <si>
    <t>101G19005</t>
    <phoneticPr fontId="19" type="noConversion"/>
  </si>
  <si>
    <t>191127d</t>
    <phoneticPr fontId="19" type="noConversion"/>
  </si>
  <si>
    <r>
      <t>55. 191127d-LG-101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101G19005</t>
    </r>
    <phoneticPr fontId="19" type="noConversion"/>
  </si>
  <si>
    <t>Ref. 101G19004</t>
    <phoneticPr fontId="19" type="noConversion"/>
  </si>
  <si>
    <r>
      <t>56. 191217h-LG-101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101G19006(20</t>
    </r>
    <r>
      <rPr>
        <sz val="11"/>
        <color theme="1"/>
        <rFont val="돋움"/>
        <family val="3"/>
        <charset val="129"/>
      </rPr>
      <t>일</t>
    </r>
    <r>
      <rPr>
        <sz val="11"/>
        <color theme="1"/>
        <rFont val="Arial Narrow"/>
        <family val="2"/>
      </rPr>
      <t>)</t>
    </r>
    <phoneticPr fontId="19" type="noConversion"/>
  </si>
  <si>
    <t>101G19006</t>
  </si>
  <si>
    <t>101G19006</t>
    <phoneticPr fontId="19" type="noConversion"/>
  </si>
  <si>
    <t>191217h</t>
    <phoneticPr fontId="19" type="noConversion"/>
  </si>
  <si>
    <t>101G19007</t>
    <phoneticPr fontId="19" type="noConversion"/>
  </si>
  <si>
    <t>101G19007</t>
    <phoneticPr fontId="19" type="noConversion"/>
  </si>
  <si>
    <r>
      <t>57. 200115d-LG-101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101G19007-</t>
    </r>
    <r>
      <rPr>
        <sz val="11"/>
        <color theme="1"/>
        <rFont val="돋움"/>
        <family val="3"/>
        <charset val="129"/>
      </rPr>
      <t>수명</t>
    </r>
    <r>
      <rPr>
        <sz val="11"/>
        <color theme="1"/>
        <rFont val="Arial Narrow"/>
        <family val="2"/>
      </rPr>
      <t>(20</t>
    </r>
    <r>
      <rPr>
        <sz val="11"/>
        <color theme="1"/>
        <rFont val="돋움"/>
        <family val="3"/>
        <charset val="129"/>
      </rPr>
      <t>일</t>
    </r>
    <r>
      <rPr>
        <sz val="11"/>
        <color theme="1"/>
        <rFont val="Arial Narrow"/>
        <family val="2"/>
      </rPr>
      <t>)</t>
    </r>
    <phoneticPr fontId="19" type="noConversion"/>
  </si>
  <si>
    <t>201015d</t>
    <phoneticPr fontId="19" type="noConversion"/>
  </si>
  <si>
    <r>
      <t>58. 200310c-LG-101</t>
    </r>
    <r>
      <rPr>
        <sz val="11"/>
        <color theme="1"/>
        <rFont val="돋움"/>
        <family val="3"/>
        <charset val="129"/>
      </rPr>
      <t>평가</t>
    </r>
    <r>
      <rPr>
        <sz val="11"/>
        <color theme="1"/>
        <rFont val="Arial Narrow"/>
        <family val="2"/>
      </rPr>
      <t xml:space="preserve"> 101 OLED</t>
    </r>
    <r>
      <rPr>
        <sz val="11"/>
        <color theme="1"/>
        <rFont val="돋움"/>
        <family val="3"/>
        <charset val="129"/>
      </rPr>
      <t>잔사</t>
    </r>
    <phoneticPr fontId="19" type="noConversion"/>
  </si>
  <si>
    <r>
      <t>101 OLED</t>
    </r>
    <r>
      <rPr>
        <sz val="11"/>
        <color theme="1"/>
        <rFont val="돋움"/>
        <family val="3"/>
        <charset val="129"/>
      </rPr>
      <t>잔사</t>
    </r>
    <phoneticPr fontId="19" type="noConversion"/>
  </si>
  <si>
    <t>101 OLED잔사</t>
  </si>
  <si>
    <t>101G20001</t>
  </si>
  <si>
    <t>101G20001</t>
    <phoneticPr fontId="19" type="noConversion"/>
  </si>
  <si>
    <r>
      <t>58. 200324a-LG-101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101G20001</t>
    </r>
    <phoneticPr fontId="19" type="noConversion"/>
  </si>
  <si>
    <t>200324a</t>
    <phoneticPr fontId="19" type="noConversion"/>
  </si>
  <si>
    <t>Ref. 101G19004</t>
  </si>
  <si>
    <t>101G20001</t>
    <phoneticPr fontId="19" type="noConversion"/>
  </si>
  <si>
    <t>101G20002</t>
  </si>
  <si>
    <t>101G20002</t>
    <phoneticPr fontId="19" type="noConversion"/>
  </si>
  <si>
    <r>
      <t>59. 200417b-LG-101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101G20002</t>
    </r>
    <phoneticPr fontId="19" type="noConversion"/>
  </si>
  <si>
    <t>200417b</t>
    <phoneticPr fontId="19" type="noConversion"/>
  </si>
  <si>
    <t>101G20002</t>
    <phoneticPr fontId="19" type="noConversion"/>
  </si>
  <si>
    <r>
      <t>60. 200916g-LG-101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101G20003 (</t>
    </r>
    <r>
      <rPr>
        <sz val="11"/>
        <color theme="1"/>
        <rFont val="돋움"/>
        <family val="3"/>
        <charset val="129"/>
      </rPr>
      <t>긴급</t>
    </r>
    <r>
      <rPr>
        <sz val="11"/>
        <color theme="1"/>
        <rFont val="Arial Narrow"/>
        <family val="2"/>
      </rPr>
      <t>, 18</t>
    </r>
    <r>
      <rPr>
        <sz val="11"/>
        <color theme="1"/>
        <rFont val="돋움"/>
        <family val="3"/>
        <charset val="129"/>
      </rPr>
      <t>일출하</t>
    </r>
    <r>
      <rPr>
        <sz val="11"/>
        <color theme="1"/>
        <rFont val="Arial Narrow"/>
        <family val="2"/>
      </rPr>
      <t>)</t>
    </r>
    <phoneticPr fontId="19" type="noConversion"/>
  </si>
  <si>
    <t>101G20003</t>
  </si>
  <si>
    <t>101G20003</t>
    <phoneticPr fontId="19" type="noConversion"/>
  </si>
  <si>
    <t>200916g</t>
    <phoneticPr fontId="19" type="noConversion"/>
  </si>
  <si>
    <t>Ref.(101G19006)</t>
    <phoneticPr fontId="19" type="noConversion"/>
  </si>
  <si>
    <t>101G20003</t>
    <phoneticPr fontId="19" type="noConversion"/>
  </si>
  <si>
    <t>101G20004</t>
  </si>
  <si>
    <t>101G20004</t>
    <phoneticPr fontId="19" type="noConversion"/>
  </si>
  <si>
    <r>
      <t>61. 201210c-LG-101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101G20004 (16</t>
    </r>
    <r>
      <rPr>
        <sz val="11"/>
        <color theme="1"/>
        <rFont val="돋움"/>
        <family val="3"/>
        <charset val="129"/>
      </rPr>
      <t>일요청</t>
    </r>
    <r>
      <rPr>
        <sz val="11"/>
        <color theme="1"/>
        <rFont val="Arial Narrow"/>
        <family val="2"/>
      </rPr>
      <t>)</t>
    </r>
    <phoneticPr fontId="19" type="noConversion"/>
  </si>
  <si>
    <t>201210c</t>
    <phoneticPr fontId="19" type="noConversion"/>
  </si>
  <si>
    <t>Ref.(101G19006)</t>
  </si>
  <si>
    <t>101G20004</t>
    <phoneticPr fontId="19" type="noConversion"/>
  </si>
  <si>
    <t>1. 최신 업데이트</t>
    <phoneticPr fontId="19" type="noConversion"/>
  </si>
  <si>
    <t>cd/A/y</t>
    <phoneticPr fontId="19" type="noConversion"/>
  </si>
  <si>
    <r>
      <t>Max</t>
    </r>
    <r>
      <rPr>
        <sz val="11"/>
        <rFont val="돋움"/>
        <family val="3"/>
        <charset val="129"/>
      </rPr>
      <t>파장</t>
    </r>
    <r>
      <rPr>
        <sz val="11"/>
        <rFont val="Arial Narrow"/>
        <family val="2"/>
      </rPr>
      <t>(nm)</t>
    </r>
    <phoneticPr fontId="19" type="noConversion"/>
  </si>
  <si>
    <r>
      <t>Max</t>
    </r>
    <r>
      <rPr>
        <sz val="11"/>
        <rFont val="돋움"/>
        <family val="3"/>
        <charset val="129"/>
      </rPr>
      <t>파장차이</t>
    </r>
    <phoneticPr fontId="19" type="noConversion"/>
  </si>
  <si>
    <t>201202d</t>
  </si>
  <si>
    <t>ver.</t>
    <phoneticPr fontId="19" type="noConversion"/>
  </si>
  <si>
    <t>mA/cm2 설정</t>
    <phoneticPr fontId="19" type="noConversion"/>
  </si>
  <si>
    <t>\\10.31.58.50\공유폴더\08. 신규 증착기\5. 매크로용\PPT Source\</t>
    <phoneticPr fontId="19" type="noConversion"/>
  </si>
  <si>
    <r>
      <rPr>
        <sz val="11"/>
        <color theme="0"/>
        <rFont val="돋움"/>
        <family val="3"/>
        <charset val="129"/>
      </rPr>
      <t>복사용이니</t>
    </r>
    <r>
      <rPr>
        <sz val="11"/>
        <color theme="0"/>
        <rFont val="Arial Narrow"/>
        <family val="2"/>
      </rPr>
      <t xml:space="preserve"> </t>
    </r>
    <r>
      <rPr>
        <sz val="11"/>
        <color theme="0"/>
        <rFont val="돋움"/>
        <family val="3"/>
        <charset val="129"/>
      </rPr>
      <t>삭제하지</t>
    </r>
    <r>
      <rPr>
        <sz val="11"/>
        <color theme="0"/>
        <rFont val="Arial Narrow"/>
        <family val="2"/>
      </rPr>
      <t xml:space="preserve"> </t>
    </r>
    <r>
      <rPr>
        <sz val="11"/>
        <color theme="0"/>
        <rFont val="돋움"/>
        <family val="3"/>
        <charset val="129"/>
      </rPr>
      <t>마시오</t>
    </r>
    <r>
      <rPr>
        <sz val="11"/>
        <color theme="0"/>
        <rFont val="Arial Narrow"/>
        <family val="2"/>
      </rPr>
      <t xml:space="preserve"> !!!</t>
    </r>
    <phoneticPr fontId="19" type="noConversion"/>
  </si>
  <si>
    <t>add point</t>
    <phoneticPr fontId="19" type="noConversion"/>
  </si>
  <si>
    <t>\\10.31.58.50\공유폴더\05. 양산QC결과 송부용\</t>
    <phoneticPr fontId="19" type="noConversion"/>
  </si>
  <si>
    <r>
      <rPr>
        <sz val="11"/>
        <color theme="1"/>
        <rFont val="LG스마트체 Regular"/>
        <family val="3"/>
        <charset val="129"/>
      </rPr>
      <t>※</t>
    </r>
    <r>
      <rPr>
        <sz val="11"/>
        <color theme="1"/>
        <rFont val="Arial Narrow"/>
        <family val="2"/>
      </rPr>
      <t xml:space="preserve"> 10mA/cm2 </t>
    </r>
    <r>
      <rPr>
        <sz val="11"/>
        <color theme="1"/>
        <rFont val="LG스마트체 Regular"/>
        <family val="3"/>
        <charset val="129"/>
      </rPr>
      <t>광특성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LG스마트체 Regular"/>
        <family val="3"/>
        <charset val="129"/>
      </rPr>
      <t>결과</t>
    </r>
    <phoneticPr fontId="19" type="noConversion"/>
  </si>
  <si>
    <t>1호기 데이터도 불러오게 변경</t>
    <phoneticPr fontId="19" type="noConversion"/>
  </si>
  <si>
    <t>OLED File Name</t>
    <phoneticPr fontId="19" type="noConversion"/>
  </si>
  <si>
    <t>No.</t>
    <phoneticPr fontId="21" type="noConversion"/>
  </si>
  <si>
    <t>LOT#</t>
    <phoneticPr fontId="21" type="noConversion"/>
  </si>
  <si>
    <t>Cell#</t>
    <phoneticPr fontId="19" type="noConversion"/>
  </si>
  <si>
    <t>lm/W</t>
    <phoneticPr fontId="19" type="noConversion"/>
  </si>
  <si>
    <t>cd/A/y</t>
    <phoneticPr fontId="19" type="noConversion"/>
  </si>
  <si>
    <r>
      <t>Max</t>
    </r>
    <r>
      <rPr>
        <sz val="11"/>
        <color theme="1"/>
        <rFont val="돋움"/>
        <family val="3"/>
        <charset val="129"/>
      </rPr>
      <t>파장</t>
    </r>
    <r>
      <rPr>
        <sz val="11"/>
        <color theme="1"/>
        <rFont val="Arial Narrow"/>
        <family val="2"/>
      </rPr>
      <t>(nm)</t>
    </r>
    <phoneticPr fontId="23" type="noConversion"/>
  </si>
  <si>
    <t>Leakage</t>
    <phoneticPr fontId="19" type="noConversion"/>
  </si>
  <si>
    <r>
      <rPr>
        <sz val="11"/>
        <rFont val="LG스마트체 Regular"/>
        <family val="3"/>
        <charset val="129"/>
      </rPr>
      <t>비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고</t>
    </r>
    <r>
      <rPr>
        <sz val="11"/>
        <rFont val="Arial Narrow"/>
        <family val="2"/>
      </rPr>
      <t>(</t>
    </r>
    <r>
      <rPr>
        <sz val="11"/>
        <rFont val="LG스마트체 Regular"/>
        <family val="3"/>
        <charset val="129"/>
      </rPr>
      <t>공정</t>
    </r>
    <r>
      <rPr>
        <sz val="11"/>
        <rFont val="Arial Narrow"/>
        <family val="2"/>
      </rPr>
      <t xml:space="preserve"> </t>
    </r>
    <r>
      <rPr>
        <sz val="11"/>
        <rFont val="LG스마트체 Regular"/>
        <family val="3"/>
        <charset val="129"/>
      </rPr>
      <t>특이사항</t>
    </r>
    <r>
      <rPr>
        <sz val="11"/>
        <rFont val="Arial Narrow"/>
        <family val="2"/>
      </rPr>
      <t>)</t>
    </r>
    <phoneticPr fontId="23" type="noConversion"/>
  </si>
  <si>
    <t>셀선택 칸 없애고 최대파장 불러오게 변경</t>
    <phoneticPr fontId="19" type="noConversion"/>
  </si>
  <si>
    <t>Ref.</t>
    <phoneticPr fontId="19" type="noConversion"/>
  </si>
  <si>
    <t>Ref.</t>
    <phoneticPr fontId="19" type="noConversion"/>
  </si>
  <si>
    <t>C33</t>
    <phoneticPr fontId="19" type="noConversion"/>
  </si>
  <si>
    <t>Ref.</t>
    <phoneticPr fontId="19" type="noConversion"/>
  </si>
  <si>
    <t>IF(AA43="","",ABS(AA43-AA43))</t>
    <phoneticPr fontId="19" type="noConversion"/>
  </si>
  <si>
    <t>IF(Y43:Z43="","",Y43:Z43/Y43:Z43)</t>
    <phoneticPr fontId="19" type="noConversion"/>
  </si>
  <si>
    <t>IF(Y43:Z43="","",Y43:Z43/Y43:Z43)</t>
    <phoneticPr fontId="19" type="noConversion"/>
  </si>
  <si>
    <r>
      <rPr>
        <sz val="11"/>
        <color indexed="8"/>
        <rFont val="LG스마트체 Regular"/>
        <family val="3"/>
        <charset val="129"/>
      </rPr>
      <t>평균</t>
    </r>
    <phoneticPr fontId="19" type="noConversion"/>
  </si>
  <si>
    <r>
      <rPr>
        <sz val="11"/>
        <color theme="1"/>
        <rFont val="LG스마트체 Regular"/>
        <family val="3"/>
        <charset val="129"/>
      </rPr>
      <t>중간값</t>
    </r>
    <r>
      <rPr>
        <sz val="11"/>
        <color theme="1"/>
        <rFont val="Arial Narrow"/>
        <family val="2"/>
      </rPr>
      <t>(Median)</t>
    </r>
    <phoneticPr fontId="19" type="noConversion"/>
  </si>
  <si>
    <t>Max</t>
    <phoneticPr fontId="19" type="noConversion"/>
  </si>
  <si>
    <t>Min</t>
    <phoneticPr fontId="19" type="noConversion"/>
  </si>
  <si>
    <t>Rnage</t>
    <phoneticPr fontId="19" type="noConversion"/>
  </si>
  <si>
    <t>σ</t>
    <phoneticPr fontId="19" type="noConversion"/>
  </si>
  <si>
    <r>
      <rPr>
        <sz val="11"/>
        <color theme="1"/>
        <rFont val="맑은 고딕"/>
        <family val="2"/>
        <charset val="129"/>
      </rPr>
      <t>간편입력</t>
    </r>
    <phoneticPr fontId="19" type="noConversion"/>
  </si>
  <si>
    <t>Lot</t>
    <phoneticPr fontId="19" type="noConversion"/>
  </si>
  <si>
    <t>Cell</t>
    <phoneticPr fontId="19" type="noConversion"/>
  </si>
  <si>
    <t>cd/A/y</t>
    <phoneticPr fontId="19" type="noConversion"/>
  </si>
  <si>
    <r>
      <t>Max</t>
    </r>
    <r>
      <rPr>
        <sz val="11"/>
        <rFont val="돋움"/>
        <family val="3"/>
        <charset val="129"/>
      </rPr>
      <t>파장</t>
    </r>
    <r>
      <rPr>
        <sz val="11"/>
        <rFont val="Arial Narrow"/>
        <family val="2"/>
      </rPr>
      <t>(nm)</t>
    </r>
    <phoneticPr fontId="19" type="noConversion"/>
  </si>
  <si>
    <t>LifeTime</t>
    <phoneticPr fontId="19" type="noConversion"/>
  </si>
  <si>
    <t>lm/W</t>
    <phoneticPr fontId="19" type="noConversion"/>
  </si>
  <si>
    <t>소수점 세팅</t>
    <phoneticPr fontId="19" type="noConversion"/>
  </si>
  <si>
    <t>재료</t>
    <phoneticPr fontId="19" type="noConversion"/>
  </si>
  <si>
    <t>소자구조</t>
    <phoneticPr fontId="19" type="noConversion"/>
  </si>
  <si>
    <t>평가조건</t>
    <phoneticPr fontId="19" type="noConversion"/>
  </si>
  <si>
    <t>SDC향 여부</t>
    <phoneticPr fontId="19" type="noConversion"/>
  </si>
  <si>
    <t>Max파장 여부</t>
    <phoneticPr fontId="19" type="noConversion"/>
  </si>
  <si>
    <t>효율 소수점</t>
    <phoneticPr fontId="19" type="noConversion"/>
  </si>
  <si>
    <t>수명 기준</t>
    <phoneticPr fontId="19" type="noConversion"/>
  </si>
  <si>
    <t>결과 Comment</t>
    <phoneticPr fontId="19" type="noConversion"/>
  </si>
  <si>
    <t>LG-101</t>
    <phoneticPr fontId="19" type="noConversion"/>
  </si>
  <si>
    <t>LG-101 / HTL / Blue EML / m-ETL / EIL / Al</t>
    <phoneticPr fontId="19" type="noConversion"/>
  </si>
  <si>
    <t>IVL 10mA/cm2, 수명 60mA/cm2 측정</t>
    <phoneticPr fontId="19" type="noConversion"/>
  </si>
  <si>
    <t>T95%</t>
    <phoneticPr fontId="19" type="noConversion"/>
  </si>
  <si>
    <t xml:space="preserve">소자QC 결과 Ref. 대비 유의차 없음. (광특성 Ref. 대비 ±5%이하, 수명 ±10% 이하)
</t>
    <phoneticPr fontId="19" type="noConversion"/>
  </si>
  <si>
    <t>lm/W</t>
    <phoneticPr fontId="19" type="noConversion"/>
  </si>
  <si>
    <t>LG-1425</t>
    <phoneticPr fontId="19" type="noConversion"/>
  </si>
  <si>
    <t>HIL / HTL / LG-1425 / BH+BD / HBL / ETL:Liq (1:1) / Liq / Ag:Mg / Al</t>
    <phoneticPr fontId="19" type="noConversion"/>
  </si>
  <si>
    <t>IVL 15mA/cm2, 수명 15mA/cm2  측정</t>
    <phoneticPr fontId="19" type="noConversion"/>
  </si>
  <si>
    <t>T97%</t>
    <phoneticPr fontId="19" type="noConversion"/>
  </si>
  <si>
    <t>소자QC 결과, Ref. 대비 전광특성 / 수명 유의차 없음.</t>
    <phoneticPr fontId="19" type="noConversion"/>
  </si>
  <si>
    <t>LG-201</t>
    <phoneticPr fontId="19" type="noConversion"/>
  </si>
  <si>
    <t>HTL1 / HIL / HTL2 / Blue EML / LG-201+LiQ / EIL / Al</t>
    <phoneticPr fontId="19" type="noConversion"/>
  </si>
  <si>
    <t>IVL 10mA/cm2, 수명 20mA/cm2 측정</t>
    <phoneticPr fontId="19" type="noConversion"/>
  </si>
  <si>
    <t>T95%</t>
    <phoneticPr fontId="19" type="noConversion"/>
  </si>
  <si>
    <t>소자 QC 결과 소자 QC 사양을 만족함. (광특성 Ref. 대비 ±5%이하, 수명 ±10% 이하)</t>
    <phoneticPr fontId="19" type="noConversion"/>
  </si>
  <si>
    <t>LG-207</t>
    <phoneticPr fontId="19" type="noConversion"/>
  </si>
  <si>
    <t>HIL/HTL/EML(Blue)/LG-207+LiQ/EIL/Cathode1/Al</t>
    <phoneticPr fontId="19" type="noConversion"/>
  </si>
  <si>
    <t>IVL 10mA/cm2, 수명 50mA/cm2 측정</t>
    <phoneticPr fontId="19" type="noConversion"/>
  </si>
  <si>
    <t>T98%</t>
    <phoneticPr fontId="19" type="noConversion"/>
  </si>
  <si>
    <t>소자 QC 결과 소자 QC 사양을 만족함 (광특성 Ref. 대비 ±5%이하, 수명 ±10% 이하)</t>
    <phoneticPr fontId="19" type="noConversion"/>
  </si>
  <si>
    <t>LG-225</t>
    <phoneticPr fontId="19" type="noConversion"/>
  </si>
  <si>
    <t>HIL / HTL1 / HTL2 / Blue EML / LG-225 / m-ETL / EIL / Al</t>
    <phoneticPr fontId="19" type="noConversion"/>
  </si>
  <si>
    <t>IVL 10mA/cm2, 수명 20mA/cm2 측정</t>
    <phoneticPr fontId="19" type="noConversion"/>
  </si>
  <si>
    <t>T97%</t>
    <phoneticPr fontId="19" type="noConversion"/>
  </si>
  <si>
    <t>소자QC 결과  소자QC 사양을 만족함 (광특성 Ref. 대비 ±5%이하, 수명 ±10% 이하)</t>
    <phoneticPr fontId="19" type="noConversion"/>
  </si>
  <si>
    <t>LG-227</t>
    <phoneticPr fontId="19" type="noConversion"/>
  </si>
  <si>
    <t>HIL / HTL1 / HTL2 / Blue EML / LG-227+LiQ / EIL / Al</t>
    <phoneticPr fontId="19" type="noConversion"/>
  </si>
  <si>
    <t>IVL 10mA/cm2, 수명 20mA/cm2 측정</t>
    <phoneticPr fontId="19" type="noConversion"/>
  </si>
  <si>
    <t>소자QC 결과 Ref. 대비 유의차 없음. (광특성 Ref. 대비 ±5%이하, 수명 ±10% 이하)</t>
    <phoneticPr fontId="19" type="noConversion"/>
  </si>
  <si>
    <t>-</t>
    <phoneticPr fontId="19" type="noConversion"/>
  </si>
  <si>
    <t>LG-243</t>
    <phoneticPr fontId="19" type="noConversion"/>
  </si>
  <si>
    <t>HIL1 / HIL2 / HTL / Blue EML / LG243+LiQ / EIL / Al</t>
    <phoneticPr fontId="19" type="noConversion"/>
  </si>
  <si>
    <t>IVL 10mA/cm2, 수명 40mA/cm2 측정</t>
    <phoneticPr fontId="19" type="noConversion"/>
  </si>
  <si>
    <t>o</t>
    <phoneticPr fontId="19" type="noConversion"/>
  </si>
  <si>
    <t>T97%</t>
    <phoneticPr fontId="19" type="noConversion"/>
  </si>
  <si>
    <t>소자 QC 결과 소자QC 사양을 만족함</t>
    <phoneticPr fontId="19" type="noConversion"/>
  </si>
  <si>
    <t>LG-248</t>
    <phoneticPr fontId="19" type="noConversion"/>
  </si>
  <si>
    <t>HIL1 / HIL2 / HTL / Blue EML / LG248+LiQ / EIL / Al</t>
    <phoneticPr fontId="19" type="noConversion"/>
  </si>
  <si>
    <t>o</t>
    <phoneticPr fontId="19" type="noConversion"/>
  </si>
  <si>
    <t>소자QC 결과 Ref. 대비 유의차 없음. (광특성 Ref. 대비 ±5%이하, 수명 ±10% 이하)</t>
    <phoneticPr fontId="19" type="noConversion"/>
  </si>
  <si>
    <t>LG-254</t>
    <phoneticPr fontId="19" type="noConversion"/>
  </si>
  <si>
    <t>HIL / HTL1 / HTL2 / Blue EML / LG-254 / ETL/ EIL / Al</t>
    <phoneticPr fontId="19" type="noConversion"/>
  </si>
  <si>
    <t>IVL 10mA/cm2, 수명 35mA/cm2 측정</t>
    <phoneticPr fontId="19" type="noConversion"/>
  </si>
  <si>
    <t>T98%</t>
    <phoneticPr fontId="19" type="noConversion"/>
  </si>
  <si>
    <t>소자QC 결과 Ref. 대비 유의차 없음. (광특성 Ref. 대비 ±5%이하, 수명 ±10% 이하)</t>
    <phoneticPr fontId="19" type="noConversion"/>
  </si>
  <si>
    <t>LG-269</t>
    <phoneticPr fontId="19" type="noConversion"/>
  </si>
  <si>
    <t>HIL / HTL1 / HTL2 / Blue EML / HBL / LG-269+LiQ / EIL / Al</t>
    <phoneticPr fontId="19" type="noConversion"/>
  </si>
  <si>
    <t>IVL 10mA/cm2, 수명 20mA/cm2 측정</t>
    <phoneticPr fontId="19" type="noConversion"/>
  </si>
  <si>
    <t>T98%</t>
    <phoneticPr fontId="19" type="noConversion"/>
  </si>
  <si>
    <t>LG-281</t>
    <phoneticPr fontId="19" type="noConversion"/>
  </si>
  <si>
    <t>HIL1 / HIL2 / HTL / Blue EML / LG281+LiQ / EIL / Al</t>
    <phoneticPr fontId="19" type="noConversion"/>
  </si>
  <si>
    <t>IVL 10mA/cm2, 수명 40mA/cm2 측정</t>
    <phoneticPr fontId="19" type="noConversion"/>
  </si>
  <si>
    <t>소자QC 결과 소자 QC 사양을 만족함</t>
    <phoneticPr fontId="19" type="noConversion"/>
  </si>
  <si>
    <t>LG-286</t>
    <phoneticPr fontId="19" type="noConversion"/>
  </si>
  <si>
    <t>p-Doped HTL / HTL / B’ HTL / Blue EML / a-ETL / LG-286+LiQ / Yb / Mg+Ag / Al</t>
    <phoneticPr fontId="19" type="noConversion"/>
  </si>
  <si>
    <t>T97%</t>
    <phoneticPr fontId="19" type="noConversion"/>
  </si>
  <si>
    <t>소자QC 결과, Ref. 대비 전광특성 / 수명 유의차 없음.</t>
    <phoneticPr fontId="19" type="noConversion"/>
  </si>
  <si>
    <t>LG-292</t>
    <phoneticPr fontId="19" type="noConversion"/>
  </si>
  <si>
    <t>p-Doped HTL / HTL / B’ HTL / FL-Blue / a-ETL / LG-292+LiQ / EIL / Mg+Ag / Al</t>
    <phoneticPr fontId="19" type="noConversion"/>
  </si>
  <si>
    <t>LG-323</t>
    <phoneticPr fontId="19" type="noConversion"/>
  </si>
  <si>
    <t>HIL / HTL1 / HTL2 / LG-323 + Blue Dopant / m-ETL / EIL / Al</t>
    <phoneticPr fontId="19" type="noConversion"/>
  </si>
  <si>
    <t>T95%</t>
    <phoneticPr fontId="19" type="noConversion"/>
  </si>
  <si>
    <t>소자QC 결과, 소자QC 사양을 만족함. (광특성 Ref. 대비 ±5%, 수명 -10% 이상)</t>
    <phoneticPr fontId="19" type="noConversion"/>
  </si>
  <si>
    <t>LG-324</t>
    <phoneticPr fontId="19" type="noConversion"/>
  </si>
  <si>
    <t xml:space="preserve">HIL / HTL / B’HTL / LG-324 + BD / HBL / ETL:Liq (1:1) / Liq / Ag:Mg / Al </t>
    <phoneticPr fontId="19" type="noConversion"/>
  </si>
  <si>
    <t>IVL 15mA/cm2, 수명 15mA/cm2  측정</t>
    <phoneticPr fontId="19" type="noConversion"/>
  </si>
  <si>
    <t>소자QC 결과, Ref. 대비 전광특성/수명 유의차 없음.</t>
    <phoneticPr fontId="19" type="noConversion"/>
  </si>
  <si>
    <t>LG-518</t>
    <phoneticPr fontId="19" type="noConversion"/>
  </si>
  <si>
    <t>HIL / HTL / LG-594 + LG518 + GD / ETL / EIL / Al</t>
    <phoneticPr fontId="19" type="noConversion"/>
  </si>
  <si>
    <t>IVL 10mA/cm2, 수명 75mA/cm2 측정</t>
    <phoneticPr fontId="19" type="noConversion"/>
  </si>
  <si>
    <t>소자 QC 결과, 전광특성 / 수명 유의차 없음.</t>
    <phoneticPr fontId="19" type="noConversion"/>
  </si>
  <si>
    <t>LG-594</t>
    <phoneticPr fontId="19" type="noConversion"/>
  </si>
  <si>
    <t>HIL / HTL / LG-594 + Green Dopant / ETL / EIL / Al</t>
    <phoneticPr fontId="19" type="noConversion"/>
  </si>
  <si>
    <t>IVL 10mA/cm2, 수명 50mA/cm2 측정</t>
    <phoneticPr fontId="19" type="noConversion"/>
  </si>
  <si>
    <t>o</t>
    <phoneticPr fontId="19" type="noConversion"/>
  </si>
  <si>
    <t>T99%</t>
    <phoneticPr fontId="19" type="noConversion"/>
  </si>
  <si>
    <t>소자 QC 결과, QC 사양 만족함 (광특성 Ref. 대비 ±5%이하, 수명 T99 -10% 이상)</t>
    <phoneticPr fontId="19" type="noConversion"/>
  </si>
  <si>
    <t>LG-661</t>
    <phoneticPr fontId="19" type="noConversion"/>
  </si>
  <si>
    <t>HIL1 / HIL2 / HTL1 / HTL2 / LG-661 + Dopant / m-ETL / EIL /Al</t>
    <phoneticPr fontId="19" type="noConversion"/>
  </si>
  <si>
    <t>IVL 10mA/cm2, 수명 40mA/cm2 측정</t>
    <phoneticPr fontId="19" type="noConversion"/>
  </si>
  <si>
    <t>소자 QC 결과, 소자 QC 사양을 만족함 (광특성 Ref. 대비 ±5%, 수명 ±10%)</t>
    <phoneticPr fontId="19" type="noConversion"/>
  </si>
  <si>
    <t>LG-676</t>
    <phoneticPr fontId="19" type="noConversion"/>
  </si>
  <si>
    <t>p-Doped HIL / HTL / R’HTL / EBL / LG-676+ RD / HBL / m-ETL  / EIL / Al</t>
    <phoneticPr fontId="19" type="noConversion"/>
  </si>
  <si>
    <t>소자QC 결과, 소자QC 사양을 만족함. (광특성 Ref. 대비 ±5%, 수명 ±10%)</t>
    <phoneticPr fontId="19" type="noConversion"/>
  </si>
  <si>
    <t>LG-668</t>
    <phoneticPr fontId="19" type="noConversion"/>
  </si>
  <si>
    <t>HIL / HTL / Prime / EBL / LG-668 + Red Dopant / HBL / m-ETL / EIL / Al</t>
    <phoneticPr fontId="19" type="noConversion"/>
  </si>
  <si>
    <t>IVL 10mA/cm2, 수명 10000nit 전류값 으로 측정</t>
    <phoneticPr fontId="19" type="noConversion"/>
  </si>
  <si>
    <t>소자QC 결과, Ref. 대비 전광특성 / 수명 유의차 없음.</t>
    <phoneticPr fontId="19" type="noConversion"/>
  </si>
  <si>
    <t>LG-677</t>
    <phoneticPr fontId="19" type="noConversion"/>
  </si>
  <si>
    <t xml:space="preserve">HIL / HTL / R’HTL / EBL / LG-776 + RD / HBL / ETL:Liq (2:1) / Yb:LiF / Ag:Mg / Al </t>
    <phoneticPr fontId="19" type="noConversion"/>
  </si>
  <si>
    <t>IVL 10mA/cm2, 수명 30mA/cm2 측정</t>
    <phoneticPr fontId="19" type="noConversion"/>
  </si>
  <si>
    <t>LG-807</t>
    <phoneticPr fontId="19" type="noConversion"/>
  </si>
  <si>
    <t>p-Doped HTL / HTL / LG-807 / FL-Blue / a-ETL / m-ETL  / EIL / Al</t>
    <phoneticPr fontId="19" type="noConversion"/>
  </si>
  <si>
    <t>IVL 15mA/cm2, 수명 15mA/cm2 측정</t>
    <phoneticPr fontId="19" type="noConversion"/>
  </si>
  <si>
    <t>T97%</t>
    <phoneticPr fontId="19" type="noConversion"/>
  </si>
  <si>
    <t>LG-812</t>
    <phoneticPr fontId="19" type="noConversion"/>
  </si>
  <si>
    <t>HIL / HTL / LG-812 / Blue EML / HBL / m-ETL / EIL / Al</t>
    <phoneticPr fontId="19" type="noConversion"/>
  </si>
  <si>
    <t>소자QC 결과  소자QC 사양을 만족함 (광특성 Ref. 대비 ±5%이하, 수명 ±10% 이하)</t>
    <phoneticPr fontId="19" type="noConversion"/>
  </si>
  <si>
    <t>LG-844</t>
    <phoneticPr fontId="19" type="noConversion"/>
  </si>
  <si>
    <t>HIL1 / HTL1 / LG-844 / HTL2 / EML / m-ETL / EIL / Al</t>
    <phoneticPr fontId="19" type="noConversion"/>
  </si>
  <si>
    <t>T98%</t>
    <phoneticPr fontId="19" type="noConversion"/>
  </si>
  <si>
    <t>소자 QC 결과, 소자QC 사양을 만족함. (광특성 Ref. 대비 ±5%이하, 수명 ±10% 이하)</t>
    <phoneticPr fontId="19" type="noConversion"/>
  </si>
  <si>
    <t>LG-851</t>
    <phoneticPr fontId="19" type="noConversion"/>
  </si>
  <si>
    <t>HIL1 / HIL2 / HTL / LG-851 / Blue EML / m-ETL / EIL /Al</t>
    <phoneticPr fontId="19" type="noConversion"/>
  </si>
  <si>
    <t>LG-892</t>
    <phoneticPr fontId="19" type="noConversion"/>
  </si>
  <si>
    <t>HIL / HTL1 / LG-892 / HTL2 / R-EML / HBL / m-ETL / EIL / Al</t>
    <phoneticPr fontId="19" type="noConversion"/>
  </si>
  <si>
    <t>IVL 10mA/cm2, 수명 80mA/cm2 측정</t>
    <phoneticPr fontId="19" type="noConversion"/>
  </si>
  <si>
    <t>LG-911</t>
    <phoneticPr fontId="19" type="noConversion"/>
  </si>
  <si>
    <t>p-Doped HIL / HTL / R’HTL / EBL / LG-911 + RH + RD / HBL / m-ETL  / EIL / Al</t>
    <phoneticPr fontId="19" type="noConversion"/>
  </si>
  <si>
    <t>LG-919</t>
    <phoneticPr fontId="19" type="noConversion"/>
  </si>
  <si>
    <t xml:space="preserve">HIL / HTL / R’HTL / EBL / LG-219 + LG-683 +RD / HBL / ETL:Liq (2:1) / Yb:LiF / Ag:Mg / Al </t>
    <phoneticPr fontId="19" type="noConversion"/>
  </si>
  <si>
    <t xml:space="preserve">LG-219 (20M919-1101) 소자QC 결과, Ref. 대비 전광특성 / 수명 유의차 없음. </t>
    <phoneticPr fontId="19" type="noConversion"/>
  </si>
  <si>
    <t>LG-958</t>
    <phoneticPr fontId="19" type="noConversion"/>
  </si>
  <si>
    <t>p-doped HTL / HTL / Prime / EBL / LG-958 + Red Dopant / HBL / m-ETL / EIL / Al</t>
    <phoneticPr fontId="19" type="noConversion"/>
  </si>
  <si>
    <t>소자QC 결과, 소자QC 사양을 만족함. (광특성 Ref. 대비 ±5%, 수명 -10%이상, +24%이하)</t>
    <phoneticPr fontId="19" type="noConversion"/>
  </si>
  <si>
    <t>LG-983</t>
    <phoneticPr fontId="19" type="noConversion"/>
  </si>
  <si>
    <t xml:space="preserve">HIL / HTL / R’HTL / EBL / LG-219 + LG-683 +RD / HBL / ETL:Liq (2:1) / Yb:LiF / Ag:Mg / Al </t>
    <phoneticPr fontId="19" type="noConversion"/>
  </si>
  <si>
    <t>IVL 10mA/cm2, 수명 30mA/cm2 측정</t>
    <phoneticPr fontId="19" type="noConversion"/>
  </si>
  <si>
    <t>\\10.31.58.50\공유폴더\05. 양산QC결과 송부용\LG-101\21년\1월\</t>
    <phoneticPr fontId="19" type="noConversion"/>
  </si>
  <si>
    <t>※ 10mA/cm2 광특성 결과</t>
    <phoneticPr fontId="19" type="noConversion"/>
  </si>
  <si>
    <r>
      <t xml:space="preserve">62. 210105c_LG-101 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101G20005 (8</t>
    </r>
    <r>
      <rPr>
        <sz val="11"/>
        <color theme="1"/>
        <rFont val="돋움"/>
        <family val="3"/>
        <charset val="129"/>
      </rPr>
      <t>일요청</t>
    </r>
    <r>
      <rPr>
        <sz val="11"/>
        <color theme="1"/>
        <rFont val="Arial Narrow"/>
        <family val="2"/>
      </rPr>
      <t>)</t>
    </r>
    <phoneticPr fontId="19" type="noConversion"/>
  </si>
  <si>
    <t>101G20005</t>
  </si>
  <si>
    <t>210105c</t>
  </si>
  <si>
    <t>※ 10mA/cm2 광특성 결과</t>
    <phoneticPr fontId="19" type="noConversion"/>
  </si>
  <si>
    <r>
      <t xml:space="preserve">63. 210105d_LG-101 </t>
    </r>
    <r>
      <rPr>
        <sz val="11"/>
        <color theme="1"/>
        <rFont val="돋움"/>
        <family val="3"/>
        <charset val="129"/>
      </rPr>
      <t>양산</t>
    </r>
    <r>
      <rPr>
        <sz val="11"/>
        <color theme="1"/>
        <rFont val="Arial Narrow"/>
        <family val="2"/>
      </rPr>
      <t>QC 101G20005 (8</t>
    </r>
    <r>
      <rPr>
        <sz val="11"/>
        <color theme="1"/>
        <rFont val="돋움"/>
        <family val="3"/>
        <charset val="129"/>
      </rPr>
      <t>일요청</t>
    </r>
    <r>
      <rPr>
        <sz val="11"/>
        <color theme="1"/>
        <rFont val="Arial Narrow"/>
        <family val="2"/>
      </rPr>
      <t>)</t>
    </r>
    <phoneticPr fontId="19" type="noConversion"/>
  </si>
  <si>
    <t>210105d</t>
  </si>
  <si>
    <t>21년 1월 OLED 소자QC 종합</t>
    <phoneticPr fontId="19" type="noConversion"/>
  </si>
  <si>
    <r>
      <t>T95</t>
    </r>
    <r>
      <rPr>
        <sz val="11"/>
        <color theme="1"/>
        <rFont val="돋움"/>
        <family val="3"/>
        <charset val="129"/>
      </rPr>
      <t>로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돋움"/>
        <family val="3"/>
        <charset val="129"/>
      </rPr>
      <t>사양</t>
    </r>
    <r>
      <rPr>
        <sz val="11"/>
        <color theme="1"/>
        <rFont val="Arial Narrow"/>
        <family val="2"/>
      </rPr>
      <t xml:space="preserve"> </t>
    </r>
    <r>
      <rPr>
        <sz val="11"/>
        <color theme="1"/>
        <rFont val="돋움"/>
        <family val="3"/>
        <charset val="129"/>
      </rPr>
      <t>변경</t>
    </r>
    <phoneticPr fontId="19" type="noConversion"/>
  </si>
  <si>
    <t>101G20005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</si>
</sst>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5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0."/>
    <numFmt numFmtId="177" formatCode="0.0_ "/>
    <numFmt numFmtId="178" formatCode="0.0000_);[Red]\(0.0000\)"/>
    <numFmt numFmtId="179" formatCode="0_ "/>
    <numFmt numFmtId="180" formatCode="mm&quot;월&quot;\ dd&quot;일&quot;"/>
    <numFmt numFmtId="181" formatCode="0.0%"/>
    <numFmt numFmtId="182" formatCode="0.000_ "/>
    <numFmt numFmtId="183" formatCode="0_);[Red]\(0\)"/>
    <numFmt numFmtId="184" formatCode="0.0_);[Red]\(0.0\)"/>
    <numFmt numFmtId="185" formatCode="0.000_);[Red]\(0.000\)"/>
    <numFmt numFmtId="186" formatCode="&quot;₩&quot;#,##0.00;&quot;₩&quot;&quot;₩&quot;&quot;₩&quot;&quot;₩&quot;&quot;₩&quot;&quot;₩&quot;\-#,##0.00"/>
    <numFmt numFmtId="187" formatCode="#,##0;\-#,##0;&quot;-&quot;"/>
    <numFmt numFmtId="188" formatCode="_ * #,##0_ ;_ * &quot;₩&quot;&quot;₩&quot;&quot;₩&quot;&quot;₩&quot;&quot;₩&quot;&quot;₩&quot;\-#,##0_ ;_ * &quot;-&quot;_ ;_ @_ "/>
    <numFmt numFmtId="189" formatCode="_ * #,##0.00_ ;_ * \-#,##0.00_ ;_ * &quot;-&quot;??_ ;_ @_ "/>
    <numFmt numFmtId="190" formatCode="_ * #,##0_ ;_ * &quot;₩&quot;&quot;₩&quot;\-#,##0_ ;_ * &quot;-&quot;_ ;_ @_ "/>
    <numFmt numFmtId="191" formatCode="_(&quot;$&quot;* #,##0.00_);_(&quot;$&quot;* \(#,##0.00\);_(&quot;$&quot;* &quot;-&quot;??_);_(@_)"/>
    <numFmt numFmtId="192" formatCode="m\o\n\th\ d\,\ yyyy"/>
    <numFmt numFmtId="193" formatCode="_-* #,##0\ _D_M_-;\-* #,##0\ _D_M_-;_-* &quot;-&quot;\ _D_M_-;_-@_-"/>
    <numFmt numFmtId="194" formatCode="_-* #,##0.00\ _D_M_-;\-* #,##0.00\ _D_M_-;_-* &quot;-&quot;??\ _D_M_-;_-@_-"/>
    <numFmt numFmtId="195" formatCode="#,##0.0;[Red]&quot;₩&quot;&quot;₩&quot;&quot;₩&quot;&quot;₩&quot;&quot;₩&quot;&quot;₩&quot;\(#,##0.0&quot;₩&quot;&quot;₩&quot;&quot;₩&quot;&quot;₩&quot;&quot;₩&quot;&quot;₩&quot;\)"/>
    <numFmt numFmtId="196" formatCode="#.00"/>
    <numFmt numFmtId="197" formatCode="#."/>
    <numFmt numFmtId="198" formatCode="&quot;₩&quot;#,##0;&quot;₩&quot;\-#,##0"/>
    <numFmt numFmtId="199" formatCode="_ &quot;₩&quot;* #,##0.00_ ;_ &quot;₩&quot;* &quot;₩&quot;&quot;₩&quot;\-#,##0.00_ ;_ &quot;₩&quot;* &quot;-&quot;??_ ;_ @_ "/>
    <numFmt numFmtId="200" formatCode="_ * #,##0.00_ ;_ * &quot;₩&quot;&quot;₩&quot;\-#,##0.00_ ;_ * &quot;-&quot;??_ ;_ @_ "/>
    <numFmt numFmtId="201" formatCode="%#.00"/>
    <numFmt numFmtId="202" formatCode="&quot;$&quot;0,000"/>
    <numFmt numFmtId="203" formatCode="_ * #,##0_ ;_ * &quot;₩&quot;&quot;₩&quot;&quot;₩&quot;&quot;₩&quot;&quot;₩&quot;\-#,##0_ ;_ * &quot;-&quot;_ ;_ @_ "/>
    <numFmt numFmtId="204" formatCode="&quot;₩&quot;#,##0;&quot;₩&quot;&quot;₩&quot;&quot;₩&quot;&quot;₩&quot;\-#,##0"/>
    <numFmt numFmtId="205" formatCode="#,##0;&quot;△&quot;#,##0"/>
    <numFmt numFmtId="206" formatCode="#,##0.000"/>
    <numFmt numFmtId="207" formatCode="_-* #,##0.00_-;&quot;₩&quot;&quot;₩&quot;&quot;₩&quot;&quot;₩&quot;\-* #,##0.00_-;_-* &quot;-&quot;??_-;_-@_-"/>
    <numFmt numFmtId="208" formatCode="mmm&quot;-&quot;yy"/>
    <numFmt numFmtId="209" formatCode="&quot;₩&quot;#,##0;&quot;₩&quot;\-&quot;₩&quot;#,##0"/>
    <numFmt numFmtId="210" formatCode="_-* #,##0.0_-;\-* #,##0.0_-;_-* &quot;-&quot;_-;_-@_-"/>
    <numFmt numFmtId="211" formatCode="&quot;₩&quot;#,##0.00;[Red]&quot;₩&quot;&quot;₩&quot;\-#,##0.00"/>
    <numFmt numFmtId="212" formatCode="_-* #,##0_-;&quot;₩&quot;&quot;₩&quot;&quot;₩&quot;&quot;₩&quot;\-* #,##0_-;_-* &quot;-&quot;_-;_-@_-"/>
    <numFmt numFmtId="213" formatCode="0.000%"/>
    <numFmt numFmtId="214" formatCode="&quot;$&quot;#.##0_);&quot;₩&quot;&quot;₩&quot;&quot;₩&quot;&quot;₩&quot;&quot;₩&quot;&quot;₩&quot;\(&quot;$&quot;#.##0&quot;₩&quot;&quot;₩&quot;&quot;₩&quot;&quot;₩&quot;&quot;₩&quot;&quot;₩&quot;\)"/>
    <numFmt numFmtId="215" formatCode="&quot;₩&quot;#,##0;[Red]&quot;₩&quot;&quot;₩&quot;&quot;₩&quot;&quot;₩&quot;\-#,##0"/>
    <numFmt numFmtId="216" formatCode="_-* #,##0.00_-;&quot;₩&quot;&quot;₩&quot;\-* #,##0.00_-;_-* &quot;-&quot;??_-;_-@_-"/>
    <numFmt numFmtId="217" formatCode="#,###&quot; &quot;;\(#,###\)"/>
    <numFmt numFmtId="218" formatCode="#,###&quot;  &quot;;\(#,###\)&quot; &quot;"/>
    <numFmt numFmtId="219" formatCode="&quot;₩&quot;#,##0.00\ ;\(&quot;₩&quot;#,##0.00\)"/>
    <numFmt numFmtId="220" formatCode="&quot;₩&quot;#,##0.00;&quot;₩&quot;&quot;₩&quot;&quot;₩&quot;&quot;₩&quot;\-#,##0.00"/>
    <numFmt numFmtId="221" formatCode="yy&quot;년&quot;\ mm\/dd&quot;일&quot;"/>
    <numFmt numFmtId="222" formatCode="0.00_ "/>
    <numFmt numFmtId="223" formatCode="0.0"/>
    <numFmt numFmtId="224" formatCode="0.000"/>
    <numFmt numFmtId="225" formatCode="0.00_);[Red]\(0.00\)"/>
    <numFmt numFmtId="226" formatCode="#"/>
  </numFmts>
  <fonts count="210">
    <font>
      <sz val="11"/>
      <color theme="1"/>
      <name val="맑은 고딕"/>
      <family val="2"/>
      <charset val="129"/>
      <scheme val="minor"/>
    </font>
    <font>
      <sz val="10"/>
      <color theme="1"/>
      <name val="LG스마트체 Regular"/>
      <family val="2"/>
      <charset val="129"/>
    </font>
    <font>
      <b/>
      <sz val="15"/>
      <color theme="3"/>
      <name val="LG스마트체 Regular"/>
      <family val="2"/>
      <charset val="129"/>
    </font>
    <font>
      <b/>
      <sz val="13"/>
      <color theme="3"/>
      <name val="LG스마트체 Regular"/>
      <family val="2"/>
      <charset val="129"/>
    </font>
    <font>
      <b/>
      <sz val="11"/>
      <color theme="3"/>
      <name val="LG스마트체 Regular"/>
      <family val="2"/>
      <charset val="129"/>
    </font>
    <font>
      <sz val="10"/>
      <color rgb="FF006100"/>
      <name val="LG스마트체 Regular"/>
      <family val="2"/>
      <charset val="129"/>
    </font>
    <font>
      <sz val="10"/>
      <color rgb="FF9C0006"/>
      <name val="LG스마트체 Regular"/>
      <family val="2"/>
      <charset val="129"/>
    </font>
    <font>
      <sz val="10"/>
      <color rgb="FF9C6500"/>
      <name val="LG스마트체 Regular"/>
      <family val="2"/>
      <charset val="129"/>
    </font>
    <font>
      <sz val="10"/>
      <color rgb="FF3F3F76"/>
      <name val="LG스마트체 Regular"/>
      <family val="2"/>
      <charset val="129"/>
    </font>
    <font>
      <b/>
      <sz val="10"/>
      <color rgb="FF3F3F3F"/>
      <name val="LG스마트체 Regular"/>
      <family val="2"/>
      <charset val="129"/>
    </font>
    <font>
      <b/>
      <sz val="10"/>
      <color rgb="FFFA7D00"/>
      <name val="LG스마트체 Regular"/>
      <family val="2"/>
      <charset val="129"/>
    </font>
    <font>
      <sz val="10"/>
      <color rgb="FFFA7D00"/>
      <name val="LG스마트체 Regular"/>
      <family val="2"/>
      <charset val="129"/>
    </font>
    <font>
      <b/>
      <sz val="10"/>
      <color theme="0"/>
      <name val="LG스마트체 Regular"/>
      <family val="2"/>
      <charset val="129"/>
    </font>
    <font>
      <sz val="10"/>
      <color rgb="FFFF0000"/>
      <name val="LG스마트체 Regular"/>
      <family val="2"/>
      <charset val="129"/>
    </font>
    <font>
      <i/>
      <sz val="10"/>
      <color rgb="FF7F7F7F"/>
      <name val="LG스마트체 Regular"/>
      <family val="2"/>
      <charset val="129"/>
    </font>
    <font>
      <b/>
      <sz val="10"/>
      <color theme="1"/>
      <name val="LG스마트체 Regular"/>
      <family val="2"/>
      <charset val="129"/>
    </font>
    <font>
      <sz val="10"/>
      <color theme="0"/>
      <name val="LG스마트체 Regular"/>
      <family val="2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indexed="8"/>
      <name val="맑은 고딕"/>
      <family val="3"/>
      <charset val="129"/>
    </font>
    <font>
      <sz val="8"/>
      <name val="맑은 고딕"/>
      <family val="3"/>
      <charset val="129"/>
    </font>
    <font>
      <b/>
      <sz val="11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2"/>
      <name val="돋움체"/>
      <family val="3"/>
      <charset val="129"/>
    </font>
    <font>
      <sz val="12"/>
      <name val="바탕체"/>
      <family val="1"/>
      <charset val="129"/>
    </font>
    <font>
      <sz val="10"/>
      <name val="Times New Roman"/>
      <family val="1"/>
    </font>
    <font>
      <sz val="12"/>
      <name val="???"/>
      <family val="1"/>
      <charset val="129"/>
    </font>
    <font>
      <sz val="10"/>
      <name val="Arial"/>
      <family val="2"/>
    </font>
    <font>
      <sz val="11"/>
      <name val="??????"/>
      <family val="1"/>
    </font>
    <font>
      <sz val="11"/>
      <name val="????"/>
      <family val="3"/>
    </font>
    <font>
      <sz val="11"/>
      <name val="?¸¿?"/>
      <family val="3"/>
      <charset val="129"/>
    </font>
    <font>
      <sz val="11"/>
      <name val="??"/>
      <family val="1"/>
    </font>
    <font>
      <sz val="12"/>
      <name val="1UA?A1"/>
      <family val="1"/>
    </font>
    <font>
      <sz val="12"/>
      <name val="±1¸2A1"/>
      <family val="3"/>
      <charset val="129"/>
    </font>
    <font>
      <sz val="10"/>
      <name val="掉葡羹"/>
      <family val="3"/>
      <charset val="129"/>
    </font>
    <font>
      <sz val="10"/>
      <name val="奔覆眉"/>
      <family val="3"/>
      <charset val="129"/>
    </font>
    <font>
      <sz val="12"/>
      <name val="굴림체"/>
      <family val="3"/>
      <charset val="129"/>
    </font>
    <font>
      <sz val="10"/>
      <name val="Helv"/>
      <family val="2"/>
    </font>
    <font>
      <sz val="10"/>
      <name val="MS Sans Serif"/>
      <family val="2"/>
    </font>
    <font>
      <sz val="11"/>
      <name val="뼻뮝"/>
      <family val="3"/>
      <charset val="129"/>
    </font>
    <font>
      <sz val="10"/>
      <name val="바탕체"/>
      <family val="1"/>
      <charset val="129"/>
    </font>
    <font>
      <sz val="11"/>
      <name val="돋움"/>
      <family val="3"/>
      <charset val="129"/>
    </font>
    <font>
      <sz val="12"/>
      <name val="??"/>
      <family val="1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2"/>
      <name val="명조"/>
      <family val="3"/>
      <charset val="129"/>
    </font>
    <font>
      <sz val="11"/>
      <color indexed="8"/>
      <name val="ＭＳ Ｐゴシック"/>
      <family val="2"/>
      <charset val="128"/>
    </font>
    <font>
      <sz val="10"/>
      <color theme="1"/>
      <name val="맑은 고딕"/>
      <family val="2"/>
      <charset val="129"/>
    </font>
    <font>
      <sz val="11"/>
      <color indexed="9"/>
      <name val="맑은 고딕"/>
      <family val="3"/>
      <charset val="129"/>
    </font>
    <font>
      <sz val="11"/>
      <color indexed="9"/>
      <name val="ＭＳ Ｐゴシック"/>
      <family val="2"/>
      <charset val="128"/>
    </font>
    <font>
      <sz val="10"/>
      <color theme="0"/>
      <name val="맑은 고딕"/>
      <family val="2"/>
      <charset val="129"/>
    </font>
    <font>
      <sz val="11"/>
      <color theme="0"/>
      <name val="맑은 고딕"/>
      <family val="2"/>
      <charset val="129"/>
      <scheme val="minor"/>
    </font>
    <font>
      <sz val="12"/>
      <name val="1UAÁA1"/>
      <family val="1"/>
    </font>
    <font>
      <sz val="12"/>
      <name val="¨IoUAAA¡§u"/>
      <family val="1"/>
      <charset val="129"/>
    </font>
    <font>
      <sz val="12"/>
      <name val="ⓒoUAAA¨u"/>
      <family val="3"/>
      <charset val="129"/>
    </font>
    <font>
      <sz val="12"/>
      <name val="¹ÙÅÁÃ¼"/>
      <family val="1"/>
      <charset val="129"/>
    </font>
    <font>
      <sz val="11"/>
      <name val="µ¸?o"/>
      <family val="3"/>
      <charset val="129"/>
    </font>
    <font>
      <sz val="12"/>
      <name val="±¼¸²Ã¼"/>
      <family val="3"/>
      <charset val="129"/>
    </font>
    <font>
      <sz val="12"/>
      <name val="¹UAAA¼"/>
      <family val="1"/>
      <charset val="129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1"/>
      <color indexed="20"/>
      <name val="맑은 고딕"/>
      <family val="3"/>
      <charset val="129"/>
    </font>
    <font>
      <sz val="8"/>
      <name val="¹UAAA¼"/>
      <family val="3"/>
      <charset val="129"/>
    </font>
    <font>
      <sz val="12"/>
      <name val="±¼¸²A¼"/>
      <family val="3"/>
      <charset val="129"/>
    </font>
    <font>
      <sz val="10"/>
      <name val="±¼¸²A¼"/>
      <family val="3"/>
      <charset val="129"/>
    </font>
    <font>
      <sz val="10"/>
      <name val="±¼¸²Ã¼"/>
      <family val="3"/>
      <charset val="129"/>
    </font>
    <font>
      <sz val="10"/>
      <color indexed="8"/>
      <name val="Arial"/>
      <family val="2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sz val="1"/>
      <color indexed="8"/>
      <name val="Courier"/>
      <family val="3"/>
    </font>
    <font>
      <sz val="8"/>
      <name val="돋움"/>
      <family val="3"/>
      <charset val="129"/>
    </font>
    <font>
      <sz val="11"/>
      <name val="￥i￠￢￠?o"/>
      <family val="3"/>
      <charset val="129"/>
    </font>
    <font>
      <sz val="9"/>
      <name val="Times New Roman"/>
      <family val="1"/>
    </font>
    <font>
      <i/>
      <sz val="11"/>
      <color indexed="23"/>
      <name val="맑은 고딕"/>
      <family val="3"/>
      <charset val="129"/>
    </font>
    <font>
      <u/>
      <sz val="11"/>
      <color indexed="36"/>
      <name val="??"/>
      <family val="1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"/>
      <color indexed="8"/>
      <name val="Courier"/>
      <family val="3"/>
    </font>
    <font>
      <u/>
      <sz val="11"/>
      <color indexed="12"/>
      <name val="??"/>
      <family val="1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sz val="12"/>
      <name val="Times New Roman"/>
      <family val="1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sz val="7"/>
      <name val="Small Fonts"/>
      <family val="2"/>
    </font>
    <font>
      <sz val="12"/>
      <name val="Helv"/>
      <family val="2"/>
    </font>
    <font>
      <u/>
      <sz val="18"/>
      <name val="Times New Roman"/>
      <family val="1"/>
    </font>
    <font>
      <sz val="11"/>
      <name val="돋움체"/>
      <family val="3"/>
      <charset val="129"/>
    </font>
    <font>
      <b/>
      <sz val="11"/>
      <color indexed="63"/>
      <name val="맑은 고딕"/>
      <family val="3"/>
      <charset val="129"/>
    </font>
    <font>
      <b/>
      <sz val="12"/>
      <color indexed="8"/>
      <name val="Arial"/>
      <family val="2"/>
    </font>
    <font>
      <b/>
      <sz val="10"/>
      <color indexed="8"/>
      <name val="Arial"/>
      <family val="2"/>
    </font>
    <font>
      <b/>
      <i/>
      <sz val="12"/>
      <color indexed="8"/>
      <name val="Arial"/>
      <family val="2"/>
    </font>
    <font>
      <b/>
      <sz val="10"/>
      <color indexed="39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2"/>
      <name val="μ¸¿oA¼"/>
      <family val="3"/>
      <charset val="129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sz val="10"/>
      <color rgb="FFFF0000"/>
      <name val="맑은 고딕"/>
      <family val="2"/>
      <charset val="129"/>
    </font>
    <font>
      <sz val="11"/>
      <color rgb="FFFF0000"/>
      <name val="맑은 고딕"/>
      <family val="2"/>
      <charset val="129"/>
      <scheme val="minor"/>
    </font>
    <font>
      <b/>
      <sz val="11"/>
      <color indexed="52"/>
      <name val="ＭＳ Ｐゴシック"/>
      <family val="2"/>
      <charset val="128"/>
    </font>
    <font>
      <b/>
      <sz val="10"/>
      <color rgb="FFFA7D00"/>
      <name val="맑은 고딕"/>
      <family val="2"/>
      <charset val="129"/>
    </font>
    <font>
      <b/>
      <sz val="11"/>
      <color rgb="FFFA7D00"/>
      <name val="맑은 고딕"/>
      <family val="2"/>
      <charset val="129"/>
      <scheme val="minor"/>
    </font>
    <font>
      <sz val="10"/>
      <color rgb="FF9C0006"/>
      <name val="맑은 고딕"/>
      <family val="2"/>
      <charset val="129"/>
    </font>
    <font>
      <sz val="12"/>
      <color indexed="24"/>
      <name val="바탕체"/>
      <family val="1"/>
      <charset val="129"/>
    </font>
    <font>
      <u/>
      <sz val="11"/>
      <color indexed="36"/>
      <name val="돋움"/>
      <family val="3"/>
      <charset val="129"/>
    </font>
    <font>
      <sz val="11"/>
      <color indexed="17"/>
      <name val="ＭＳ Ｐゴシック"/>
      <family val="2"/>
      <charset val="128"/>
    </font>
    <font>
      <sz val="10"/>
      <name val="굴림체"/>
      <family val="3"/>
      <charset val="129"/>
    </font>
    <font>
      <sz val="10"/>
      <color rgb="FF9C6500"/>
      <name val="맑은 고딕"/>
      <family val="2"/>
      <charset val="129"/>
    </font>
    <font>
      <sz val="11"/>
      <color rgb="FF9C6500"/>
      <name val="맑은 고딕"/>
      <family val="2"/>
      <charset val="129"/>
      <scheme val="minor"/>
    </font>
    <font>
      <sz val="12"/>
      <name val="뼻뮝"/>
      <family val="1"/>
      <charset val="129"/>
    </font>
    <font>
      <sz val="10"/>
      <name val="宋?"/>
      <family val="3"/>
      <charset val="129"/>
    </font>
    <font>
      <sz val="12"/>
      <name val="夥鰻羹"/>
      <family val="1"/>
      <charset val="129"/>
    </font>
    <font>
      <i/>
      <sz val="10"/>
      <color rgb="FF7F7F7F"/>
      <name val="맑은 고딕"/>
      <family val="2"/>
      <charset val="129"/>
    </font>
    <font>
      <i/>
      <sz val="11"/>
      <color rgb="FF7F7F7F"/>
      <name val="맑은 고딕"/>
      <family val="2"/>
      <charset val="129"/>
      <scheme val="minor"/>
    </font>
    <font>
      <i/>
      <sz val="11"/>
      <color indexed="23"/>
      <name val="ＭＳ Ｐゴシック"/>
      <family val="2"/>
      <charset val="128"/>
    </font>
    <font>
      <b/>
      <sz val="10"/>
      <color theme="0"/>
      <name val="맑은 고딕"/>
      <family val="2"/>
      <charset val="129"/>
    </font>
    <font>
      <b/>
      <sz val="11"/>
      <color theme="0"/>
      <name val="맑은 고딕"/>
      <family val="2"/>
      <charset val="129"/>
      <scheme val="minor"/>
    </font>
    <font>
      <sz val="11"/>
      <color indexed="8"/>
      <name val="맑은 고딕"/>
      <family val="2"/>
    </font>
    <font>
      <sz val="11"/>
      <color indexed="20"/>
      <name val="ＭＳ Ｐゴシック"/>
      <family val="2"/>
      <charset val="128"/>
    </font>
    <font>
      <sz val="10"/>
      <name val="명조"/>
      <family val="3"/>
      <charset val="129"/>
    </font>
    <font>
      <sz val="10"/>
      <color rgb="FFFA7D00"/>
      <name val="맑은 고딕"/>
      <family val="2"/>
      <charset val="129"/>
    </font>
    <font>
      <sz val="11"/>
      <color rgb="FFFA7D00"/>
      <name val="맑은 고딕"/>
      <family val="2"/>
      <charset val="129"/>
      <scheme val="minor"/>
    </font>
    <font>
      <sz val="12"/>
      <name val="Courier New"/>
      <family val="3"/>
    </font>
    <font>
      <sz val="12"/>
      <name val="?鰻羹"/>
      <family val="1"/>
      <charset val="129"/>
    </font>
    <font>
      <b/>
      <sz val="10"/>
      <color theme="1"/>
      <name val="맑은 고딕"/>
      <family val="2"/>
      <charset val="129"/>
    </font>
    <font>
      <b/>
      <sz val="11"/>
      <color theme="1"/>
      <name val="맑은 고딕"/>
      <family val="2"/>
      <charset val="129"/>
      <scheme val="minor"/>
    </font>
    <font>
      <sz val="12"/>
      <name val="新細明體"/>
      <family val="1"/>
      <charset val="136"/>
    </font>
    <font>
      <sz val="11"/>
      <color indexed="62"/>
      <name val="ＭＳ Ｐゴシック"/>
      <family val="2"/>
      <charset val="128"/>
    </font>
    <font>
      <sz val="10"/>
      <color rgb="FF3F3F76"/>
      <name val="맑은 고딕"/>
      <family val="2"/>
      <charset val="129"/>
    </font>
    <font>
      <sz val="11"/>
      <color rgb="FF3F3F76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  <scheme val="minor"/>
    </font>
    <font>
      <sz val="10"/>
      <color rgb="FF006100"/>
      <name val="맑은 고딕"/>
      <family val="2"/>
      <charset val="129"/>
    </font>
    <font>
      <sz val="11"/>
      <color rgb="FF006100"/>
      <name val="맑은 고딕"/>
      <family val="2"/>
      <charset val="129"/>
      <scheme val="minor"/>
    </font>
    <font>
      <b/>
      <sz val="11"/>
      <color indexed="8"/>
      <name val="ＭＳ Ｐゴシック"/>
      <family val="2"/>
      <charset val="128"/>
    </font>
    <font>
      <sz val="12"/>
      <name val="Arial"/>
      <family val="2"/>
    </font>
    <font>
      <sz val="11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b/>
      <sz val="10"/>
      <color rgb="FF3F3F3F"/>
      <name val="맑은 고딕"/>
      <family val="2"/>
      <charset val="129"/>
    </font>
    <font>
      <b/>
      <sz val="11"/>
      <color rgb="FF3F3F3F"/>
      <name val="맑은 고딕"/>
      <family val="2"/>
      <charset val="129"/>
      <scheme val="minor"/>
    </font>
    <font>
      <sz val="12"/>
      <name val="돋움"/>
      <family val="3"/>
      <charset val="129"/>
    </font>
    <font>
      <sz val="10"/>
      <name val="QBJ-명조10pt"/>
      <family val="3"/>
      <charset val="129"/>
    </font>
    <font>
      <sz val="12"/>
      <color indexed="8"/>
      <name val="바탕체"/>
      <family val="1"/>
      <charset val="129"/>
    </font>
    <font>
      <u/>
      <sz val="11"/>
      <color indexed="12"/>
      <name val="돋움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sz val="11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LG스마트체 Regular"/>
      <family val="3"/>
      <charset val="129"/>
    </font>
    <font>
      <sz val="11"/>
      <name val="LG스마트체 Regular"/>
      <family val="3"/>
      <charset val="129"/>
    </font>
    <font>
      <sz val="11"/>
      <color indexed="8"/>
      <name val="LG스마트체 Regular"/>
      <family val="3"/>
      <charset val="129"/>
    </font>
    <font>
      <b/>
      <sz val="11"/>
      <color rgb="FFFF0000"/>
      <name val="LG스마트체 Regular"/>
      <family val="3"/>
      <charset val="129"/>
    </font>
    <font>
      <sz val="9"/>
      <color theme="1"/>
      <name val="LG스마트체 Regular"/>
      <family val="3"/>
      <charset val="129"/>
    </font>
    <font>
      <sz val="8"/>
      <color theme="1"/>
      <name val="LG스마트체 Regular"/>
      <family val="3"/>
      <charset val="129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indexed="8"/>
      <name val="Arial Narrow"/>
      <family val="2"/>
    </font>
    <font>
      <sz val="11"/>
      <name val="Arial Narrow"/>
      <family val="2"/>
    </font>
    <font>
      <b/>
      <sz val="11"/>
      <color rgb="FFFF0000"/>
      <name val="Arial Narrow"/>
      <family val="2"/>
    </font>
    <font>
      <sz val="7.5"/>
      <color theme="1"/>
      <name val="Arial Narrow"/>
      <family val="2"/>
    </font>
    <font>
      <sz val="8"/>
      <color theme="1"/>
      <name val="Arial Narrow"/>
      <family val="2"/>
    </font>
    <font>
      <sz val="9"/>
      <color theme="1"/>
      <name val="Arial Narrow"/>
      <family val="2"/>
    </font>
    <font>
      <sz val="11"/>
      <color theme="1"/>
      <name val="돋움"/>
      <family val="3"/>
      <charset val="129"/>
    </font>
    <font>
      <sz val="11"/>
      <color theme="0"/>
      <name val="Arial Narrow"/>
      <family val="2"/>
    </font>
    <font>
      <sz val="11"/>
      <color theme="0"/>
      <name val="돋움"/>
      <family val="3"/>
      <charset val="129"/>
    </font>
    <font>
      <sz val="11"/>
      <color theme="1"/>
      <name val="돋움"/>
      <family val="2"/>
      <charset val="129"/>
    </font>
    <font>
      <sz val="11"/>
      <color theme="1"/>
      <name val="맑은 고딕"/>
      <family val="2"/>
      <charset val="129"/>
    </font>
    <font>
      <sz val="11"/>
      <color rgb="FF000000"/>
      <name val="Arial Narrow"/>
      <family val="2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8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rgb="FF99FF6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79998168889431442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4962">
    <xf numFmtId="0" fontId="0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30" fillId="0" borderId="0" applyFont="0" applyFill="0" applyBorder="0" applyAlignment="0" applyProtection="0"/>
    <xf numFmtId="186" fontId="3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/>
    <xf numFmtId="0" fontId="32" fillId="0" borderId="0"/>
    <xf numFmtId="0" fontId="31" fillId="0" borderId="0"/>
    <xf numFmtId="0" fontId="31" fillId="0" borderId="0"/>
    <xf numFmtId="0" fontId="33" fillId="0" borderId="0" applyFont="0" applyFill="0" applyBorder="0" applyAlignment="0" applyProtection="0"/>
    <xf numFmtId="0" fontId="33" fillId="0" borderId="0"/>
    <xf numFmtId="0" fontId="33" fillId="0" borderId="0" applyFont="0" applyFill="0" applyBorder="0" applyAlignment="0" applyProtection="0"/>
    <xf numFmtId="0" fontId="31" fillId="0" borderId="0"/>
    <xf numFmtId="0" fontId="31" fillId="0" borderId="0"/>
    <xf numFmtId="0" fontId="33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3" fillId="0" borderId="0" applyFont="0" applyFill="0" applyBorder="0" applyAlignment="0" applyProtection="0"/>
    <xf numFmtId="0" fontId="37" fillId="0" borderId="0"/>
    <xf numFmtId="0" fontId="38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1" fillId="0" borderId="0" applyFont="0" applyFill="0" applyBorder="0" applyAlignment="0" applyProtection="0"/>
    <xf numFmtId="41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40" fillId="0" borderId="0"/>
    <xf numFmtId="0" fontId="41" fillId="0" borderId="0"/>
    <xf numFmtId="0" fontId="42" fillId="0" borderId="0"/>
    <xf numFmtId="0" fontId="43" fillId="0" borderId="0"/>
    <xf numFmtId="0" fontId="31" fillId="0" borderId="0"/>
    <xf numFmtId="0" fontId="33" fillId="0" borderId="0"/>
    <xf numFmtId="0" fontId="33" fillId="0" borderId="0" applyFont="0" applyFill="0" applyBorder="0" applyAlignment="0" applyProtection="0"/>
    <xf numFmtId="0" fontId="44" fillId="0" borderId="0"/>
    <xf numFmtId="0" fontId="44" fillId="0" borderId="0"/>
    <xf numFmtId="0" fontId="44" fillId="0" borderId="0"/>
    <xf numFmtId="0" fontId="3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4" fillId="0" borderId="0"/>
    <xf numFmtId="0" fontId="31" fillId="0" borderId="0" applyFont="0" applyFill="0" applyBorder="0" applyAlignment="0" applyProtection="0"/>
    <xf numFmtId="0" fontId="34" fillId="0" borderId="0"/>
    <xf numFmtId="0" fontId="34" fillId="0" borderId="0"/>
    <xf numFmtId="0" fontId="44" fillId="0" borderId="0"/>
    <xf numFmtId="0" fontId="34" fillId="0" borderId="0"/>
    <xf numFmtId="0" fontId="34" fillId="0" borderId="0"/>
    <xf numFmtId="0" fontId="32" fillId="0" borderId="0"/>
    <xf numFmtId="0" fontId="44" fillId="0" borderId="0"/>
    <xf numFmtId="0" fontId="31" fillId="0" borderId="0" applyFont="0" applyFill="0" applyBorder="0" applyAlignment="0" applyProtection="0"/>
    <xf numFmtId="0" fontId="32" fillId="0" borderId="0"/>
    <xf numFmtId="0" fontId="34" fillId="0" borderId="0"/>
    <xf numFmtId="0" fontId="44" fillId="0" borderId="0"/>
    <xf numFmtId="0" fontId="44" fillId="0" borderId="0"/>
    <xf numFmtId="0" fontId="34" fillId="0" borderId="0"/>
    <xf numFmtId="0" fontId="34" fillId="0" borderId="0"/>
    <xf numFmtId="0" fontId="34" fillId="0" borderId="0"/>
    <xf numFmtId="0" fontId="44" fillId="0" borderId="0"/>
    <xf numFmtId="0" fontId="4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44" fillId="0" borderId="0"/>
    <xf numFmtId="0" fontId="45" fillId="0" borderId="0"/>
    <xf numFmtId="0" fontId="34" fillId="0" borderId="0"/>
    <xf numFmtId="0" fontId="34" fillId="0" borderId="0"/>
    <xf numFmtId="0" fontId="45" fillId="0" borderId="0"/>
    <xf numFmtId="0" fontId="32" fillId="0" borderId="0"/>
    <xf numFmtId="0" fontId="30" fillId="0" borderId="0" applyFont="0" applyFill="0" applyBorder="0" applyAlignment="0" applyProtection="0"/>
    <xf numFmtId="0" fontId="34" fillId="0" borderId="0"/>
    <xf numFmtId="0" fontId="45" fillId="0" borderId="0"/>
    <xf numFmtId="0" fontId="31" fillId="0" borderId="0"/>
    <xf numFmtId="0" fontId="32" fillId="0" borderId="0"/>
    <xf numFmtId="0" fontId="45" fillId="0" borderId="0"/>
    <xf numFmtId="0" fontId="34" fillId="0" borderId="0"/>
    <xf numFmtId="0" fontId="34" fillId="0" borderId="0"/>
    <xf numFmtId="0" fontId="34" fillId="0" borderId="0"/>
    <xf numFmtId="0" fontId="45" fillId="0" borderId="0"/>
    <xf numFmtId="0" fontId="45" fillId="0" borderId="0"/>
    <xf numFmtId="0" fontId="32" fillId="0" borderId="0"/>
    <xf numFmtId="0" fontId="34" fillId="0" borderId="0"/>
    <xf numFmtId="0" fontId="34" fillId="0" borderId="0"/>
    <xf numFmtId="0" fontId="45" fillId="0" borderId="0"/>
    <xf numFmtId="0" fontId="46" fillId="0" borderId="0"/>
    <xf numFmtId="1" fontId="47" fillId="0" borderId="26">
      <alignment horizontal="center" vertical="center"/>
    </xf>
    <xf numFmtId="0" fontId="48" fillId="0" borderId="0"/>
    <xf numFmtId="0" fontId="24" fillId="0" borderId="0"/>
    <xf numFmtId="0" fontId="49" fillId="0" borderId="0" applyFont="0" applyFill="0" applyBorder="0" applyAlignment="0" applyProtection="0"/>
    <xf numFmtId="0" fontId="34" fillId="0" borderId="0" applyNumberFormat="0" applyFill="0" applyBorder="0" applyAlignment="0" applyProtection="0"/>
    <xf numFmtId="10" fontId="50" fillId="0" borderId="0" applyFont="0" applyFill="0" applyBorder="0" applyAlignment="0" applyProtection="0"/>
    <xf numFmtId="10" fontId="51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24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3" fillId="42" borderId="0" applyNumberFormat="0" applyBorder="0" applyAlignment="0" applyProtection="0">
      <alignment vertical="center"/>
    </xf>
    <xf numFmtId="0" fontId="53" fillId="43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54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54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54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54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17" fillId="30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54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53" fillId="44" borderId="0" applyNumberFormat="0" applyBorder="0" applyAlignment="0" applyProtection="0">
      <alignment vertical="center"/>
    </xf>
    <xf numFmtId="0" fontId="53" fillId="45" borderId="0" applyNumberFormat="0" applyBorder="0" applyAlignment="0" applyProtection="0">
      <alignment vertical="center"/>
    </xf>
    <xf numFmtId="0" fontId="53" fillId="46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3" fillId="44" borderId="0" applyNumberFormat="0" applyBorder="0" applyAlignment="0" applyProtection="0">
      <alignment vertical="center"/>
    </xf>
    <xf numFmtId="0" fontId="53" fillId="47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54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54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54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4" fillId="46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54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54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54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4" fillId="47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6" fillId="48" borderId="0" applyNumberFormat="0" applyBorder="0" applyAlignment="0" applyProtection="0">
      <alignment vertical="center"/>
    </xf>
    <xf numFmtId="0" fontId="56" fillId="45" borderId="0" applyNumberFormat="0" applyBorder="0" applyAlignment="0" applyProtection="0">
      <alignment vertical="center"/>
    </xf>
    <xf numFmtId="0" fontId="56" fillId="46" borderId="0" applyNumberFormat="0" applyBorder="0" applyAlignment="0" applyProtection="0">
      <alignment vertical="center"/>
    </xf>
    <xf numFmtId="0" fontId="56" fillId="49" borderId="0" applyNumberFormat="0" applyBorder="0" applyAlignment="0" applyProtection="0">
      <alignment vertical="center"/>
    </xf>
    <xf numFmtId="0" fontId="56" fillId="50" borderId="0" applyNumberFormat="0" applyBorder="0" applyAlignment="0" applyProtection="0">
      <alignment vertical="center"/>
    </xf>
    <xf numFmtId="0" fontId="56" fillId="51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7" fillId="12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7" fillId="12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8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8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7" fillId="16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7" fillId="16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8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7" fillId="24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7" fillId="24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8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8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7" fillId="32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7" fillId="32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8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55" fillId="51" borderId="0" applyNumberFormat="0" applyBorder="0" applyAlignment="0" applyProtection="0">
      <alignment vertical="center"/>
    </xf>
    <xf numFmtId="0" fontId="33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60" fillId="0" borderId="0" applyFont="0" applyFill="0" applyBorder="0" applyAlignment="0" applyProtection="0"/>
    <xf numFmtId="0" fontId="60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55" fillId="52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9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40" fillId="0" borderId="0" applyFont="0" applyFill="0" applyBorder="0" applyAlignment="0" applyProtection="0"/>
    <xf numFmtId="42" fontId="65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66" fillId="0" borderId="0" applyFont="0" applyFill="0" applyBorder="0" applyAlignment="0" applyProtection="0"/>
    <xf numFmtId="42" fontId="63" fillId="0" borderId="0" applyFont="0" applyFill="0" applyBorder="0" applyAlignment="0" applyProtection="0"/>
    <xf numFmtId="42" fontId="67" fillId="0" borderId="0" applyFont="0" applyFill="0" applyBorder="0" applyAlignment="0" applyProtection="0"/>
    <xf numFmtId="42" fontId="65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3" fillId="0" borderId="0" applyFont="0" applyFill="0" applyBorder="0" applyAlignment="0" applyProtection="0"/>
    <xf numFmtId="44" fontId="65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48" fillId="0" borderId="0" applyFont="0" applyFill="0" applyBorder="0" applyAlignment="0" applyProtection="0"/>
    <xf numFmtId="44" fontId="63" fillId="0" borderId="0" applyFont="0" applyFill="0" applyBorder="0" applyAlignment="0" applyProtection="0"/>
    <xf numFmtId="44" fontId="67" fillId="0" borderId="0" applyFont="0" applyFill="0" applyBorder="0" applyAlignment="0" applyProtection="0"/>
    <xf numFmtId="44" fontId="65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60" fillId="0" borderId="0" applyFont="0" applyFill="0" applyBorder="0" applyAlignment="0" applyProtection="0"/>
    <xf numFmtId="0" fontId="60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50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66" fillId="0" borderId="0" applyFont="0" applyFill="0" applyBorder="0" applyAlignment="0" applyProtection="0"/>
    <xf numFmtId="41" fontId="67" fillId="0" borderId="0" applyFont="0" applyFill="0" applyBorder="0" applyAlignment="0" applyProtection="0"/>
    <xf numFmtId="41" fontId="65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50" fillId="0" borderId="0" applyFont="0" applyFill="0" applyBorder="0" applyAlignment="0" applyProtection="0"/>
    <xf numFmtId="43" fontId="67" fillId="0" borderId="0" applyFont="0" applyFill="0" applyBorder="0" applyAlignment="0" applyProtection="0"/>
    <xf numFmtId="43" fontId="65" fillId="0" borderId="0" applyFont="0" applyFill="0" applyBorder="0" applyAlignment="0" applyProtection="0"/>
    <xf numFmtId="0" fontId="68" fillId="39" borderId="0" applyNumberFormat="0" applyBorder="0" applyAlignment="0" applyProtection="0">
      <alignment vertical="center"/>
    </xf>
    <xf numFmtId="0" fontId="34" fillId="0" borderId="0"/>
    <xf numFmtId="0" fontId="34" fillId="0" borderId="0"/>
    <xf numFmtId="0" fontId="69" fillId="0" borderId="0"/>
    <xf numFmtId="0" fontId="64" fillId="0" borderId="0"/>
    <xf numFmtId="0" fontId="70" fillId="0" borderId="0"/>
    <xf numFmtId="0" fontId="62" fillId="0" borderId="0"/>
    <xf numFmtId="0" fontId="34" fillId="0" borderId="0"/>
    <xf numFmtId="0" fontId="34" fillId="0" borderId="0"/>
    <xf numFmtId="0" fontId="71" fillId="0" borderId="0"/>
    <xf numFmtId="0" fontId="72" fillId="0" borderId="0"/>
    <xf numFmtId="1" fontId="65" fillId="0" borderId="0"/>
    <xf numFmtId="0" fontId="67" fillId="0" borderId="0"/>
    <xf numFmtId="0" fontId="66" fillId="0" borderId="0"/>
    <xf numFmtId="0" fontId="62" fillId="0" borderId="0"/>
    <xf numFmtId="187" fontId="73" fillId="0" borderId="0" applyFill="0" applyBorder="0" applyAlignment="0"/>
    <xf numFmtId="0" fontId="74" fillId="56" borderId="30" applyNumberFormat="0" applyAlignment="0" applyProtection="0">
      <alignment vertical="center"/>
    </xf>
    <xf numFmtId="0" fontId="75" fillId="0" borderId="0"/>
    <xf numFmtId="0" fontId="76" fillId="57" borderId="31" applyNumberFormat="0" applyAlignment="0" applyProtection="0">
      <alignment vertical="center"/>
    </xf>
    <xf numFmtId="4" fontId="77" fillId="0" borderId="0">
      <protection locked="0"/>
    </xf>
    <xf numFmtId="0" fontId="78" fillId="0" borderId="0" applyFont="0" applyFill="0" applyBorder="0" applyAlignment="0" applyProtection="0"/>
    <xf numFmtId="188" fontId="31" fillId="0" borderId="0"/>
    <xf numFmtId="189" fontId="34" fillId="0" borderId="0" applyFont="0" applyFill="0" applyBorder="0" applyAlignment="0" applyProtection="0"/>
    <xf numFmtId="190" fontId="79" fillId="0" borderId="0">
      <protection locked="0"/>
    </xf>
    <xf numFmtId="0" fontId="78" fillId="0" borderId="0" applyFont="0" applyFill="0" applyBorder="0" applyAlignment="0" applyProtection="0"/>
    <xf numFmtId="191" fontId="34" fillId="0" borderId="0" applyFont="0" applyFill="0" applyBorder="0" applyAlignment="0" applyProtection="0"/>
    <xf numFmtId="0" fontId="43" fillId="0" borderId="0"/>
    <xf numFmtId="0" fontId="40" fillId="0" borderId="0"/>
    <xf numFmtId="192" fontId="77" fillId="0" borderId="0">
      <protection locked="0"/>
    </xf>
    <xf numFmtId="193" fontId="34" fillId="0" borderId="0" applyFont="0" applyFill="0" applyBorder="0" applyAlignment="0" applyProtection="0"/>
    <xf numFmtId="194" fontId="34" fillId="0" borderId="0" applyFont="0" applyFill="0" applyBorder="0" applyAlignment="0" applyProtection="0"/>
    <xf numFmtId="195" fontId="31" fillId="0" borderId="0"/>
    <xf numFmtId="0" fontId="80" fillId="0" borderId="0">
      <alignment horizontal="left"/>
    </xf>
    <xf numFmtId="0" fontId="81" fillId="0" borderId="0" applyNumberFormat="0" applyFill="0" applyBorder="0" applyAlignment="0" applyProtection="0">
      <alignment vertical="center"/>
    </xf>
    <xf numFmtId="196" fontId="77" fillId="0" borderId="0">
      <protection locked="0"/>
    </xf>
    <xf numFmtId="0" fontId="82" fillId="0" borderId="0" applyNumberFormat="0" applyFill="0" applyBorder="0" applyAlignment="0" applyProtection="0">
      <alignment vertical="top"/>
      <protection locked="0"/>
    </xf>
    <xf numFmtId="0" fontId="82" fillId="0" borderId="0" applyNumberFormat="0" applyFill="0" applyBorder="0" applyAlignment="0" applyProtection="0">
      <alignment vertical="top"/>
      <protection locked="0"/>
    </xf>
    <xf numFmtId="0" fontId="82" fillId="0" borderId="0" applyNumberFormat="0" applyFill="0" applyBorder="0" applyAlignment="0" applyProtection="0">
      <alignment vertical="top"/>
      <protection locked="0"/>
    </xf>
    <xf numFmtId="0" fontId="83" fillId="40" borderId="0" applyNumberFormat="0" applyBorder="0" applyAlignment="0" applyProtection="0">
      <alignment vertical="center"/>
    </xf>
    <xf numFmtId="38" fontId="84" fillId="58" borderId="0" applyNumberFormat="0" applyBorder="0" applyAlignment="0" applyProtection="0"/>
    <xf numFmtId="0" fontId="85" fillId="0" borderId="0">
      <alignment horizontal="left"/>
    </xf>
    <xf numFmtId="0" fontId="86" fillId="0" borderId="32" applyNumberFormat="0" applyAlignment="0" applyProtection="0">
      <alignment horizontal="left" vertical="center"/>
    </xf>
    <xf numFmtId="0" fontId="86" fillId="0" borderId="33">
      <alignment horizontal="left" vertical="center"/>
    </xf>
    <xf numFmtId="0" fontId="86" fillId="0" borderId="33">
      <alignment horizontal="left" vertical="center"/>
    </xf>
    <xf numFmtId="0" fontId="86" fillId="0" borderId="33">
      <alignment horizontal="left" vertical="center"/>
    </xf>
    <xf numFmtId="0" fontId="87" fillId="0" borderId="34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197" fontId="90" fillId="0" borderId="0">
      <protection locked="0"/>
    </xf>
    <xf numFmtId="197" fontId="90" fillId="0" borderId="0"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92" fillId="43" borderId="30" applyNumberFormat="0" applyAlignment="0" applyProtection="0">
      <alignment vertical="center"/>
    </xf>
    <xf numFmtId="10" fontId="84" fillId="59" borderId="15" applyNumberFormat="0" applyBorder="0" applyAlignment="0" applyProtection="0"/>
    <xf numFmtId="10" fontId="84" fillId="60" borderId="15" applyNumberFormat="0" applyBorder="0" applyAlignment="0" applyProtection="0"/>
    <xf numFmtId="10" fontId="84" fillId="60" borderId="15" applyNumberFormat="0" applyBorder="0" applyAlignment="0" applyProtection="0"/>
    <xf numFmtId="0" fontId="93" fillId="0" borderId="37" applyNumberFormat="0" applyFill="0" applyAlignment="0" applyProtection="0">
      <alignment vertical="center"/>
    </xf>
    <xf numFmtId="198" fontId="94" fillId="0" borderId="0"/>
    <xf numFmtId="0" fontId="95" fillId="0" borderId="38"/>
    <xf numFmtId="0" fontId="96" fillId="61" borderId="0" applyNumberFormat="0" applyBorder="0" applyAlignment="0" applyProtection="0">
      <alignment vertical="center"/>
    </xf>
    <xf numFmtId="37" fontId="97" fillId="0" borderId="0"/>
    <xf numFmtId="41" fontId="31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98" fillId="0" borderId="0"/>
    <xf numFmtId="0" fontId="34" fillId="0" borderId="0"/>
    <xf numFmtId="0" fontId="99" fillId="0" borderId="0" applyFont="0" applyFill="0" applyBorder="0" applyAlignment="0" applyProtection="0">
      <alignment horizontal="centerContinuous"/>
    </xf>
    <xf numFmtId="0" fontId="34" fillId="0" borderId="0" applyFont="0" applyFill="0" applyBorder="0" applyAlignment="0" applyProtection="0">
      <alignment horizontal="centerContinuous"/>
    </xf>
    <xf numFmtId="0" fontId="34" fillId="0" borderId="0" applyFont="0" applyFill="0" applyBorder="0" applyAlignment="0" applyProtection="0">
      <alignment horizontal="centerContinuous"/>
    </xf>
    <xf numFmtId="0" fontId="34" fillId="0" borderId="0" applyFont="0" applyFill="0" applyBorder="0" applyAlignment="0" applyProtection="0">
      <alignment horizontal="centerContinuous"/>
    </xf>
    <xf numFmtId="0" fontId="24" fillId="62" borderId="39" applyNumberFormat="0" applyFont="0" applyAlignment="0" applyProtection="0">
      <alignment vertical="center"/>
    </xf>
    <xf numFmtId="199" fontId="100" fillId="0" borderId="0" applyFont="0" applyFill="0" applyBorder="0" applyAlignment="0" applyProtection="0"/>
    <xf numFmtId="0" fontId="101" fillId="56" borderId="40" applyNumberFormat="0" applyAlignment="0" applyProtection="0">
      <alignment vertical="center"/>
    </xf>
    <xf numFmtId="0" fontId="33" fillId="0" borderId="0" applyFont="0" applyFill="0" applyBorder="0" applyAlignment="0" applyProtection="0"/>
    <xf numFmtId="200" fontId="79" fillId="0" borderId="0">
      <protection locked="0"/>
    </xf>
    <xf numFmtId="10" fontId="34" fillId="0" borderId="0" applyFont="0" applyFill="0" applyBorder="0" applyAlignment="0" applyProtection="0"/>
    <xf numFmtId="201" fontId="77" fillId="0" borderId="0">
      <protection locked="0"/>
    </xf>
    <xf numFmtId="202" fontId="31" fillId="0" borderId="0" applyBorder="0" applyAlignment="0">
      <alignment horizontal="centerContinuous" vertical="center"/>
    </xf>
    <xf numFmtId="4" fontId="102" fillId="63" borderId="41" applyNumberFormat="0" applyProtection="0">
      <alignment vertical="center"/>
    </xf>
    <xf numFmtId="4" fontId="102" fillId="63" borderId="41" applyNumberFormat="0" applyProtection="0">
      <alignment vertical="center"/>
    </xf>
    <xf numFmtId="4" fontId="102" fillId="63" borderId="41" applyNumberFormat="0" applyProtection="0">
      <alignment vertical="center"/>
    </xf>
    <xf numFmtId="4" fontId="103" fillId="61" borderId="41" applyNumberFormat="0" applyProtection="0">
      <alignment vertical="center"/>
    </xf>
    <xf numFmtId="4" fontId="104" fillId="63" borderId="41" applyNumberFormat="0" applyProtection="0">
      <alignment vertical="center"/>
    </xf>
    <xf numFmtId="4" fontId="104" fillId="63" borderId="41" applyNumberFormat="0" applyProtection="0">
      <alignment vertical="center"/>
    </xf>
    <xf numFmtId="4" fontId="104" fillId="63" borderId="41" applyNumberFormat="0" applyProtection="0">
      <alignment vertical="center"/>
    </xf>
    <xf numFmtId="4" fontId="105" fillId="63" borderId="41" applyNumberFormat="0" applyProtection="0">
      <alignment vertical="center"/>
    </xf>
    <xf numFmtId="4" fontId="84" fillId="63" borderId="42" applyNumberFormat="0" applyProtection="0">
      <alignment horizontal="left" vertical="center" indent="1"/>
    </xf>
    <xf numFmtId="4" fontId="106" fillId="63" borderId="41" applyNumberFormat="0" applyProtection="0">
      <alignment horizontal="left" vertical="center" indent="1"/>
    </xf>
    <xf numFmtId="4" fontId="106" fillId="63" borderId="41" applyNumberFormat="0" applyProtection="0">
      <alignment horizontal="left" vertical="center" indent="1"/>
    </xf>
    <xf numFmtId="0" fontId="103" fillId="63" borderId="41" applyNumberFormat="0" applyProtection="0">
      <alignment horizontal="left" vertical="top" indent="1"/>
    </xf>
    <xf numFmtId="0" fontId="103" fillId="63" borderId="41" applyNumberFormat="0" applyProtection="0">
      <alignment horizontal="left" vertical="top" indent="1"/>
    </xf>
    <xf numFmtId="0" fontId="103" fillId="63" borderId="41" applyNumberFormat="0" applyProtection="0">
      <alignment horizontal="left" vertical="top" indent="1"/>
    </xf>
    <xf numFmtId="4" fontId="84" fillId="50" borderId="42" applyNumberFormat="0" applyProtection="0">
      <alignment horizontal="left" vertical="center" indent="1"/>
    </xf>
    <xf numFmtId="4" fontId="106" fillId="64" borderId="41" applyNumberFormat="0" applyProtection="0">
      <alignment horizontal="right" vertical="center"/>
    </xf>
    <xf numFmtId="4" fontId="106" fillId="64" borderId="41" applyNumberFormat="0" applyProtection="0">
      <alignment horizontal="right" vertical="center"/>
    </xf>
    <xf numFmtId="4" fontId="106" fillId="64" borderId="41" applyNumberFormat="0" applyProtection="0">
      <alignment horizontal="right" vertical="center"/>
    </xf>
    <xf numFmtId="4" fontId="106" fillId="65" borderId="41" applyNumberFormat="0" applyProtection="0">
      <alignment horizontal="right" vertical="center"/>
    </xf>
    <xf numFmtId="4" fontId="106" fillId="65" borderId="41" applyNumberFormat="0" applyProtection="0">
      <alignment horizontal="right" vertical="center"/>
    </xf>
    <xf numFmtId="4" fontId="106" fillId="65" borderId="41" applyNumberFormat="0" applyProtection="0">
      <alignment horizontal="right" vertical="center"/>
    </xf>
    <xf numFmtId="4" fontId="106" fillId="66" borderId="41" applyNumberFormat="0" applyProtection="0">
      <alignment horizontal="right" vertical="center"/>
    </xf>
    <xf numFmtId="4" fontId="106" fillId="66" borderId="41" applyNumberFormat="0" applyProtection="0">
      <alignment horizontal="right" vertical="center"/>
    </xf>
    <xf numFmtId="4" fontId="106" fillId="66" borderId="41" applyNumberFormat="0" applyProtection="0">
      <alignment horizontal="right" vertical="center"/>
    </xf>
    <xf numFmtId="4" fontId="106" fillId="67" borderId="41" applyNumberFormat="0" applyProtection="0">
      <alignment horizontal="right" vertical="center"/>
    </xf>
    <xf numFmtId="4" fontId="106" fillId="67" borderId="41" applyNumberFormat="0" applyProtection="0">
      <alignment horizontal="right" vertical="center"/>
    </xf>
    <xf numFmtId="4" fontId="106" fillId="67" borderId="41" applyNumberFormat="0" applyProtection="0">
      <alignment horizontal="right" vertical="center"/>
    </xf>
    <xf numFmtId="4" fontId="106" fillId="68" borderId="41" applyNumberFormat="0" applyProtection="0">
      <alignment horizontal="right" vertical="center"/>
    </xf>
    <xf numFmtId="4" fontId="106" fillId="68" borderId="41" applyNumberFormat="0" applyProtection="0">
      <alignment horizontal="right" vertical="center"/>
    </xf>
    <xf numFmtId="4" fontId="106" fillId="68" borderId="41" applyNumberFormat="0" applyProtection="0">
      <alignment horizontal="right" vertical="center"/>
    </xf>
    <xf numFmtId="4" fontId="106" fillId="69" borderId="41" applyNumberFormat="0" applyProtection="0">
      <alignment horizontal="right" vertical="center"/>
    </xf>
    <xf numFmtId="4" fontId="106" fillId="69" borderId="41" applyNumberFormat="0" applyProtection="0">
      <alignment horizontal="right" vertical="center"/>
    </xf>
    <xf numFmtId="4" fontId="106" fillId="69" borderId="41" applyNumberFormat="0" applyProtection="0">
      <alignment horizontal="right" vertical="center"/>
    </xf>
    <xf numFmtId="4" fontId="106" fillId="70" borderId="41" applyNumberFormat="0" applyProtection="0">
      <alignment horizontal="right" vertical="center"/>
    </xf>
    <xf numFmtId="4" fontId="106" fillId="70" borderId="41" applyNumberFormat="0" applyProtection="0">
      <alignment horizontal="right" vertical="center"/>
    </xf>
    <xf numFmtId="4" fontId="106" fillId="70" borderId="41" applyNumberFormat="0" applyProtection="0">
      <alignment horizontal="right" vertical="center"/>
    </xf>
    <xf numFmtId="4" fontId="106" fillId="71" borderId="41" applyNumberFormat="0" applyProtection="0">
      <alignment horizontal="right" vertical="center"/>
    </xf>
    <xf numFmtId="4" fontId="106" fillId="71" borderId="41" applyNumberFormat="0" applyProtection="0">
      <alignment horizontal="right" vertical="center"/>
    </xf>
    <xf numFmtId="4" fontId="106" fillId="71" borderId="41" applyNumberFormat="0" applyProtection="0">
      <alignment horizontal="right" vertical="center"/>
    </xf>
    <xf numFmtId="4" fontId="106" fillId="72" borderId="41" applyNumberFormat="0" applyProtection="0">
      <alignment horizontal="right" vertical="center"/>
    </xf>
    <xf numFmtId="4" fontId="106" fillId="72" borderId="41" applyNumberFormat="0" applyProtection="0">
      <alignment horizontal="right" vertical="center"/>
    </xf>
    <xf numFmtId="4" fontId="106" fillId="72" borderId="41" applyNumberFormat="0" applyProtection="0">
      <alignment horizontal="right" vertical="center"/>
    </xf>
    <xf numFmtId="4" fontId="102" fillId="73" borderId="43" applyNumberFormat="0" applyProtection="0">
      <alignment horizontal="left" vertical="center" indent="1"/>
    </xf>
    <xf numFmtId="4" fontId="102" fillId="74" borderId="0" applyNumberFormat="0" applyProtection="0">
      <alignment horizontal="left" vertical="center" indent="1"/>
    </xf>
    <xf numFmtId="4" fontId="102" fillId="75" borderId="0" applyNumberFormat="0" applyProtection="0">
      <alignment horizontal="left" vertical="center" indent="1"/>
    </xf>
    <xf numFmtId="4" fontId="106" fillId="74" borderId="41" applyNumberFormat="0" applyProtection="0">
      <alignment horizontal="right" vertical="center"/>
    </xf>
    <xf numFmtId="4" fontId="106" fillId="74" borderId="41" applyNumberFormat="0" applyProtection="0">
      <alignment horizontal="right" vertical="center"/>
    </xf>
    <xf numFmtId="4" fontId="106" fillId="74" borderId="41" applyNumberFormat="0" applyProtection="0">
      <alignment horizontal="right" vertical="center"/>
    </xf>
    <xf numFmtId="4" fontId="73" fillId="74" borderId="0" applyNumberFormat="0" applyProtection="0">
      <alignment horizontal="left" vertical="center" indent="1"/>
    </xf>
    <xf numFmtId="4" fontId="73" fillId="75" borderId="0" applyNumberFormat="0" applyProtection="0">
      <alignment horizontal="left" vertical="center" indent="1"/>
    </xf>
    <xf numFmtId="0" fontId="34" fillId="75" borderId="41" applyNumberFormat="0" applyProtection="0">
      <alignment horizontal="left" vertical="center" indent="1"/>
    </xf>
    <xf numFmtId="0" fontId="34" fillId="75" borderId="41" applyNumberFormat="0" applyProtection="0">
      <alignment horizontal="left" vertical="center" indent="1"/>
    </xf>
    <xf numFmtId="0" fontId="34" fillId="75" borderId="41" applyNumberFormat="0" applyProtection="0">
      <alignment horizontal="left" vertical="center" indent="1"/>
    </xf>
    <xf numFmtId="0" fontId="34" fillId="75" borderId="41" applyNumberFormat="0" applyProtection="0">
      <alignment horizontal="left" vertical="top" indent="1"/>
    </xf>
    <xf numFmtId="0" fontId="34" fillId="75" borderId="41" applyNumberFormat="0" applyProtection="0">
      <alignment horizontal="left" vertical="top" indent="1"/>
    </xf>
    <xf numFmtId="0" fontId="34" fillId="75" borderId="41" applyNumberFormat="0" applyProtection="0">
      <alignment horizontal="left" vertical="top" indent="1"/>
    </xf>
    <xf numFmtId="0" fontId="34" fillId="76" borderId="41" applyNumberFormat="0" applyProtection="0">
      <alignment horizontal="left" vertical="center" indent="1"/>
    </xf>
    <xf numFmtId="0" fontId="34" fillId="76" borderId="41" applyNumberFormat="0" applyProtection="0">
      <alignment horizontal="left" vertical="center" indent="1"/>
    </xf>
    <xf numFmtId="0" fontId="34" fillId="76" borderId="41" applyNumberFormat="0" applyProtection="0">
      <alignment horizontal="left" vertical="center" indent="1"/>
    </xf>
    <xf numFmtId="0" fontId="34" fillId="76" borderId="41" applyNumberFormat="0" applyProtection="0">
      <alignment horizontal="left" vertical="top" indent="1"/>
    </xf>
    <xf numFmtId="0" fontId="34" fillId="76" borderId="41" applyNumberFormat="0" applyProtection="0">
      <alignment horizontal="left" vertical="top" indent="1"/>
    </xf>
    <xf numFmtId="0" fontId="34" fillId="76" borderId="41" applyNumberFormat="0" applyProtection="0">
      <alignment horizontal="left" vertical="top" indent="1"/>
    </xf>
    <xf numFmtId="0" fontId="34" fillId="74" borderId="41" applyNumberFormat="0" applyProtection="0">
      <alignment horizontal="left" vertical="center" indent="1"/>
    </xf>
    <xf numFmtId="0" fontId="34" fillId="74" borderId="41" applyNumberFormat="0" applyProtection="0">
      <alignment horizontal="left" vertical="center" indent="1"/>
    </xf>
    <xf numFmtId="0" fontId="34" fillId="74" borderId="41" applyNumberFormat="0" applyProtection="0">
      <alignment horizontal="left" vertical="center" indent="1"/>
    </xf>
    <xf numFmtId="0" fontId="34" fillId="74" borderId="41" applyNumberFormat="0" applyProtection="0">
      <alignment horizontal="left" vertical="top" indent="1"/>
    </xf>
    <xf numFmtId="0" fontId="34" fillId="74" borderId="41" applyNumberFormat="0" applyProtection="0">
      <alignment horizontal="left" vertical="top" indent="1"/>
    </xf>
    <xf numFmtId="0" fontId="34" fillId="74" borderId="41" applyNumberFormat="0" applyProtection="0">
      <alignment horizontal="left" vertical="top" indent="1"/>
    </xf>
    <xf numFmtId="0" fontId="34" fillId="77" borderId="41" applyNumberFormat="0" applyProtection="0">
      <alignment horizontal="left" vertical="center" indent="1"/>
    </xf>
    <xf numFmtId="0" fontId="34" fillId="77" borderId="41" applyNumberFormat="0" applyProtection="0">
      <alignment horizontal="left" vertical="center" indent="1"/>
    </xf>
    <xf numFmtId="0" fontId="34" fillId="77" borderId="41" applyNumberFormat="0" applyProtection="0">
      <alignment horizontal="left" vertical="center" indent="1"/>
    </xf>
    <xf numFmtId="0" fontId="34" fillId="77" borderId="41" applyNumberFormat="0" applyProtection="0">
      <alignment horizontal="left" vertical="top" indent="1"/>
    </xf>
    <xf numFmtId="0" fontId="34" fillId="77" borderId="41" applyNumberFormat="0" applyProtection="0">
      <alignment horizontal="left" vertical="top" indent="1"/>
    </xf>
    <xf numFmtId="0" fontId="34" fillId="77" borderId="41" applyNumberFormat="0" applyProtection="0">
      <alignment horizontal="left" vertical="top" indent="1"/>
    </xf>
    <xf numFmtId="4" fontId="106" fillId="77" borderId="41" applyNumberFormat="0" applyProtection="0">
      <alignment vertical="center"/>
    </xf>
    <xf numFmtId="4" fontId="106" fillId="77" borderId="41" applyNumberFormat="0" applyProtection="0">
      <alignment vertical="center"/>
    </xf>
    <xf numFmtId="4" fontId="106" fillId="77" borderId="41" applyNumberFormat="0" applyProtection="0">
      <alignment vertical="center"/>
    </xf>
    <xf numFmtId="4" fontId="107" fillId="77" borderId="41" applyNumberFormat="0" applyProtection="0">
      <alignment vertical="center"/>
    </xf>
    <xf numFmtId="4" fontId="107" fillId="77" borderId="41" applyNumberFormat="0" applyProtection="0">
      <alignment vertical="center"/>
    </xf>
    <xf numFmtId="4" fontId="107" fillId="77" borderId="41" applyNumberFormat="0" applyProtection="0">
      <alignment vertical="center"/>
    </xf>
    <xf numFmtId="4" fontId="102" fillId="74" borderId="44" applyNumberFormat="0" applyProtection="0">
      <alignment horizontal="left" vertical="center" indent="1"/>
    </xf>
    <xf numFmtId="4" fontId="102" fillId="74" borderId="44" applyNumberFormat="0" applyProtection="0">
      <alignment horizontal="left" vertical="center" indent="1"/>
    </xf>
    <xf numFmtId="4" fontId="102" fillId="74" borderId="44" applyNumberFormat="0" applyProtection="0">
      <alignment horizontal="left" vertical="center" indent="1"/>
    </xf>
    <xf numFmtId="0" fontId="73" fillId="59" borderId="41" applyNumberFormat="0" applyProtection="0">
      <alignment horizontal="left" vertical="top" indent="1"/>
    </xf>
    <xf numFmtId="0" fontId="73" fillId="59" borderId="41" applyNumberFormat="0" applyProtection="0">
      <alignment horizontal="left" vertical="top" indent="1"/>
    </xf>
    <xf numFmtId="0" fontId="73" fillId="59" borderId="41" applyNumberFormat="0" applyProtection="0">
      <alignment horizontal="left" vertical="top" indent="1"/>
    </xf>
    <xf numFmtId="4" fontId="73" fillId="78" borderId="41" applyNumberFormat="0" applyProtection="0">
      <alignment horizontal="right" vertical="center"/>
    </xf>
    <xf numFmtId="4" fontId="73" fillId="78" borderId="41" applyNumberFormat="0" applyProtection="0">
      <alignment horizontal="right" vertical="center"/>
    </xf>
    <xf numFmtId="4" fontId="73" fillId="78" borderId="41" applyNumberFormat="0" applyProtection="0">
      <alignment horizontal="right" vertical="center"/>
    </xf>
    <xf numFmtId="4" fontId="73" fillId="78" borderId="41" applyNumberFormat="0" applyProtection="0">
      <alignment horizontal="right" vertical="center"/>
    </xf>
    <xf numFmtId="4" fontId="107" fillId="77" borderId="41" applyNumberFormat="0" applyProtection="0">
      <alignment horizontal="right" vertical="center"/>
    </xf>
    <xf numFmtId="4" fontId="107" fillId="77" borderId="41" applyNumberFormat="0" applyProtection="0">
      <alignment horizontal="right" vertical="center"/>
    </xf>
    <xf numFmtId="4" fontId="107" fillId="77" borderId="41" applyNumberFormat="0" applyProtection="0">
      <alignment horizontal="right" vertical="center"/>
    </xf>
    <xf numFmtId="4" fontId="108" fillId="78" borderId="41" applyNumberFormat="0" applyProtection="0">
      <alignment horizontal="right" vertical="center"/>
    </xf>
    <xf numFmtId="4" fontId="84" fillId="50" borderId="42" applyNumberFormat="0" applyProtection="0">
      <alignment horizontal="left" vertical="center" indent="1"/>
    </xf>
    <xf numFmtId="4" fontId="102" fillId="74" borderId="41" applyNumberFormat="0" applyProtection="0">
      <alignment horizontal="left" vertical="center" indent="1"/>
    </xf>
    <xf numFmtId="4" fontId="102" fillId="74" borderId="41" applyNumberFormat="0" applyProtection="0">
      <alignment horizontal="left" vertical="center" indent="1"/>
    </xf>
    <xf numFmtId="4" fontId="73" fillId="79" borderId="41" applyNumberFormat="0" applyProtection="0">
      <alignment horizontal="left" vertical="center" indent="1"/>
    </xf>
    <xf numFmtId="0" fontId="73" fillId="76" borderId="41" applyNumberFormat="0" applyProtection="0">
      <alignment horizontal="left" vertical="top" indent="1"/>
    </xf>
    <xf numFmtId="0" fontId="73" fillId="76" borderId="41" applyNumberFormat="0" applyProtection="0">
      <alignment horizontal="left" vertical="top" indent="1"/>
    </xf>
    <xf numFmtId="0" fontId="73" fillId="76" borderId="41" applyNumberFormat="0" applyProtection="0">
      <alignment horizontal="left" vertical="top" indent="1"/>
    </xf>
    <xf numFmtId="4" fontId="109" fillId="76" borderId="44" applyNumberFormat="0" applyProtection="0">
      <alignment horizontal="left" vertical="center" indent="1"/>
    </xf>
    <xf numFmtId="4" fontId="109" fillId="76" borderId="44" applyNumberFormat="0" applyProtection="0">
      <alignment horizontal="left" vertical="center" indent="1"/>
    </xf>
    <xf numFmtId="4" fontId="109" fillId="76" borderId="44" applyNumberFormat="0" applyProtection="0">
      <alignment horizontal="left" vertical="center" indent="1"/>
    </xf>
    <xf numFmtId="4" fontId="110" fillId="77" borderId="41" applyNumberFormat="0" applyProtection="0">
      <alignment horizontal="right" vertical="center"/>
    </xf>
    <xf numFmtId="4" fontId="110" fillId="77" borderId="41" applyNumberFormat="0" applyProtection="0">
      <alignment horizontal="right" vertical="center"/>
    </xf>
    <xf numFmtId="4" fontId="110" fillId="77" borderId="41" applyNumberFormat="0" applyProtection="0">
      <alignment horizontal="right" vertical="center"/>
    </xf>
    <xf numFmtId="0" fontId="34" fillId="0" borderId="0"/>
    <xf numFmtId="0" fontId="43" fillId="0" borderId="0">
      <alignment vertical="center"/>
    </xf>
    <xf numFmtId="0" fontId="95" fillId="0" borderId="0"/>
    <xf numFmtId="0" fontId="111" fillId="0" borderId="0" applyNumberFormat="0" applyFill="0" applyBorder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12" fillId="0" borderId="0" applyNumberFormat="0" applyFill="0" applyBorder="0" applyAlignment="0" applyProtection="0">
      <alignment vertical="center"/>
    </xf>
    <xf numFmtId="0" fontId="113" fillId="0" borderId="0" applyFont="0" applyFill="0" applyBorder="0" applyAlignment="0" applyProtection="0"/>
    <xf numFmtId="40" fontId="45" fillId="0" borderId="0" applyFont="0" applyFill="0" applyBorder="0" applyAlignment="0" applyProtection="0"/>
    <xf numFmtId="0" fontId="56" fillId="52" borderId="0" applyNumberFormat="0" applyBorder="0" applyAlignment="0" applyProtection="0">
      <alignment vertical="center"/>
    </xf>
    <xf numFmtId="0" fontId="56" fillId="53" borderId="0" applyNumberFormat="0" applyBorder="0" applyAlignment="0" applyProtection="0">
      <alignment vertical="center"/>
    </xf>
    <xf numFmtId="0" fontId="56" fillId="54" borderId="0" applyNumberFormat="0" applyBorder="0" applyAlignment="0" applyProtection="0">
      <alignment vertical="center"/>
    </xf>
    <xf numFmtId="0" fontId="56" fillId="49" borderId="0" applyNumberFormat="0" applyBorder="0" applyAlignment="0" applyProtection="0">
      <alignment vertical="center"/>
    </xf>
    <xf numFmtId="0" fontId="56" fillId="50" borderId="0" applyNumberFormat="0" applyBorder="0" applyAlignment="0" applyProtection="0">
      <alignment vertical="center"/>
    </xf>
    <xf numFmtId="0" fontId="56" fillId="55" borderId="0" applyNumberFormat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57" borderId="31" applyNumberFormat="0" applyAlignment="0" applyProtection="0">
      <alignment vertical="center"/>
    </xf>
    <xf numFmtId="0" fontId="116" fillId="61" borderId="0" applyNumberFormat="0" applyBorder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117" fillId="0" borderId="37" applyNumberFormat="0" applyFill="0" applyAlignment="0" applyProtection="0">
      <alignment vertical="center"/>
    </xf>
    <xf numFmtId="0" fontId="41" fillId="0" borderId="0"/>
    <xf numFmtId="203" fontId="30" fillId="0" borderId="0" applyFont="0" applyFill="0" applyBorder="0" applyAlignment="0" applyProtection="0"/>
    <xf numFmtId="40" fontId="45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7" fillId="9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7" fillId="9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7" fillId="1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7" fillId="1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3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8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54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49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8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0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8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55" fillId="55" borderId="0" applyNumberFormat="0" applyBorder="0" applyAlignment="0" applyProtection="0">
      <alignment vertical="center"/>
    </xf>
    <xf numFmtId="0" fontId="118" fillId="0" borderId="34" applyNumberFormat="0" applyFill="0" applyAlignment="0" applyProtection="0">
      <alignment vertical="center"/>
    </xf>
    <xf numFmtId="0" fontId="119" fillId="0" borderId="35" applyNumberFormat="0" applyFill="0" applyAlignment="0" applyProtection="0">
      <alignment vertical="center"/>
    </xf>
    <xf numFmtId="0" fontId="120" fillId="0" borderId="36" applyNumberFormat="0" applyFill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2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2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125" fillId="6" borderId="4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125" fillId="6" borderId="4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126" fillId="6" borderId="4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74" fillId="56" borderId="30" applyNumberFormat="0" applyAlignment="0" applyProtection="0">
      <alignment vertical="center"/>
    </xf>
    <xf numFmtId="0" fontId="46" fillId="0" borderId="0"/>
    <xf numFmtId="204" fontId="31" fillId="0" borderId="0">
      <protection locked="0"/>
    </xf>
    <xf numFmtId="0" fontId="90" fillId="0" borderId="0">
      <protection locked="0"/>
    </xf>
    <xf numFmtId="0" fontId="90" fillId="0" borderId="0">
      <protection locked="0"/>
    </xf>
    <xf numFmtId="0" fontId="31" fillId="0" borderId="0"/>
    <xf numFmtId="205" fontId="34" fillId="0" borderId="15">
      <alignment horizontal="right" vertical="center" shrinkToFit="1"/>
    </xf>
    <xf numFmtId="205" fontId="34" fillId="0" borderId="15">
      <alignment horizontal="right" vertical="center" shrinkToFit="1"/>
    </xf>
    <xf numFmtId="205" fontId="34" fillId="0" borderId="15">
      <alignment horizontal="right" vertical="center" shrinkToFit="1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127" fillId="3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127" fillId="3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27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68" fillId="39" borderId="0" applyNumberFormat="0" applyBorder="0" applyAlignment="0" applyProtection="0">
      <alignment vertical="center"/>
    </xf>
    <xf numFmtId="0" fontId="77" fillId="0" borderId="0">
      <protection locked="0"/>
    </xf>
    <xf numFmtId="0" fontId="128" fillId="0" borderId="0" applyFont="0" applyFill="0" applyBorder="0" applyAlignment="0" applyProtection="0">
      <alignment horizontal="right"/>
    </xf>
    <xf numFmtId="0" fontId="129" fillId="0" borderId="0" applyNumberFormat="0" applyFill="0" applyBorder="0" applyAlignment="0" applyProtection="0">
      <alignment vertical="top"/>
      <protection locked="0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130" fillId="40" borderId="0" applyNumberFormat="0" applyBorder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24" fillId="62" borderId="39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54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48" fillId="62" borderId="39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>
      <alignment vertical="center"/>
    </xf>
    <xf numFmtId="9" fontId="131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132" fillId="4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133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96" fillId="61" borderId="0" applyNumberFormat="0" applyBorder="0" applyAlignment="0" applyProtection="0">
      <alignment vertical="center"/>
    </xf>
    <xf numFmtId="0" fontId="34" fillId="0" borderId="0"/>
    <xf numFmtId="0" fontId="134" fillId="0" borderId="0"/>
    <xf numFmtId="0" fontId="135" fillId="0" borderId="0"/>
    <xf numFmtId="0" fontId="94" fillId="0" borderId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136" fillId="0" borderId="0" applyFont="0" applyFill="0" applyBorder="0" applyAlignment="0" applyProtection="0"/>
    <xf numFmtId="0" fontId="136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140" fillId="7" borderId="7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140" fillId="7" borderId="7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141" fillId="7" borderId="7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0" fontId="76" fillId="57" borderId="31" applyNumberFormat="0" applyAlignment="0" applyProtection="0">
      <alignment vertical="center"/>
    </xf>
    <xf numFmtId="206" fontId="31" fillId="0" borderId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/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/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/>
    <xf numFmtId="41" fontId="24" fillId="0" borderId="0" applyFont="0" applyFill="0" applyBorder="0" applyAlignment="0" applyProtection="0">
      <alignment vertical="center"/>
    </xf>
    <xf numFmtId="41" fontId="131" fillId="0" borderId="0" applyFont="0" applyFill="0" applyBorder="0" applyAlignment="0" applyProtection="0">
      <alignment vertical="center"/>
    </xf>
    <xf numFmtId="41" fontId="142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41" fontId="24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44" fillId="0" borderId="0"/>
    <xf numFmtId="0" fontId="31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113" fillId="0" borderId="0" applyFont="0" applyFill="0" applyBorder="0" applyAlignment="0" applyProtection="0"/>
    <xf numFmtId="0" fontId="113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113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7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3" fillId="0" borderId="0"/>
    <xf numFmtId="199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10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31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/>
    <xf numFmtId="199" fontId="10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30" fillId="0" borderId="0"/>
    <xf numFmtId="0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100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211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210" fontId="48" fillId="0" borderId="0" applyFont="0" applyFill="0" applyBorder="0" applyAlignment="0" applyProtection="0"/>
    <xf numFmtId="199" fontId="100" fillId="0" borderId="0" applyFont="0" applyFill="0" applyBorder="0" applyAlignment="0" applyProtection="0"/>
    <xf numFmtId="210" fontId="48" fillId="0" borderId="0" applyFont="0" applyFill="0" applyBorder="0" applyAlignment="0" applyProtection="0"/>
    <xf numFmtId="0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209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208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199" fontId="10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191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0" fontId="10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00" fillId="0" borderId="0" applyFont="0" applyFill="0" applyBorder="0" applyAlignment="0" applyProtection="0"/>
    <xf numFmtId="199" fontId="10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12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12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12" fontId="30" fillId="0" borderId="0" applyFont="0" applyFill="0" applyBorder="0" applyAlignment="0" applyProtection="0"/>
    <xf numFmtId="212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199" fontId="10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13" fontId="30" fillId="0" borderId="0" applyFont="0" applyFill="0" applyBorder="0" applyAlignment="0" applyProtection="0"/>
    <xf numFmtId="213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213" fontId="30" fillId="0" borderId="0" applyFont="0" applyFill="0" applyBorder="0" applyAlignment="0" applyProtection="0"/>
    <xf numFmtId="0" fontId="34" fillId="0" borderId="0" applyFont="0" applyFill="0" applyBorder="0" applyAlignment="0" applyProtection="0"/>
    <xf numFmtId="213" fontId="30" fillId="0" borderId="0" applyFont="0" applyFill="0" applyBorder="0" applyAlignment="0" applyProtection="0"/>
    <xf numFmtId="213" fontId="30" fillId="0" borderId="0" applyFont="0" applyFill="0" applyBorder="0" applyAlignment="0" applyProtection="0"/>
    <xf numFmtId="213" fontId="30" fillId="0" borderId="0" applyFont="0" applyFill="0" applyBorder="0" applyAlignment="0" applyProtection="0"/>
    <xf numFmtId="213" fontId="30" fillId="0" borderId="0" applyFont="0" applyFill="0" applyBorder="0" applyAlignment="0" applyProtection="0"/>
    <xf numFmtId="213" fontId="30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4" fillId="0" borderId="0" applyFont="0" applyFill="0" applyBorder="0" applyAlignment="0" applyProtection="0"/>
    <xf numFmtId="0" fontId="30" fillId="0" borderId="0"/>
    <xf numFmtId="0" fontId="34" fillId="0" borderId="0"/>
    <xf numFmtId="199" fontId="100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43" fillId="39" borderId="0" applyNumberFormat="0" applyBorder="0" applyAlignment="0" applyProtection="0">
      <alignment vertical="center"/>
    </xf>
    <xf numFmtId="0" fontId="144" fillId="0" borderId="46"/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145" fillId="0" borderId="6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145" fillId="0" borderId="6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146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147" fillId="0" borderId="0">
      <alignment horizontal="center" vertical="center"/>
    </xf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43" fillId="0" borderId="0"/>
    <xf numFmtId="0" fontId="148" fillId="0" borderId="0" applyFont="0" applyFill="0" applyBorder="0" applyAlignment="0" applyProtection="0"/>
    <xf numFmtId="0" fontId="148" fillId="0" borderId="0" applyFont="0" applyFill="0" applyBorder="0" applyAlignment="0" applyProtection="0"/>
    <xf numFmtId="0" fontId="136" fillId="0" borderId="0" applyFont="0" applyFill="0" applyBorder="0" applyAlignment="0" applyProtection="0"/>
    <xf numFmtId="0" fontId="136" fillId="0" borderId="0" applyFont="0" applyFill="0" applyBorder="0" applyAlignment="0" applyProtection="0"/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149" fillId="0" borderId="9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149" fillId="0" borderId="9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150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0" fontId="20" fillId="0" borderId="45" applyNumberFormat="0" applyFill="0" applyAlignment="0" applyProtection="0">
      <alignment vertical="center"/>
    </xf>
    <xf numFmtId="214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51" fillId="0" borderId="0"/>
    <xf numFmtId="0" fontId="15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153" fillId="5" borderId="4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153" fillId="5" borderId="4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154" fillId="5" borderId="4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0" fontId="92" fillId="43" borderId="30" applyNumberFormat="0" applyAlignment="0" applyProtection="0">
      <alignment vertical="center"/>
    </xf>
    <xf numFmtId="4" fontId="128" fillId="0" borderId="0" applyFont="0" applyFill="0" applyBorder="0" applyAlignment="0" applyProtection="0"/>
    <xf numFmtId="215" fontId="31" fillId="0" borderId="0">
      <protection locked="0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155" fillId="0" borderId="1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155" fillId="0" borderId="1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156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87" fillId="0" borderId="34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157" fillId="0" borderId="2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157" fillId="0" borderId="2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158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88" fillId="0" borderId="35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159" fillId="0" borderId="3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159" fillId="0" borderId="3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160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4" fillId="0" borderId="3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89" fillId="0" borderId="36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161" fillId="2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161" fillId="2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162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83" fillId="40" borderId="0" applyNumberFormat="0" applyBorder="0" applyAlignment="0" applyProtection="0">
      <alignment vertical="center"/>
    </xf>
    <xf numFmtId="0" fontId="45" fillId="0" borderId="0" applyFont="0" applyFill="0" applyBorder="0" applyAlignment="0" applyProtection="0"/>
    <xf numFmtId="0" fontId="48" fillId="0" borderId="0">
      <alignment vertical="center"/>
    </xf>
    <xf numFmtId="0" fontId="31" fillId="0" borderId="0"/>
    <xf numFmtId="0" fontId="163" fillId="0" borderId="45" applyNumberFormat="0" applyFill="0" applyAlignment="0" applyProtection="0">
      <alignment vertical="center"/>
    </xf>
    <xf numFmtId="0" fontId="164" fillId="0" borderId="0">
      <alignment vertical="center"/>
    </xf>
    <xf numFmtId="0" fontId="42" fillId="0" borderId="0"/>
    <xf numFmtId="38" fontId="165" fillId="0" borderId="0" applyFont="0" applyFill="0" applyBorder="0" applyAlignment="0" applyProtection="0">
      <alignment vertical="center"/>
    </xf>
    <xf numFmtId="41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166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67" fillId="6" borderId="5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67" fillId="6" borderId="5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68" fillId="6" borderId="5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101" fillId="56" borderId="40" applyNumberFormat="0" applyAlignment="0" applyProtection="0">
      <alignment vertical="center"/>
    </xf>
    <xf numFmtId="0" fontId="31" fillId="0" borderId="0" applyFont="0" applyFill="0" applyBorder="0" applyAlignment="0" applyProtection="0"/>
    <xf numFmtId="0" fontId="169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/>
    <xf numFmtId="0" fontId="48" fillId="0" borderId="0"/>
    <xf numFmtId="42" fontId="131" fillId="0" borderId="0" applyFont="0" applyFill="0" applyBorder="0" applyAlignment="0" applyProtection="0">
      <alignment vertical="center"/>
    </xf>
    <xf numFmtId="0" fontId="31" fillId="0" borderId="0" applyFont="0" applyFill="0" applyBorder="0" applyAlignment="0" applyProtection="0"/>
    <xf numFmtId="0" fontId="34" fillId="0" borderId="0" applyFont="0" applyFill="0" applyBorder="0" applyAlignment="0" applyProtection="0"/>
    <xf numFmtId="0" fontId="34" fillId="0" borderId="0" applyFont="0" applyFill="0" applyBorder="0" applyAlignment="0" applyProtection="0"/>
    <xf numFmtId="216" fontId="31" fillId="0" borderId="0">
      <protection locked="0"/>
    </xf>
    <xf numFmtId="217" fontId="170" fillId="0" borderId="0" applyFill="0" applyBorder="0" applyProtection="0">
      <alignment vertical="center"/>
    </xf>
    <xf numFmtId="218" fontId="171" fillId="0" borderId="0" applyFill="0" applyBorder="0" applyProtection="0">
      <alignment vertical="center"/>
      <protection locked="0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/>
    <xf numFmtId="0" fontId="48" fillId="0" borderId="0"/>
    <xf numFmtId="0" fontId="17" fillId="0" borderId="0">
      <alignment vertical="center"/>
    </xf>
    <xf numFmtId="0" fontId="54" fillId="0" borderId="0">
      <alignment vertical="center"/>
    </xf>
    <xf numFmtId="0" fontId="48" fillId="0" borderId="0"/>
    <xf numFmtId="0" fontId="48" fillId="0" borderId="0"/>
    <xf numFmtId="0" fontId="17" fillId="0" borderId="0">
      <alignment vertical="center"/>
    </xf>
    <xf numFmtId="0" fontId="17" fillId="0" borderId="0">
      <alignment vertical="center"/>
    </xf>
    <xf numFmtId="0" fontId="34" fillId="0" borderId="0"/>
    <xf numFmtId="0" fontId="48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17" fillId="0" borderId="0">
      <alignment vertical="center"/>
    </xf>
    <xf numFmtId="0" fontId="48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4" fillId="0" borderId="0"/>
    <xf numFmtId="0" fontId="34" fillId="0" borderId="0"/>
    <xf numFmtId="0" fontId="24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25" fillId="0" borderId="0">
      <alignment vertical="center"/>
    </xf>
    <xf numFmtId="0" fontId="34" fillId="0" borderId="0"/>
    <xf numFmtId="0" fontId="25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25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17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131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25" fillId="0" borderId="0">
      <alignment vertical="center"/>
    </xf>
    <xf numFmtId="0" fontId="48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1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34" fillId="0" borderId="0"/>
    <xf numFmtId="0" fontId="48" fillId="0" borderId="0">
      <alignment vertical="center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48" fillId="0" borderId="0">
      <alignment vertical="center"/>
    </xf>
    <xf numFmtId="0" fontId="34" fillId="0" borderId="0"/>
    <xf numFmtId="0" fontId="34" fillId="0" borderId="0"/>
    <xf numFmtId="0" fontId="1" fillId="0" borderId="0">
      <alignment vertical="center"/>
    </xf>
    <xf numFmtId="0" fontId="165" fillId="0" borderId="0"/>
    <xf numFmtId="0" fontId="32" fillId="0" borderId="0">
      <alignment vertical="center"/>
    </xf>
    <xf numFmtId="0" fontId="31" fillId="0" borderId="0"/>
    <xf numFmtId="0" fontId="172" fillId="0" borderId="0" applyNumberFormat="0" applyFill="0" applyBorder="0" applyAlignment="0" applyProtection="0">
      <alignment vertical="top"/>
      <protection locked="0"/>
    </xf>
    <xf numFmtId="0" fontId="77" fillId="0" borderId="47">
      <protection locked="0"/>
    </xf>
    <xf numFmtId="38" fontId="165" fillId="0" borderId="0" applyFont="0" applyFill="0" applyBorder="0" applyAlignment="0" applyProtection="0">
      <alignment vertical="center"/>
    </xf>
    <xf numFmtId="219" fontId="128" fillId="0" borderId="0" applyFont="0" applyFill="0" applyBorder="0" applyAlignment="0" applyProtection="0"/>
    <xf numFmtId="220" fontId="31" fillId="0" borderId="0">
      <protection locked="0"/>
    </xf>
    <xf numFmtId="0" fontId="1" fillId="0" borderId="0">
      <alignment vertical="center"/>
    </xf>
    <xf numFmtId="0" fontId="1" fillId="0" borderId="0">
      <alignment vertical="center"/>
    </xf>
  </cellStyleXfs>
  <cellXfs count="705">
    <xf numFmtId="0" fontId="0" fillId="0" borderId="0" xfId="0">
      <alignment vertical="center"/>
    </xf>
    <xf numFmtId="176" fontId="18" fillId="33" borderId="0" xfId="0" applyNumberFormat="1" applyFont="1" applyFill="1" applyAlignment="1">
      <alignment horizontal="right" vertical="center"/>
    </xf>
    <xf numFmtId="0" fontId="18" fillId="33" borderId="0" xfId="0" applyFont="1" applyFill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0" fillId="33" borderId="0" xfId="0" applyFill="1">
      <alignment vertical="center"/>
    </xf>
    <xf numFmtId="0" fontId="18" fillId="33" borderId="0" xfId="0" applyFont="1" applyFill="1">
      <alignment vertical="center"/>
    </xf>
    <xf numFmtId="0" fontId="18" fillId="33" borderId="0" xfId="0" applyFont="1" applyFill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3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177" fontId="26" fillId="0" borderId="15" xfId="0" applyNumberFormat="1" applyFont="1" applyFill="1" applyBorder="1" applyAlignment="1">
      <alignment horizontal="center" vertical="center"/>
    </xf>
    <xf numFmtId="177" fontId="26" fillId="33" borderId="15" xfId="0" applyNumberFormat="1" applyFont="1" applyFill="1" applyBorder="1" applyAlignment="1">
      <alignment horizontal="center" vertical="center"/>
    </xf>
    <xf numFmtId="180" fontId="25" fillId="33" borderId="23" xfId="0" applyNumberFormat="1" applyFont="1" applyFill="1" applyBorder="1" applyAlignment="1">
      <alignment horizontal="center" vertical="center"/>
    </xf>
    <xf numFmtId="180" fontId="25" fillId="33" borderId="23" xfId="0" applyNumberFormat="1" applyFont="1" applyFill="1" applyBorder="1" applyAlignment="1">
      <alignment horizontal="left" vertical="center"/>
    </xf>
    <xf numFmtId="177" fontId="26" fillId="33" borderId="23" xfId="0" applyNumberFormat="1" applyFont="1" applyFill="1" applyBorder="1" applyAlignment="1">
      <alignment horizontal="center" vertical="center"/>
    </xf>
    <xf numFmtId="182" fontId="26" fillId="33" borderId="23" xfId="0" applyNumberFormat="1" applyFont="1" applyFill="1" applyBorder="1" applyAlignment="1">
      <alignment horizontal="center" vertical="center"/>
    </xf>
    <xf numFmtId="179" fontId="26" fillId="33" borderId="24" xfId="0" quotePrefix="1" applyNumberFormat="1" applyFont="1" applyFill="1" applyBorder="1" applyAlignment="1">
      <alignment horizontal="left" vertical="center"/>
    </xf>
    <xf numFmtId="184" fontId="18" fillId="33" borderId="0" xfId="0" applyNumberFormat="1" applyFont="1" applyFill="1">
      <alignment vertical="center"/>
    </xf>
    <xf numFmtId="185" fontId="18" fillId="33" borderId="0" xfId="0" applyNumberFormat="1" applyFont="1" applyFill="1">
      <alignment vertical="center"/>
    </xf>
    <xf numFmtId="184" fontId="0" fillId="33" borderId="0" xfId="0" applyNumberFormat="1" applyFill="1">
      <alignment vertical="center"/>
    </xf>
    <xf numFmtId="185" fontId="0" fillId="33" borderId="0" xfId="0" applyNumberFormat="1" applyFill="1">
      <alignment vertical="center"/>
    </xf>
    <xf numFmtId="0" fontId="18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0" fillId="34" borderId="17" xfId="0" applyFont="1" applyFill="1" applyBorder="1" applyAlignment="1">
      <alignment horizontal="center" vertical="center"/>
    </xf>
    <xf numFmtId="49" fontId="20" fillId="34" borderId="18" xfId="0" applyNumberFormat="1" applyFont="1" applyFill="1" applyBorder="1" applyAlignment="1">
      <alignment horizontal="center" vertical="center"/>
    </xf>
    <xf numFmtId="0" fontId="20" fillId="34" borderId="18" xfId="0" applyFont="1" applyFill="1" applyBorder="1" applyAlignment="1">
      <alignment horizontal="center" vertical="center"/>
    </xf>
    <xf numFmtId="184" fontId="20" fillId="34" borderId="18" xfId="0" applyNumberFormat="1" applyFont="1" applyFill="1" applyBorder="1" applyAlignment="1">
      <alignment horizontal="center" vertical="center"/>
    </xf>
    <xf numFmtId="185" fontId="20" fillId="34" borderId="18" xfId="0" applyNumberFormat="1" applyFont="1" applyFill="1" applyBorder="1" applyAlignment="1">
      <alignment horizontal="center" vertical="center"/>
    </xf>
    <xf numFmtId="185" fontId="22" fillId="34" borderId="18" xfId="0" applyNumberFormat="1" applyFont="1" applyFill="1" applyBorder="1" applyAlignment="1">
      <alignment horizontal="center" vertical="center"/>
    </xf>
    <xf numFmtId="184" fontId="22" fillId="34" borderId="18" xfId="0" applyNumberFormat="1" applyFont="1" applyFill="1" applyBorder="1" applyAlignment="1">
      <alignment horizontal="center" vertical="center"/>
    </xf>
    <xf numFmtId="178" fontId="22" fillId="34" borderId="18" xfId="0" applyNumberFormat="1" applyFont="1" applyFill="1" applyBorder="1" applyAlignment="1">
      <alignment horizontal="center" vertical="center" wrapText="1"/>
    </xf>
    <xf numFmtId="179" fontId="22" fillId="34" borderId="19" xfId="0" applyNumberFormat="1" applyFont="1" applyFill="1" applyBorder="1" applyAlignment="1">
      <alignment horizontal="center" vertical="center" wrapText="1"/>
    </xf>
    <xf numFmtId="180" fontId="25" fillId="37" borderId="15" xfId="0" quotePrefix="1" applyNumberFormat="1" applyFont="1" applyFill="1" applyBorder="1" applyAlignment="1">
      <alignment horizontal="center" vertical="center"/>
    </xf>
    <xf numFmtId="179" fontId="26" fillId="33" borderId="16" xfId="0" quotePrefix="1" applyNumberFormat="1" applyFont="1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80" fontId="25" fillId="37" borderId="28" xfId="0" quotePrefix="1" applyNumberFormat="1" applyFont="1" applyFill="1" applyBorder="1" applyAlignment="1">
      <alignment horizontal="center" vertical="center"/>
    </xf>
    <xf numFmtId="177" fontId="26" fillId="0" borderId="28" xfId="0" applyNumberFormat="1" applyFont="1" applyFill="1" applyBorder="1" applyAlignment="1">
      <alignment horizontal="center" vertical="center"/>
    </xf>
    <xf numFmtId="177" fontId="26" fillId="33" borderId="28" xfId="0" applyNumberFormat="1" applyFont="1" applyFill="1" applyBorder="1" applyAlignment="1">
      <alignment horizontal="center" vertical="center"/>
    </xf>
    <xf numFmtId="0" fontId="0" fillId="33" borderId="29" xfId="0" applyFill="1" applyBorder="1" applyAlignment="1">
      <alignment horizontal="center" vertical="center"/>
    </xf>
    <xf numFmtId="180" fontId="25" fillId="36" borderId="15" xfId="0" quotePrefix="1" applyNumberFormat="1" applyFont="1" applyFill="1" applyBorder="1" applyAlignment="1">
      <alignment horizontal="center" vertical="center"/>
    </xf>
    <xf numFmtId="177" fontId="26" fillId="35" borderId="15" xfId="0" applyNumberFormat="1" applyFont="1" applyFill="1" applyBorder="1" applyAlignment="1">
      <alignment horizontal="center" vertical="center"/>
    </xf>
    <xf numFmtId="181" fontId="0" fillId="33" borderId="0" xfId="1" applyNumberFormat="1" applyFont="1" applyFill="1">
      <alignment vertical="center"/>
    </xf>
    <xf numFmtId="0" fontId="25" fillId="33" borderId="0" xfId="0" applyFont="1" applyFill="1" applyAlignment="1">
      <alignment horizontal="left" vertical="center"/>
    </xf>
    <xf numFmtId="0" fontId="24" fillId="34" borderId="17" xfId="0" applyFont="1" applyFill="1" applyBorder="1" applyAlignment="1">
      <alignment horizontal="center" vertical="center"/>
    </xf>
    <xf numFmtId="0" fontId="24" fillId="34" borderId="48" xfId="0" applyFont="1" applyFill="1" applyBorder="1" applyAlignment="1">
      <alignment horizontal="center" vertical="center"/>
    </xf>
    <xf numFmtId="0" fontId="24" fillId="34" borderId="18" xfId="0" applyFont="1" applyFill="1" applyBorder="1" applyAlignment="1">
      <alignment horizontal="center" vertical="center"/>
    </xf>
    <xf numFmtId="177" fontId="176" fillId="34" borderId="18" xfId="0" applyNumberFormat="1" applyFont="1" applyFill="1" applyBorder="1" applyAlignment="1">
      <alignment horizontal="center" vertical="center"/>
    </xf>
    <xf numFmtId="178" fontId="176" fillId="34" borderId="18" xfId="0" applyNumberFormat="1" applyFont="1" applyFill="1" applyBorder="1" applyAlignment="1">
      <alignment horizontal="center" vertical="center"/>
    </xf>
    <xf numFmtId="178" fontId="176" fillId="34" borderId="49" xfId="0" applyNumberFormat="1" applyFont="1" applyFill="1" applyBorder="1" applyAlignment="1">
      <alignment horizontal="center" vertical="center" wrapText="1"/>
    </xf>
    <xf numFmtId="179" fontId="176" fillId="34" borderId="19" xfId="0" applyNumberFormat="1" applyFont="1" applyFill="1" applyBorder="1" applyAlignment="1">
      <alignment horizontal="center" vertical="center"/>
    </xf>
    <xf numFmtId="0" fontId="24" fillId="34" borderId="12" xfId="0" applyFont="1" applyFill="1" applyBorder="1" applyAlignment="1">
      <alignment horizontal="center" vertical="center"/>
    </xf>
    <xf numFmtId="0" fontId="24" fillId="34" borderId="13" xfId="0" applyFont="1" applyFill="1" applyBorder="1" applyAlignment="1">
      <alignment horizontal="center" vertical="center"/>
    </xf>
    <xf numFmtId="177" fontId="176" fillId="34" borderId="13" xfId="0" applyNumberFormat="1" applyFont="1" applyFill="1" applyBorder="1" applyAlignment="1">
      <alignment horizontal="center" vertical="center"/>
    </xf>
    <xf numFmtId="178" fontId="176" fillId="34" borderId="13" xfId="0" applyNumberFormat="1" applyFont="1" applyFill="1" applyBorder="1" applyAlignment="1">
      <alignment horizontal="center" vertical="center"/>
    </xf>
    <xf numFmtId="178" fontId="176" fillId="34" borderId="13" xfId="0" applyNumberFormat="1" applyFont="1" applyFill="1" applyBorder="1" applyAlignment="1">
      <alignment horizontal="center" vertical="center" wrapText="1"/>
    </xf>
    <xf numFmtId="179" fontId="176" fillId="34" borderId="14" xfId="0" applyNumberFormat="1" applyFont="1" applyFill="1" applyBorder="1" applyAlignment="1">
      <alignment horizontal="center" vertical="center"/>
    </xf>
    <xf numFmtId="180" fontId="25" fillId="33" borderId="10" xfId="0" applyNumberFormat="1" applyFont="1" applyFill="1" applyBorder="1" applyAlignment="1">
      <alignment horizontal="left" vertical="center"/>
    </xf>
    <xf numFmtId="180" fontId="25" fillId="33" borderId="10" xfId="0" applyNumberFormat="1" applyFont="1" applyFill="1" applyBorder="1" applyAlignment="1">
      <alignment horizontal="center" vertical="center"/>
    </xf>
    <xf numFmtId="177" fontId="26" fillId="33" borderId="10" xfId="0" applyNumberFormat="1" applyFont="1" applyFill="1" applyBorder="1" applyAlignment="1">
      <alignment horizontal="center" vertical="center"/>
    </xf>
    <xf numFmtId="182" fontId="26" fillId="33" borderId="10" xfId="0" applyNumberFormat="1" applyFont="1" applyFill="1" applyBorder="1" applyAlignment="1">
      <alignment horizontal="center" vertical="center"/>
    </xf>
    <xf numFmtId="177" fontId="26" fillId="33" borderId="25" xfId="0" applyNumberFormat="1" applyFont="1" applyFill="1" applyBorder="1" applyAlignment="1">
      <alignment horizontal="center" vertical="center"/>
    </xf>
    <xf numFmtId="179" fontId="26" fillId="33" borderId="11" xfId="0" quotePrefix="1" applyNumberFormat="1" applyFont="1" applyFill="1" applyBorder="1" applyAlignment="1">
      <alignment horizontal="center" vertical="center"/>
    </xf>
    <xf numFmtId="177" fontId="26" fillId="33" borderId="50" xfId="0" applyNumberFormat="1" applyFont="1" applyFill="1" applyBorder="1" applyAlignment="1">
      <alignment horizontal="center" vertical="center"/>
    </xf>
    <xf numFmtId="179" fontId="26" fillId="33" borderId="11" xfId="0" quotePrefix="1" applyNumberFormat="1" applyFont="1" applyFill="1" applyBorder="1" applyAlignment="1">
      <alignment horizontal="left" vertical="center"/>
    </xf>
    <xf numFmtId="49" fontId="18" fillId="33" borderId="0" xfId="0" applyNumberFormat="1" applyFont="1" applyFill="1">
      <alignment vertical="center"/>
    </xf>
    <xf numFmtId="183" fontId="0" fillId="33" borderId="0" xfId="0" applyNumberFormat="1" applyFill="1">
      <alignment vertical="center"/>
    </xf>
    <xf numFmtId="49" fontId="0" fillId="33" borderId="0" xfId="0" applyNumberFormat="1" applyFill="1">
      <alignment vertical="center"/>
    </xf>
    <xf numFmtId="183" fontId="18" fillId="33" borderId="0" xfId="0" applyNumberFormat="1" applyFont="1" applyFill="1">
      <alignment vertical="center"/>
    </xf>
    <xf numFmtId="49" fontId="20" fillId="37" borderId="13" xfId="0" applyNumberFormat="1" applyFont="1" applyFill="1" applyBorder="1" applyAlignment="1">
      <alignment horizontal="center" vertical="center"/>
    </xf>
    <xf numFmtId="0" fontId="20" fillId="37" borderId="13" xfId="0" applyFont="1" applyFill="1" applyBorder="1" applyAlignment="1">
      <alignment horizontal="center" vertical="center"/>
    </xf>
    <xf numFmtId="184" fontId="29" fillId="37" borderId="13" xfId="0" applyNumberFormat="1" applyFont="1" applyFill="1" applyBorder="1" applyAlignment="1">
      <alignment horizontal="center" vertical="center"/>
    </xf>
    <xf numFmtId="185" fontId="29" fillId="37" borderId="13" xfId="0" applyNumberFormat="1" applyFont="1" applyFill="1" applyBorder="1" applyAlignment="1">
      <alignment horizontal="center" vertical="center"/>
    </xf>
    <xf numFmtId="177" fontId="29" fillId="37" borderId="13" xfId="0" applyNumberFormat="1" applyFont="1" applyFill="1" applyBorder="1" applyAlignment="1">
      <alignment horizontal="center" vertical="center"/>
    </xf>
    <xf numFmtId="179" fontId="18" fillId="37" borderId="14" xfId="0" applyNumberFormat="1" applyFont="1" applyFill="1" applyBorder="1" applyAlignment="1">
      <alignment horizontal="center" vertical="center"/>
    </xf>
    <xf numFmtId="49" fontId="24" fillId="37" borderId="10" xfId="0" applyNumberFormat="1" applyFont="1" applyFill="1" applyBorder="1" applyAlignment="1">
      <alignment horizontal="center" vertical="center"/>
    </xf>
    <xf numFmtId="180" fontId="25" fillId="37" borderId="10" xfId="0" quotePrefix="1" applyNumberFormat="1" applyFont="1" applyFill="1" applyBorder="1" applyAlignment="1">
      <alignment horizontal="center" vertical="center"/>
    </xf>
    <xf numFmtId="184" fontId="26" fillId="35" borderId="26" xfId="0" applyNumberFormat="1" applyFont="1" applyFill="1" applyBorder="1" applyAlignment="1">
      <alignment horizontal="center" vertical="center"/>
    </xf>
    <xf numFmtId="184" fontId="26" fillId="33" borderId="26" xfId="0" applyNumberFormat="1" applyFont="1" applyFill="1" applyBorder="1" applyAlignment="1">
      <alignment horizontal="center" vertical="center"/>
    </xf>
    <xf numFmtId="185" fontId="26" fillId="33" borderId="26" xfId="0" applyNumberFormat="1" applyFont="1" applyFill="1" applyBorder="1" applyAlignment="1">
      <alignment horizontal="center" vertical="center"/>
    </xf>
    <xf numFmtId="177" fontId="26" fillId="0" borderId="26" xfId="0" applyNumberFormat="1" applyFont="1" applyFill="1" applyBorder="1" applyAlignment="1">
      <alignment horizontal="center" vertical="center"/>
    </xf>
    <xf numFmtId="177" fontId="26" fillId="33" borderId="26" xfId="0" applyNumberFormat="1" applyFont="1" applyFill="1" applyBorder="1" applyAlignment="1">
      <alignment horizontal="center" vertical="center"/>
    </xf>
    <xf numFmtId="179" fontId="26" fillId="33" borderId="52" xfId="0" quotePrefix="1" applyNumberFormat="1" applyFont="1" applyFill="1" applyBorder="1" applyAlignment="1">
      <alignment horizontal="center" vertical="center"/>
    </xf>
    <xf numFmtId="49" fontId="24" fillId="37" borderId="15" xfId="0" applyNumberFormat="1" applyFont="1" applyFill="1" applyBorder="1" applyAlignment="1">
      <alignment horizontal="center" vertical="center"/>
    </xf>
    <xf numFmtId="184" fontId="26" fillId="33" borderId="15" xfId="0" applyNumberFormat="1" applyFont="1" applyFill="1" applyBorder="1" applyAlignment="1">
      <alignment horizontal="center" vertical="center"/>
    </xf>
    <xf numFmtId="185" fontId="26" fillId="33" borderId="15" xfId="0" applyNumberFormat="1" applyFont="1" applyFill="1" applyBorder="1" applyAlignment="1">
      <alignment horizontal="center" vertical="center"/>
    </xf>
    <xf numFmtId="49" fontId="24" fillId="37" borderId="23" xfId="0" applyNumberFormat="1" applyFont="1" applyFill="1" applyBorder="1" applyAlignment="1">
      <alignment horizontal="center" vertical="center"/>
    </xf>
    <xf numFmtId="180" fontId="25" fillId="37" borderId="23" xfId="0" quotePrefix="1" applyNumberFormat="1" applyFont="1" applyFill="1" applyBorder="1" applyAlignment="1">
      <alignment horizontal="center" vertical="center"/>
    </xf>
    <xf numFmtId="184" fontId="26" fillId="35" borderId="23" xfId="0" applyNumberFormat="1" applyFont="1" applyFill="1" applyBorder="1" applyAlignment="1">
      <alignment horizontal="center" vertical="center"/>
    </xf>
    <xf numFmtId="184" fontId="26" fillId="33" borderId="23" xfId="0" applyNumberFormat="1" applyFont="1" applyFill="1" applyBorder="1" applyAlignment="1">
      <alignment horizontal="center" vertical="center"/>
    </xf>
    <xf numFmtId="185" fontId="26" fillId="33" borderId="23" xfId="0" applyNumberFormat="1" applyFont="1" applyFill="1" applyBorder="1" applyAlignment="1">
      <alignment horizontal="center" vertical="center"/>
    </xf>
    <xf numFmtId="177" fontId="26" fillId="0" borderId="23" xfId="0" applyNumberFormat="1" applyFont="1" applyFill="1" applyBorder="1" applyAlignment="1">
      <alignment horizontal="center" vertical="center"/>
    </xf>
    <xf numFmtId="0" fontId="0" fillId="33" borderId="24" xfId="0" applyFill="1" applyBorder="1" applyAlignment="1">
      <alignment horizontal="center" vertical="center"/>
    </xf>
    <xf numFmtId="184" fontId="26" fillId="33" borderId="10" xfId="0" applyNumberFormat="1" applyFont="1" applyFill="1" applyBorder="1" applyAlignment="1">
      <alignment horizontal="center" vertical="center"/>
    </xf>
    <xf numFmtId="185" fontId="26" fillId="33" borderId="10" xfId="0" applyNumberFormat="1" applyFont="1" applyFill="1" applyBorder="1" applyAlignment="1">
      <alignment horizontal="center" vertical="center"/>
    </xf>
    <xf numFmtId="177" fontId="26" fillId="0" borderId="10" xfId="0" applyNumberFormat="1" applyFont="1" applyFill="1" applyBorder="1" applyAlignment="1">
      <alignment horizontal="center" vertical="center"/>
    </xf>
    <xf numFmtId="0" fontId="0" fillId="33" borderId="11" xfId="0" applyFill="1" applyBorder="1" applyAlignment="1">
      <alignment horizontal="center" vertical="center"/>
    </xf>
    <xf numFmtId="184" fontId="26" fillId="35" borderId="15" xfId="0" applyNumberFormat="1" applyFont="1" applyFill="1" applyBorder="1" applyAlignment="1">
      <alignment horizontal="center" vertical="center"/>
    </xf>
    <xf numFmtId="49" fontId="24" fillId="37" borderId="28" xfId="0" applyNumberFormat="1" applyFont="1" applyFill="1" applyBorder="1" applyAlignment="1">
      <alignment horizontal="center" vertical="center"/>
    </xf>
    <xf numFmtId="49" fontId="20" fillId="36" borderId="13" xfId="0" applyNumberFormat="1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184" fontId="29" fillId="36" borderId="13" xfId="0" applyNumberFormat="1" applyFont="1" applyFill="1" applyBorder="1" applyAlignment="1">
      <alignment horizontal="center" vertical="center"/>
    </xf>
    <xf numFmtId="185" fontId="29" fillId="36" borderId="13" xfId="0" applyNumberFormat="1" applyFont="1" applyFill="1" applyBorder="1" applyAlignment="1">
      <alignment horizontal="center" vertical="center"/>
    </xf>
    <xf numFmtId="177" fontId="29" fillId="36" borderId="13" xfId="0" applyNumberFormat="1" applyFont="1" applyFill="1" applyBorder="1" applyAlignment="1">
      <alignment horizontal="center" vertical="center"/>
    </xf>
    <xf numFmtId="179" fontId="18" fillId="36" borderId="14" xfId="0" applyNumberFormat="1" applyFont="1" applyFill="1" applyBorder="1" applyAlignment="1">
      <alignment horizontal="center" vertical="center"/>
    </xf>
    <xf numFmtId="49" fontId="24" fillId="36" borderId="26" xfId="0" applyNumberFormat="1" applyFont="1" applyFill="1" applyBorder="1" applyAlignment="1">
      <alignment horizontal="center" vertical="center"/>
    </xf>
    <xf numFmtId="180" fontId="25" fillId="36" borderId="26" xfId="0" quotePrefix="1" applyNumberFormat="1" applyFont="1" applyFill="1" applyBorder="1" applyAlignment="1">
      <alignment horizontal="center" vertical="center"/>
    </xf>
    <xf numFmtId="49" fontId="24" fillId="36" borderId="15" xfId="0" applyNumberFormat="1" applyFont="1" applyFill="1" applyBorder="1" applyAlignment="1">
      <alignment horizontal="center" vertical="center"/>
    </xf>
    <xf numFmtId="49" fontId="24" fillId="36" borderId="23" xfId="0" applyNumberFormat="1" applyFont="1" applyFill="1" applyBorder="1" applyAlignment="1">
      <alignment horizontal="center" vertical="center"/>
    </xf>
    <xf numFmtId="180" fontId="25" fillId="36" borderId="23" xfId="0" quotePrefix="1" applyNumberFormat="1" applyFont="1" applyFill="1" applyBorder="1" applyAlignment="1">
      <alignment horizontal="center" vertical="center"/>
    </xf>
    <xf numFmtId="49" fontId="24" fillId="36" borderId="10" xfId="0" applyNumberFormat="1" applyFont="1" applyFill="1" applyBorder="1" applyAlignment="1">
      <alignment horizontal="center" vertical="center"/>
    </xf>
    <xf numFmtId="180" fontId="25" fillId="36" borderId="10" xfId="0" quotePrefix="1" applyNumberFormat="1" applyFont="1" applyFill="1" applyBorder="1" applyAlignment="1">
      <alignment horizontal="center" vertical="center"/>
    </xf>
    <xf numFmtId="184" fontId="26" fillId="35" borderId="10" xfId="0" applyNumberFormat="1" applyFont="1" applyFill="1" applyBorder="1" applyAlignment="1">
      <alignment horizontal="center" vertical="center"/>
    </xf>
    <xf numFmtId="181" fontId="28" fillId="33" borderId="12" xfId="1" applyNumberFormat="1" applyFont="1" applyFill="1" applyBorder="1">
      <alignment vertical="center"/>
    </xf>
    <xf numFmtId="181" fontId="28" fillId="33" borderId="13" xfId="1" applyNumberFormat="1" applyFont="1" applyFill="1" applyBorder="1" applyAlignment="1">
      <alignment horizontal="center" vertical="center"/>
    </xf>
    <xf numFmtId="181" fontId="28" fillId="0" borderId="13" xfId="1" applyNumberFormat="1" applyFont="1" applyFill="1" applyBorder="1" applyAlignment="1">
      <alignment horizontal="center" vertical="center"/>
    </xf>
    <xf numFmtId="181" fontId="28" fillId="33" borderId="14" xfId="1" applyNumberFormat="1" applyFont="1" applyFill="1" applyBorder="1" applyAlignment="1">
      <alignment horizontal="center" vertical="center"/>
    </xf>
    <xf numFmtId="49" fontId="20" fillId="34" borderId="13" xfId="0" applyNumberFormat="1" applyFont="1" applyFill="1" applyBorder="1" applyAlignment="1">
      <alignment horizontal="center" vertical="center"/>
    </xf>
    <xf numFmtId="184" fontId="20" fillId="34" borderId="13" xfId="0" applyNumberFormat="1" applyFont="1" applyFill="1" applyBorder="1" applyAlignment="1">
      <alignment horizontal="center" vertical="center"/>
    </xf>
    <xf numFmtId="185" fontId="20" fillId="34" borderId="13" xfId="0" applyNumberFormat="1" applyFont="1" applyFill="1" applyBorder="1" applyAlignment="1">
      <alignment horizontal="center" vertical="center"/>
    </xf>
    <xf numFmtId="185" fontId="22" fillId="34" borderId="13" xfId="0" applyNumberFormat="1" applyFont="1" applyFill="1" applyBorder="1" applyAlignment="1">
      <alignment horizontal="center" vertical="center"/>
    </xf>
    <xf numFmtId="184" fontId="22" fillId="34" borderId="13" xfId="0" applyNumberFormat="1" applyFont="1" applyFill="1" applyBorder="1" applyAlignment="1">
      <alignment horizontal="center" vertical="center"/>
    </xf>
    <xf numFmtId="179" fontId="22" fillId="34" borderId="14" xfId="0" applyNumberFormat="1" applyFont="1" applyFill="1" applyBorder="1" applyAlignment="1">
      <alignment horizontal="center" vertical="center" wrapText="1"/>
    </xf>
    <xf numFmtId="49" fontId="20" fillId="0" borderId="13" xfId="0" applyNumberFormat="1" applyFont="1" applyFill="1" applyBorder="1" applyAlignment="1">
      <alignment horizontal="center" vertical="center"/>
    </xf>
    <xf numFmtId="177" fontId="26" fillId="35" borderId="23" xfId="0" applyNumberFormat="1" applyFont="1" applyFill="1" applyBorder="1" applyAlignment="1">
      <alignment horizontal="center" vertical="center"/>
    </xf>
    <xf numFmtId="177" fontId="26" fillId="35" borderId="10" xfId="0" applyNumberFormat="1" applyFont="1" applyFill="1" applyBorder="1" applyAlignment="1">
      <alignment horizontal="center" vertical="center"/>
    </xf>
    <xf numFmtId="184" fontId="26" fillId="36" borderId="15" xfId="0" applyNumberFormat="1" applyFont="1" applyFill="1" applyBorder="1" applyAlignment="1">
      <alignment horizontal="center" vertical="center"/>
    </xf>
    <xf numFmtId="184" fontId="26" fillId="36" borderId="10" xfId="0" applyNumberFormat="1" applyFont="1" applyFill="1" applyBorder="1" applyAlignment="1">
      <alignment horizontal="center" vertical="center"/>
    </xf>
    <xf numFmtId="184" fontId="26" fillId="0" borderId="15" xfId="0" applyNumberFormat="1" applyFont="1" applyFill="1" applyBorder="1" applyAlignment="1">
      <alignment horizontal="center" vertical="center"/>
    </xf>
    <xf numFmtId="184" fontId="26" fillId="0" borderId="23" xfId="0" applyNumberFormat="1" applyFont="1" applyFill="1" applyBorder="1" applyAlignment="1">
      <alignment horizontal="center" vertical="center"/>
    </xf>
    <xf numFmtId="184" fontId="26" fillId="0" borderId="10" xfId="0" applyNumberFormat="1" applyFont="1" applyFill="1" applyBorder="1" applyAlignment="1">
      <alignment horizontal="center" vertical="center"/>
    </xf>
    <xf numFmtId="184" fontId="26" fillId="33" borderId="28" xfId="0" applyNumberFormat="1" applyFont="1" applyFill="1" applyBorder="1" applyAlignment="1">
      <alignment horizontal="center" vertical="center"/>
    </xf>
    <xf numFmtId="185" fontId="26" fillId="33" borderId="28" xfId="0" applyNumberFormat="1" applyFont="1" applyFill="1" applyBorder="1" applyAlignment="1">
      <alignment horizontal="center" vertical="center"/>
    </xf>
    <xf numFmtId="0" fontId="0" fillId="33" borderId="52" xfId="0" applyFill="1" applyBorder="1" applyAlignment="1">
      <alignment horizontal="center" vertical="center"/>
    </xf>
    <xf numFmtId="49" fontId="20" fillId="0" borderId="13" xfId="0" quotePrefix="1" applyNumberFormat="1" applyFont="1" applyFill="1" applyBorder="1" applyAlignment="1">
      <alignment horizontal="center" vertical="center"/>
    </xf>
    <xf numFmtId="180" fontId="25" fillId="0" borderId="10" xfId="0" applyNumberFormat="1" applyFont="1" applyFill="1" applyBorder="1" applyAlignment="1">
      <alignment horizontal="left" vertical="center"/>
    </xf>
    <xf numFmtId="180" fontId="25" fillId="0" borderId="10" xfId="0" applyNumberFormat="1" applyFont="1" applyFill="1" applyBorder="1" applyAlignment="1">
      <alignment horizontal="center" vertical="center"/>
    </xf>
    <xf numFmtId="180" fontId="25" fillId="0" borderId="23" xfId="0" applyNumberFormat="1" applyFont="1" applyFill="1" applyBorder="1" applyAlignment="1">
      <alignment horizontal="left" vertical="center"/>
    </xf>
    <xf numFmtId="180" fontId="25" fillId="0" borderId="23" xfId="0" applyNumberFormat="1" applyFont="1" applyFill="1" applyBorder="1" applyAlignment="1">
      <alignment horizontal="center" vertical="center"/>
    </xf>
    <xf numFmtId="0" fontId="174" fillId="33" borderId="15" xfId="4820" applyFont="1" applyFill="1" applyBorder="1" applyAlignment="1">
      <alignment horizontal="center" vertical="center"/>
    </xf>
    <xf numFmtId="0" fontId="179" fillId="0" borderId="15" xfId="4820" applyFont="1" applyBorder="1" applyAlignment="1">
      <alignment horizontal="center" vertical="center"/>
    </xf>
    <xf numFmtId="0" fontId="179" fillId="36" borderId="15" xfId="4820" applyFont="1" applyFill="1" applyBorder="1" applyAlignment="1">
      <alignment horizontal="center" vertical="center"/>
    </xf>
    <xf numFmtId="180" fontId="179" fillId="36" borderId="15" xfId="4820" applyNumberFormat="1" applyFont="1" applyFill="1" applyBorder="1" applyAlignment="1">
      <alignment horizontal="center" vertical="center"/>
    </xf>
    <xf numFmtId="0" fontId="174" fillId="0" borderId="15" xfId="4820" applyFont="1" applyBorder="1" applyAlignment="1">
      <alignment horizontal="center" vertical="center"/>
    </xf>
    <xf numFmtId="0" fontId="179" fillId="33" borderId="15" xfId="4820" applyFont="1" applyFill="1" applyBorder="1" applyAlignment="1">
      <alignment horizontal="center" vertical="center"/>
    </xf>
    <xf numFmtId="0" fontId="179" fillId="35" borderId="15" xfId="4820" applyFont="1" applyFill="1" applyBorder="1" applyAlignment="1">
      <alignment horizontal="center" vertical="center"/>
    </xf>
    <xf numFmtId="0" fontId="174" fillId="35" borderId="15" xfId="4820" applyFont="1" applyFill="1" applyBorder="1" applyAlignment="1">
      <alignment horizontal="center" vertical="center"/>
    </xf>
    <xf numFmtId="0" fontId="174" fillId="33" borderId="0" xfId="4820" applyFont="1" applyFill="1" applyBorder="1" applyAlignment="1">
      <alignment horizontal="center" vertical="center"/>
    </xf>
    <xf numFmtId="0" fontId="174" fillId="33" borderId="0" xfId="4820" applyFont="1" applyFill="1" applyAlignment="1">
      <alignment horizontal="center" vertical="center"/>
    </xf>
    <xf numFmtId="0" fontId="179" fillId="0" borderId="0" xfId="4820" applyFont="1" applyAlignment="1">
      <alignment horizontal="center" vertical="center"/>
    </xf>
    <xf numFmtId="0" fontId="177" fillId="33" borderId="15" xfId="4820" applyFont="1" applyFill="1" applyBorder="1" applyAlignment="1">
      <alignment horizontal="center" vertical="center"/>
    </xf>
    <xf numFmtId="49" fontId="177" fillId="33" borderId="15" xfId="4820" applyNumberFormat="1" applyFont="1" applyFill="1" applyBorder="1" applyAlignment="1">
      <alignment horizontal="center" vertical="center"/>
    </xf>
    <xf numFmtId="221" fontId="0" fillId="33" borderId="0" xfId="0" applyNumberFormat="1" applyFill="1">
      <alignment vertical="center"/>
    </xf>
    <xf numFmtId="221" fontId="177" fillId="33" borderId="15" xfId="4820" applyNumberFormat="1" applyFont="1" applyFill="1" applyBorder="1" applyAlignment="1">
      <alignment horizontal="center" vertical="center"/>
    </xf>
    <xf numFmtId="221" fontId="179" fillId="0" borderId="15" xfId="4820" applyNumberFormat="1" applyFont="1" applyBorder="1" applyAlignment="1">
      <alignment horizontal="center" vertical="center"/>
    </xf>
    <xf numFmtId="221" fontId="179" fillId="36" borderId="15" xfId="4820" applyNumberFormat="1" applyFont="1" applyFill="1" applyBorder="1" applyAlignment="1">
      <alignment horizontal="center" vertical="center"/>
    </xf>
    <xf numFmtId="221" fontId="179" fillId="33" borderId="15" xfId="4820" applyNumberFormat="1" applyFont="1" applyFill="1" applyBorder="1" applyAlignment="1">
      <alignment horizontal="center" vertical="center"/>
    </xf>
    <xf numFmtId="221" fontId="179" fillId="0" borderId="0" xfId="4820" applyNumberFormat="1" applyFont="1" applyAlignment="1">
      <alignment horizontal="center" vertical="center"/>
    </xf>
    <xf numFmtId="221" fontId="179" fillId="35" borderId="15" xfId="4820" applyNumberFormat="1" applyFont="1" applyFill="1" applyBorder="1" applyAlignment="1">
      <alignment horizontal="center" vertical="center"/>
    </xf>
    <xf numFmtId="221" fontId="174" fillId="0" borderId="15" xfId="4820" applyNumberFormat="1" applyFont="1" applyBorder="1" applyAlignment="1">
      <alignment horizontal="center" vertical="center"/>
    </xf>
    <xf numFmtId="0" fontId="177" fillId="33" borderId="0" xfId="4820" applyFont="1" applyFill="1" applyAlignment="1">
      <alignment horizontal="center" vertical="center"/>
    </xf>
    <xf numFmtId="221" fontId="174" fillId="33" borderId="15" xfId="4820" applyNumberFormat="1" applyFont="1" applyFill="1" applyBorder="1" applyAlignment="1">
      <alignment horizontal="center" vertical="center"/>
    </xf>
    <xf numFmtId="221" fontId="174" fillId="36" borderId="15" xfId="4820" applyNumberFormat="1" applyFont="1" applyFill="1" applyBorder="1" applyAlignment="1">
      <alignment horizontal="center" vertical="center"/>
    </xf>
    <xf numFmtId="221" fontId="174" fillId="33" borderId="0" xfId="4820" applyNumberFormat="1" applyFont="1" applyFill="1" applyAlignment="1">
      <alignment horizontal="center" vertical="center"/>
    </xf>
    <xf numFmtId="221" fontId="174" fillId="35" borderId="15" xfId="4820" applyNumberFormat="1" applyFont="1" applyFill="1" applyBorder="1" applyAlignment="1">
      <alignment horizontal="center" vertical="center"/>
    </xf>
    <xf numFmtId="0" fontId="182" fillId="34" borderId="48" xfId="0" applyFont="1" applyFill="1" applyBorder="1" applyAlignment="1">
      <alignment horizontal="center" vertical="center"/>
    </xf>
    <xf numFmtId="180" fontId="181" fillId="33" borderId="0" xfId="0" applyNumberFormat="1" applyFont="1" applyFill="1" applyBorder="1" applyAlignment="1">
      <alignment horizontal="left" vertical="center"/>
    </xf>
    <xf numFmtId="0" fontId="0" fillId="33" borderId="0" xfId="0" applyFont="1" applyFill="1">
      <alignment vertical="center"/>
    </xf>
    <xf numFmtId="182" fontId="26" fillId="0" borderId="10" xfId="0" applyNumberFormat="1" applyFont="1" applyFill="1" applyBorder="1" applyAlignment="1">
      <alignment horizontal="center" vertical="center"/>
    </xf>
    <xf numFmtId="177" fontId="26" fillId="0" borderId="25" xfId="0" applyNumberFormat="1" applyFont="1" applyFill="1" applyBorder="1" applyAlignment="1">
      <alignment horizontal="center" vertical="center"/>
    </xf>
    <xf numFmtId="179" fontId="26" fillId="0" borderId="11" xfId="0" quotePrefix="1" applyNumberFormat="1" applyFont="1" applyFill="1" applyBorder="1" applyAlignment="1">
      <alignment horizontal="center" vertical="center"/>
    </xf>
    <xf numFmtId="182" fontId="26" fillId="0" borderId="23" xfId="0" applyNumberFormat="1" applyFont="1" applyFill="1" applyBorder="1" applyAlignment="1">
      <alignment horizontal="center" vertical="center"/>
    </xf>
    <xf numFmtId="177" fontId="26" fillId="0" borderId="50" xfId="0" applyNumberFormat="1" applyFont="1" applyFill="1" applyBorder="1" applyAlignment="1">
      <alignment horizontal="center" vertical="center"/>
    </xf>
    <xf numFmtId="179" fontId="26" fillId="0" borderId="24" xfId="0" quotePrefix="1" applyNumberFormat="1" applyFont="1" applyFill="1" applyBorder="1" applyAlignment="1">
      <alignment horizontal="left" vertical="center"/>
    </xf>
    <xf numFmtId="177" fontId="26" fillId="80" borderId="10" xfId="0" applyNumberFormat="1" applyFont="1" applyFill="1" applyBorder="1" applyAlignment="1">
      <alignment horizontal="center" vertical="center"/>
    </xf>
    <xf numFmtId="177" fontId="26" fillId="80" borderId="23" xfId="0" applyNumberFormat="1" applyFont="1" applyFill="1" applyBorder="1" applyAlignment="1">
      <alignment horizontal="center" vertical="center"/>
    </xf>
    <xf numFmtId="221" fontId="182" fillId="0" borderId="18" xfId="0" quotePrefix="1" applyNumberFormat="1" applyFont="1" applyFill="1" applyBorder="1" applyAlignment="1">
      <alignment vertical="center"/>
    </xf>
    <xf numFmtId="221" fontId="182" fillId="33" borderId="18" xfId="0" quotePrefix="1" applyNumberFormat="1" applyFont="1" applyFill="1" applyBorder="1" applyAlignment="1">
      <alignment vertical="center"/>
    </xf>
    <xf numFmtId="0" fontId="180" fillId="0" borderId="0" xfId="0" applyFont="1">
      <alignment vertical="center"/>
    </xf>
    <xf numFmtId="183" fontId="0" fillId="33" borderId="0" xfId="0" applyNumberFormat="1" applyFill="1" applyAlignment="1">
      <alignment horizontal="left" vertical="center"/>
    </xf>
    <xf numFmtId="0" fontId="0" fillId="35" borderId="0" xfId="0" applyFill="1">
      <alignment vertical="center"/>
    </xf>
    <xf numFmtId="0" fontId="18" fillId="35" borderId="0" xfId="0" applyFont="1" applyFill="1">
      <alignment vertical="center"/>
    </xf>
    <xf numFmtId="181" fontId="0" fillId="35" borderId="0" xfId="1" applyNumberFormat="1" applyFont="1" applyFill="1">
      <alignment vertical="center"/>
    </xf>
    <xf numFmtId="181" fontId="28" fillId="33" borderId="0" xfId="1" applyNumberFormat="1" applyFont="1" applyFill="1" applyBorder="1" applyAlignment="1">
      <alignment horizontal="center" vertical="center"/>
    </xf>
    <xf numFmtId="181" fontId="28" fillId="33" borderId="0" xfId="1" applyNumberFormat="1" applyFont="1" applyFill="1" applyBorder="1">
      <alignment vertical="center"/>
    </xf>
    <xf numFmtId="181" fontId="28" fillId="0" borderId="0" xfId="1" applyNumberFormat="1" applyFont="1" applyFill="1" applyBorder="1" applyAlignment="1">
      <alignment horizontal="center" vertical="center"/>
    </xf>
    <xf numFmtId="0" fontId="24" fillId="80" borderId="12" xfId="0" applyFont="1" applyFill="1" applyBorder="1" applyAlignment="1">
      <alignment horizontal="center" vertical="center"/>
    </xf>
    <xf numFmtId="0" fontId="24" fillId="37" borderId="56" xfId="0" applyFont="1" applyFill="1" applyBorder="1" applyAlignment="1">
      <alignment horizontal="center" vertical="center"/>
    </xf>
    <xf numFmtId="180" fontId="25" fillId="33" borderId="10" xfId="0" quotePrefix="1" applyNumberFormat="1" applyFont="1" applyFill="1" applyBorder="1" applyAlignment="1">
      <alignment horizontal="center" vertical="center"/>
    </xf>
    <xf numFmtId="222" fontId="26" fillId="33" borderId="10" xfId="0" applyNumberFormat="1" applyFont="1" applyFill="1" applyBorder="1" applyAlignment="1">
      <alignment horizontal="center" vertical="center"/>
    </xf>
    <xf numFmtId="0" fontId="24" fillId="37" borderId="57" xfId="0" applyFont="1" applyFill="1" applyBorder="1" applyAlignment="1">
      <alignment horizontal="center" vertical="center"/>
    </xf>
    <xf numFmtId="180" fontId="25" fillId="33" borderId="15" xfId="0" applyNumberFormat="1" applyFont="1" applyFill="1" applyBorder="1" applyAlignment="1">
      <alignment horizontal="center" vertical="center"/>
    </xf>
    <xf numFmtId="180" fontId="25" fillId="33" borderId="15" xfId="0" quotePrefix="1" applyNumberFormat="1" applyFont="1" applyFill="1" applyBorder="1" applyAlignment="1">
      <alignment horizontal="center" vertical="center"/>
    </xf>
    <xf numFmtId="222" fontId="26" fillId="33" borderId="15" xfId="0" applyNumberFormat="1" applyFont="1" applyFill="1" applyBorder="1" applyAlignment="1">
      <alignment horizontal="center" vertical="center"/>
    </xf>
    <xf numFmtId="182" fontId="26" fillId="33" borderId="15" xfId="0" applyNumberFormat="1" applyFont="1" applyFill="1" applyBorder="1" applyAlignment="1">
      <alignment horizontal="center" vertical="center"/>
    </xf>
    <xf numFmtId="177" fontId="26" fillId="33" borderId="27" xfId="0" applyNumberFormat="1" applyFont="1" applyFill="1" applyBorder="1" applyAlignment="1">
      <alignment horizontal="center" vertical="center"/>
    </xf>
    <xf numFmtId="179" fontId="26" fillId="33" borderId="16" xfId="0" applyNumberFormat="1" applyFont="1" applyFill="1" applyBorder="1" applyAlignment="1">
      <alignment horizontal="center" vertical="center"/>
    </xf>
    <xf numFmtId="0" fontId="0" fillId="33" borderId="15" xfId="0" applyFill="1" applyBorder="1">
      <alignment vertical="center"/>
    </xf>
    <xf numFmtId="0" fontId="0" fillId="33" borderId="16" xfId="0" applyFill="1" applyBorder="1">
      <alignment vertical="center"/>
    </xf>
    <xf numFmtId="0" fontId="24" fillId="37" borderId="58" xfId="0" applyFont="1" applyFill="1" applyBorder="1" applyAlignment="1">
      <alignment horizontal="center" vertical="center"/>
    </xf>
    <xf numFmtId="0" fontId="0" fillId="33" borderId="23" xfId="0" applyFill="1" applyBorder="1">
      <alignment vertical="center"/>
    </xf>
    <xf numFmtId="180" fontId="25" fillId="33" borderId="23" xfId="0" quotePrefix="1" applyNumberFormat="1" applyFont="1" applyFill="1" applyBorder="1" applyAlignment="1">
      <alignment horizontal="center" vertical="center"/>
    </xf>
    <xf numFmtId="222" fontId="26" fillId="33" borderId="23" xfId="0" applyNumberFormat="1" applyFont="1" applyFill="1" applyBorder="1" applyAlignment="1">
      <alignment horizontal="center" vertical="center"/>
    </xf>
    <xf numFmtId="0" fontId="0" fillId="33" borderId="24" xfId="0" applyFill="1" applyBorder="1">
      <alignment vertical="center"/>
    </xf>
    <xf numFmtId="0" fontId="24" fillId="37" borderId="51" xfId="0" applyFont="1" applyFill="1" applyBorder="1" applyAlignment="1">
      <alignment horizontal="center" vertical="center"/>
    </xf>
    <xf numFmtId="0" fontId="0" fillId="33" borderId="59" xfId="0" applyFill="1" applyBorder="1">
      <alignment vertical="center"/>
    </xf>
    <xf numFmtId="180" fontId="18" fillId="33" borderId="59" xfId="0" quotePrefix="1" applyNumberFormat="1" applyFont="1" applyFill="1" applyBorder="1" applyAlignment="1">
      <alignment horizontal="center" vertical="center"/>
    </xf>
    <xf numFmtId="222" fontId="29" fillId="33" borderId="59" xfId="0" applyNumberFormat="1" applyFont="1" applyFill="1" applyBorder="1" applyAlignment="1">
      <alignment horizontal="center" vertical="center"/>
    </xf>
    <xf numFmtId="182" fontId="29" fillId="33" borderId="59" xfId="0" applyNumberFormat="1" applyFont="1" applyFill="1" applyBorder="1" applyAlignment="1">
      <alignment horizontal="center" vertical="center"/>
    </xf>
    <xf numFmtId="177" fontId="29" fillId="33" borderId="59" xfId="0" applyNumberFormat="1" applyFont="1" applyFill="1" applyBorder="1" applyAlignment="1">
      <alignment horizontal="center" vertical="center"/>
    </xf>
    <xf numFmtId="177" fontId="26" fillId="33" borderId="60" xfId="0" applyNumberFormat="1" applyFont="1" applyFill="1" applyBorder="1" applyAlignment="1">
      <alignment horizontal="center" vertical="center"/>
    </xf>
    <xf numFmtId="0" fontId="0" fillId="33" borderId="61" xfId="0" applyFill="1" applyBorder="1">
      <alignment vertical="center"/>
    </xf>
    <xf numFmtId="0" fontId="0" fillId="33" borderId="11" xfId="0" applyFill="1" applyBorder="1">
      <alignment vertical="center"/>
    </xf>
    <xf numFmtId="222" fontId="29" fillId="33" borderId="60" xfId="0" applyNumberFormat="1" applyFont="1" applyFill="1" applyBorder="1" applyAlignment="1">
      <alignment horizontal="center" vertical="center"/>
    </xf>
    <xf numFmtId="0" fontId="24" fillId="36" borderId="56" xfId="0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 vertical="center"/>
    </xf>
    <xf numFmtId="0" fontId="24" fillId="36" borderId="57" xfId="0" applyFont="1" applyFill="1" applyBorder="1" applyAlignment="1">
      <alignment horizontal="center" vertical="center"/>
    </xf>
    <xf numFmtId="0" fontId="24" fillId="36" borderId="58" xfId="0" applyFont="1" applyFill="1" applyBorder="1" applyAlignment="1">
      <alignment horizontal="center" vertical="center"/>
    </xf>
    <xf numFmtId="0" fontId="24" fillId="36" borderId="51" xfId="0" applyFont="1" applyFill="1" applyBorder="1" applyAlignment="1">
      <alignment horizontal="center" vertical="center"/>
    </xf>
    <xf numFmtId="180" fontId="25" fillId="33" borderId="59" xfId="0" quotePrefix="1" applyNumberFormat="1" applyFont="1" applyFill="1" applyBorder="1" applyAlignment="1">
      <alignment horizontal="center" vertical="center"/>
    </xf>
    <xf numFmtId="0" fontId="24" fillId="36" borderId="12" xfId="0" applyFont="1" applyFill="1" applyBorder="1" applyAlignment="1">
      <alignment horizontal="center" vertical="center"/>
    </xf>
    <xf numFmtId="0" fontId="0" fillId="33" borderId="13" xfId="0" applyFill="1" applyBorder="1">
      <alignment vertical="center"/>
    </xf>
    <xf numFmtId="180" fontId="25" fillId="33" borderId="13" xfId="0" quotePrefix="1" applyNumberFormat="1" applyFont="1" applyFill="1" applyBorder="1" applyAlignment="1">
      <alignment horizontal="center" vertical="center"/>
    </xf>
    <xf numFmtId="222" fontId="29" fillId="33" borderId="13" xfId="0" applyNumberFormat="1" applyFont="1" applyFill="1" applyBorder="1" applyAlignment="1">
      <alignment horizontal="center" vertical="center"/>
    </xf>
    <xf numFmtId="182" fontId="29" fillId="33" borderId="13" xfId="0" applyNumberFormat="1" applyFont="1" applyFill="1" applyBorder="1" applyAlignment="1">
      <alignment horizontal="center" vertical="center"/>
    </xf>
    <xf numFmtId="222" fontId="29" fillId="33" borderId="49" xfId="0" applyNumberFormat="1" applyFont="1" applyFill="1" applyBorder="1" applyAlignment="1">
      <alignment horizontal="center" vertical="center"/>
    </xf>
    <xf numFmtId="0" fontId="0" fillId="33" borderId="14" xfId="0" applyFill="1" applyBorder="1">
      <alignment vertical="center"/>
    </xf>
    <xf numFmtId="0" fontId="0" fillId="33" borderId="10" xfId="0" applyFill="1" applyBorder="1">
      <alignment vertical="center"/>
    </xf>
    <xf numFmtId="222" fontId="29" fillId="33" borderId="10" xfId="0" applyNumberFormat="1" applyFont="1" applyFill="1" applyBorder="1" applyAlignment="1">
      <alignment horizontal="center" vertical="center"/>
    </xf>
    <xf numFmtId="182" fontId="29" fillId="33" borderId="10" xfId="0" applyNumberFormat="1" applyFont="1" applyFill="1" applyBorder="1" applyAlignment="1">
      <alignment horizontal="center" vertical="center"/>
    </xf>
    <xf numFmtId="222" fontId="29" fillId="33" borderId="15" xfId="0" applyNumberFormat="1" applyFont="1" applyFill="1" applyBorder="1" applyAlignment="1">
      <alignment horizontal="center" vertical="center"/>
    </xf>
    <xf numFmtId="182" fontId="29" fillId="33" borderId="15" xfId="0" applyNumberFormat="1" applyFont="1" applyFill="1" applyBorder="1" applyAlignment="1">
      <alignment horizontal="center" vertical="center"/>
    </xf>
    <xf numFmtId="222" fontId="29" fillId="33" borderId="23" xfId="0" applyNumberFormat="1" applyFont="1" applyFill="1" applyBorder="1" applyAlignment="1">
      <alignment horizontal="center" vertical="center"/>
    </xf>
    <xf numFmtId="182" fontId="29" fillId="33" borderId="23" xfId="0" applyNumberFormat="1" applyFont="1" applyFill="1" applyBorder="1" applyAlignment="1">
      <alignment horizontal="center" vertical="center"/>
    </xf>
    <xf numFmtId="177" fontId="29" fillId="33" borderId="10" xfId="0" applyNumberFormat="1" applyFont="1" applyFill="1" applyBorder="1" applyAlignment="1">
      <alignment horizontal="center" vertical="center"/>
    </xf>
    <xf numFmtId="177" fontId="29" fillId="33" borderId="15" xfId="0" applyNumberFormat="1" applyFont="1" applyFill="1" applyBorder="1" applyAlignment="1">
      <alignment horizontal="center" vertical="center"/>
    </xf>
    <xf numFmtId="0" fontId="184" fillId="33" borderId="0" xfId="0" applyFont="1" applyFill="1">
      <alignment vertical="center"/>
    </xf>
    <xf numFmtId="0" fontId="184" fillId="33" borderId="15" xfId="0" applyFont="1" applyFill="1" applyBorder="1" applyAlignment="1">
      <alignment horizontal="center" vertical="center"/>
    </xf>
    <xf numFmtId="181" fontId="184" fillId="33" borderId="15" xfId="0" applyNumberFormat="1" applyFont="1" applyFill="1" applyBorder="1" applyAlignment="1">
      <alignment horizontal="center" vertical="center"/>
    </xf>
    <xf numFmtId="0" fontId="184" fillId="33" borderId="15" xfId="0" quotePrefix="1" applyFont="1" applyFill="1" applyBorder="1" applyAlignment="1">
      <alignment horizontal="center" vertical="center"/>
    </xf>
    <xf numFmtId="0" fontId="190" fillId="33" borderId="0" xfId="0" applyFont="1" applyFill="1" applyAlignment="1">
      <alignment horizontal="left" vertical="center"/>
    </xf>
    <xf numFmtId="0" fontId="191" fillId="33" borderId="0" xfId="0" applyFont="1" applyFill="1">
      <alignment vertical="center"/>
    </xf>
    <xf numFmtId="0" fontId="191" fillId="33" borderId="0" xfId="0" applyFont="1" applyFill="1" applyAlignment="1">
      <alignment horizontal="left" vertical="center"/>
    </xf>
    <xf numFmtId="0" fontId="192" fillId="34" borderId="17" xfId="0" applyFont="1" applyFill="1" applyBorder="1" applyAlignment="1">
      <alignment horizontal="center" vertical="center"/>
    </xf>
    <xf numFmtId="0" fontId="192" fillId="34" borderId="48" xfId="0" applyFont="1" applyFill="1" applyBorder="1" applyAlignment="1">
      <alignment horizontal="center" vertical="center"/>
    </xf>
    <xf numFmtId="0" fontId="192" fillId="34" borderId="18" xfId="0" applyFont="1" applyFill="1" applyBorder="1" applyAlignment="1">
      <alignment horizontal="center" vertical="center"/>
    </xf>
    <xf numFmtId="177" fontId="193" fillId="34" borderId="18" xfId="0" applyNumberFormat="1" applyFont="1" applyFill="1" applyBorder="1" applyAlignment="1">
      <alignment horizontal="center" vertical="center"/>
    </xf>
    <xf numFmtId="178" fontId="193" fillId="34" borderId="18" xfId="0" applyNumberFormat="1" applyFont="1" applyFill="1" applyBorder="1" applyAlignment="1">
      <alignment horizontal="center" vertical="center"/>
    </xf>
    <xf numFmtId="178" fontId="193" fillId="34" borderId="49" xfId="0" applyNumberFormat="1" applyFont="1" applyFill="1" applyBorder="1" applyAlignment="1">
      <alignment horizontal="center" vertical="center" wrapText="1"/>
    </xf>
    <xf numFmtId="179" fontId="193" fillId="34" borderId="19" xfId="0" applyNumberFormat="1" applyFont="1" applyFill="1" applyBorder="1" applyAlignment="1">
      <alignment horizontal="center" vertical="center"/>
    </xf>
    <xf numFmtId="0" fontId="192" fillId="34" borderId="12" xfId="0" applyFont="1" applyFill="1" applyBorder="1" applyAlignment="1">
      <alignment horizontal="center" vertical="center"/>
    </xf>
    <xf numFmtId="0" fontId="192" fillId="34" borderId="13" xfId="0" applyFont="1" applyFill="1" applyBorder="1" applyAlignment="1">
      <alignment horizontal="center" vertical="center"/>
    </xf>
    <xf numFmtId="177" fontId="193" fillId="34" borderId="13" xfId="0" applyNumberFormat="1" applyFont="1" applyFill="1" applyBorder="1" applyAlignment="1">
      <alignment horizontal="center" vertical="center"/>
    </xf>
    <xf numFmtId="178" fontId="193" fillId="34" borderId="13" xfId="0" applyNumberFormat="1" applyFont="1" applyFill="1" applyBorder="1" applyAlignment="1">
      <alignment horizontal="center" vertical="center"/>
    </xf>
    <xf numFmtId="178" fontId="193" fillId="34" borderId="13" xfId="0" applyNumberFormat="1" applyFont="1" applyFill="1" applyBorder="1" applyAlignment="1">
      <alignment horizontal="center" vertical="center" wrapText="1"/>
    </xf>
    <xf numFmtId="179" fontId="193" fillId="34" borderId="14" xfId="0" applyNumberFormat="1" applyFont="1" applyFill="1" applyBorder="1" applyAlignment="1">
      <alignment horizontal="center" vertical="center"/>
    </xf>
    <xf numFmtId="0" fontId="192" fillId="0" borderId="48" xfId="0" applyFont="1" applyFill="1" applyBorder="1" applyAlignment="1">
      <alignment horizontal="center" vertical="center"/>
    </xf>
    <xf numFmtId="180" fontId="191" fillId="0" borderId="10" xfId="0" applyNumberFormat="1" applyFont="1" applyFill="1" applyBorder="1" applyAlignment="1">
      <alignment horizontal="left" vertical="center"/>
    </xf>
    <xf numFmtId="180" fontId="191" fillId="0" borderId="10" xfId="0" applyNumberFormat="1" applyFont="1" applyFill="1" applyBorder="1" applyAlignment="1">
      <alignment horizontal="center" vertical="center"/>
    </xf>
    <xf numFmtId="177" fontId="191" fillId="0" borderId="10" xfId="0" applyNumberFormat="1" applyFont="1" applyFill="1" applyBorder="1" applyAlignment="1">
      <alignment horizontal="center" vertical="center"/>
    </xf>
    <xf numFmtId="182" fontId="191" fillId="0" borderId="10" xfId="0" applyNumberFormat="1" applyFont="1" applyFill="1" applyBorder="1" applyAlignment="1">
      <alignment horizontal="center" vertical="center"/>
    </xf>
    <xf numFmtId="177" fontId="191" fillId="0" borderId="25" xfId="0" applyNumberFormat="1" applyFont="1" applyFill="1" applyBorder="1" applyAlignment="1">
      <alignment horizontal="center" vertical="center"/>
    </xf>
    <xf numFmtId="179" fontId="191" fillId="0" borderId="11" xfId="0" quotePrefix="1" applyNumberFormat="1" applyFont="1" applyFill="1" applyBorder="1" applyAlignment="1">
      <alignment horizontal="center" vertical="center"/>
    </xf>
    <xf numFmtId="0" fontId="192" fillId="0" borderId="63" xfId="0" applyFont="1" applyFill="1" applyBorder="1" applyAlignment="1">
      <alignment horizontal="center" vertical="center"/>
    </xf>
    <xf numFmtId="180" fontId="191" fillId="0" borderId="23" xfId="0" applyNumberFormat="1" applyFont="1" applyFill="1" applyBorder="1" applyAlignment="1">
      <alignment horizontal="left" vertical="center"/>
    </xf>
    <xf numFmtId="180" fontId="191" fillId="0" borderId="23" xfId="0" applyNumberFormat="1" applyFont="1" applyFill="1" applyBorder="1" applyAlignment="1">
      <alignment horizontal="center" vertical="center"/>
    </xf>
    <xf numFmtId="177" fontId="191" fillId="0" borderId="23" xfId="0" applyNumberFormat="1" applyFont="1" applyFill="1" applyBorder="1" applyAlignment="1">
      <alignment horizontal="center" vertical="center"/>
    </xf>
    <xf numFmtId="182" fontId="191" fillId="0" borderId="23" xfId="0" applyNumberFormat="1" applyFont="1" applyFill="1" applyBorder="1" applyAlignment="1">
      <alignment horizontal="center" vertical="center"/>
    </xf>
    <xf numFmtId="177" fontId="191" fillId="0" borderId="50" xfId="0" applyNumberFormat="1" applyFont="1" applyFill="1" applyBorder="1" applyAlignment="1">
      <alignment horizontal="center" vertical="center"/>
    </xf>
    <xf numFmtId="179" fontId="191" fillId="0" borderId="24" xfId="0" quotePrefix="1" applyNumberFormat="1" applyFont="1" applyFill="1" applyBorder="1" applyAlignment="1">
      <alignment horizontal="left" vertical="center"/>
    </xf>
    <xf numFmtId="0" fontId="192" fillId="33" borderId="48" xfId="0" applyFont="1" applyFill="1" applyBorder="1" applyAlignment="1">
      <alignment horizontal="center" vertical="center"/>
    </xf>
    <xf numFmtId="180" fontId="191" fillId="33" borderId="10" xfId="0" applyNumberFormat="1" applyFont="1" applyFill="1" applyBorder="1" applyAlignment="1">
      <alignment horizontal="left" vertical="center"/>
    </xf>
    <xf numFmtId="180" fontId="191" fillId="33" borderId="10" xfId="0" applyNumberFormat="1" applyFont="1" applyFill="1" applyBorder="1" applyAlignment="1">
      <alignment horizontal="center" vertical="center"/>
    </xf>
    <xf numFmtId="177" fontId="191" fillId="33" borderId="10" xfId="0" applyNumberFormat="1" applyFont="1" applyFill="1" applyBorder="1" applyAlignment="1">
      <alignment horizontal="center" vertical="center"/>
    </xf>
    <xf numFmtId="182" fontId="191" fillId="33" borderId="10" xfId="0" applyNumberFormat="1" applyFont="1" applyFill="1" applyBorder="1" applyAlignment="1">
      <alignment horizontal="center" vertical="center"/>
    </xf>
    <xf numFmtId="177" fontId="191" fillId="33" borderId="25" xfId="0" applyNumberFormat="1" applyFont="1" applyFill="1" applyBorder="1" applyAlignment="1">
      <alignment horizontal="center" vertical="center"/>
    </xf>
    <xf numFmtId="179" fontId="191" fillId="33" borderId="11" xfId="0" quotePrefix="1" applyNumberFormat="1" applyFont="1" applyFill="1" applyBorder="1" applyAlignment="1">
      <alignment horizontal="center" vertical="center"/>
    </xf>
    <xf numFmtId="0" fontId="192" fillId="33" borderId="63" xfId="0" applyFont="1" applyFill="1" applyBorder="1" applyAlignment="1">
      <alignment horizontal="center" vertical="center"/>
    </xf>
    <xf numFmtId="180" fontId="191" fillId="33" borderId="23" xfId="0" applyNumberFormat="1" applyFont="1" applyFill="1" applyBorder="1" applyAlignment="1">
      <alignment horizontal="center" vertical="center"/>
    </xf>
    <xf numFmtId="177" fontId="191" fillId="33" borderId="23" xfId="0" applyNumberFormat="1" applyFont="1" applyFill="1" applyBorder="1" applyAlignment="1">
      <alignment horizontal="center" vertical="center"/>
    </xf>
    <xf numFmtId="182" fontId="191" fillId="33" borderId="23" xfId="0" applyNumberFormat="1" applyFont="1" applyFill="1" applyBorder="1" applyAlignment="1">
      <alignment horizontal="center" vertical="center"/>
    </xf>
    <xf numFmtId="177" fontId="191" fillId="33" borderId="50" xfId="0" applyNumberFormat="1" applyFont="1" applyFill="1" applyBorder="1" applyAlignment="1">
      <alignment horizontal="center" vertical="center"/>
    </xf>
    <xf numFmtId="179" fontId="191" fillId="33" borderId="24" xfId="0" quotePrefix="1" applyNumberFormat="1" applyFont="1" applyFill="1" applyBorder="1" applyAlignment="1">
      <alignment horizontal="left" vertical="center"/>
    </xf>
    <xf numFmtId="180" fontId="191" fillId="33" borderId="23" xfId="0" applyNumberFormat="1" applyFont="1" applyFill="1" applyBorder="1" applyAlignment="1">
      <alignment horizontal="left" vertical="center"/>
    </xf>
    <xf numFmtId="0" fontId="192" fillId="80" borderId="48" xfId="0" applyFont="1" applyFill="1" applyBorder="1" applyAlignment="1">
      <alignment horizontal="center" vertical="center"/>
    </xf>
    <xf numFmtId="0" fontId="192" fillId="80" borderId="63" xfId="0" applyFont="1" applyFill="1" applyBorder="1" applyAlignment="1">
      <alignment horizontal="center" vertical="center"/>
    </xf>
    <xf numFmtId="179" fontId="194" fillId="33" borderId="11" xfId="0" quotePrefix="1" applyNumberFormat="1" applyFont="1" applyFill="1" applyBorder="1" applyAlignment="1">
      <alignment horizontal="center" vertical="center"/>
    </xf>
    <xf numFmtId="223" fontId="191" fillId="33" borderId="10" xfId="0" applyNumberFormat="1" applyFont="1" applyFill="1" applyBorder="1" applyAlignment="1">
      <alignment horizontal="center" vertical="center"/>
    </xf>
    <xf numFmtId="224" fontId="191" fillId="33" borderId="10" xfId="0" applyNumberFormat="1" applyFont="1" applyFill="1" applyBorder="1" applyAlignment="1">
      <alignment horizontal="center" vertical="center"/>
    </xf>
    <xf numFmtId="223" fontId="191" fillId="33" borderId="23" xfId="0" applyNumberFormat="1" applyFont="1" applyFill="1" applyBorder="1" applyAlignment="1">
      <alignment horizontal="center" vertical="center"/>
    </xf>
    <xf numFmtId="224" fontId="191" fillId="33" borderId="23" xfId="0" applyNumberFormat="1" applyFont="1" applyFill="1" applyBorder="1" applyAlignment="1">
      <alignment horizontal="center" vertical="center"/>
    </xf>
    <xf numFmtId="179" fontId="191" fillId="36" borderId="11" xfId="0" quotePrefix="1" applyNumberFormat="1" applyFont="1" applyFill="1" applyBorder="1" applyAlignment="1">
      <alignment horizontal="center" vertical="center"/>
    </xf>
    <xf numFmtId="180" fontId="191" fillId="33" borderId="10" xfId="0" quotePrefix="1" applyNumberFormat="1" applyFont="1" applyFill="1" applyBorder="1" applyAlignment="1">
      <alignment horizontal="center" vertical="center"/>
    </xf>
    <xf numFmtId="180" fontId="196" fillId="33" borderId="23" xfId="0" applyNumberFormat="1" applyFont="1" applyFill="1" applyBorder="1" applyAlignment="1">
      <alignment horizontal="left" vertical="center"/>
    </xf>
    <xf numFmtId="180" fontId="191" fillId="33" borderId="23" xfId="0" quotePrefix="1" applyNumberFormat="1" applyFont="1" applyFill="1" applyBorder="1" applyAlignment="1">
      <alignment horizontal="center" vertical="center"/>
    </xf>
    <xf numFmtId="0" fontId="192" fillId="33" borderId="64" xfId="0" applyFont="1" applyFill="1" applyBorder="1" applyAlignment="1">
      <alignment horizontal="center" vertical="center"/>
    </xf>
    <xf numFmtId="180" fontId="191" fillId="33" borderId="26" xfId="0" applyNumberFormat="1" applyFont="1" applyFill="1" applyBorder="1" applyAlignment="1">
      <alignment horizontal="left" vertical="center"/>
    </xf>
    <xf numFmtId="180" fontId="191" fillId="33" borderId="26" xfId="0" quotePrefix="1" applyNumberFormat="1" applyFont="1" applyFill="1" applyBorder="1" applyAlignment="1">
      <alignment horizontal="center" vertical="center"/>
    </xf>
    <xf numFmtId="177" fontId="191" fillId="33" borderId="62" xfId="0" applyNumberFormat="1" applyFont="1" applyFill="1" applyBorder="1" applyAlignment="1">
      <alignment horizontal="center" vertical="center"/>
    </xf>
    <xf numFmtId="179" fontId="191" fillId="80" borderId="52" xfId="0" quotePrefix="1" applyNumberFormat="1" applyFont="1" applyFill="1" applyBorder="1" applyAlignment="1">
      <alignment horizontal="center" vertical="center"/>
    </xf>
    <xf numFmtId="180" fontId="191" fillId="33" borderId="15" xfId="0" quotePrefix="1" applyNumberFormat="1" applyFont="1" applyFill="1" applyBorder="1" applyAlignment="1">
      <alignment horizontal="center" vertical="center"/>
    </xf>
    <xf numFmtId="223" fontId="191" fillId="33" borderId="15" xfId="0" applyNumberFormat="1" applyFont="1" applyFill="1" applyBorder="1" applyAlignment="1">
      <alignment horizontal="center" vertical="center"/>
    </xf>
    <xf numFmtId="224" fontId="191" fillId="33" borderId="15" xfId="0" applyNumberFormat="1" applyFont="1" applyFill="1" applyBorder="1" applyAlignment="1">
      <alignment horizontal="center" vertical="center"/>
    </xf>
    <xf numFmtId="2" fontId="191" fillId="33" borderId="10" xfId="0" applyNumberFormat="1" applyFont="1" applyFill="1" applyBorder="1" applyAlignment="1">
      <alignment horizontal="center" vertical="center"/>
    </xf>
    <xf numFmtId="180" fontId="191" fillId="33" borderId="21" xfId="0" applyNumberFormat="1" applyFont="1" applyFill="1" applyBorder="1" applyAlignment="1">
      <alignment horizontal="left" vertical="center"/>
    </xf>
    <xf numFmtId="2" fontId="191" fillId="33" borderId="15" xfId="0" applyNumberFormat="1" applyFont="1" applyFill="1" applyBorder="1" applyAlignment="1">
      <alignment horizontal="center" vertical="center"/>
    </xf>
    <xf numFmtId="177" fontId="191" fillId="33" borderId="65" xfId="0" applyNumberFormat="1" applyFont="1" applyFill="1" applyBorder="1" applyAlignment="1">
      <alignment horizontal="center" vertical="center"/>
    </xf>
    <xf numFmtId="179" fontId="191" fillId="33" borderId="22" xfId="0" quotePrefix="1" applyNumberFormat="1" applyFont="1" applyFill="1" applyBorder="1" applyAlignment="1">
      <alignment horizontal="left" vertical="center"/>
    </xf>
    <xf numFmtId="222" fontId="191" fillId="33" borderId="10" xfId="0" applyNumberFormat="1" applyFont="1" applyFill="1" applyBorder="1" applyAlignment="1">
      <alignment horizontal="center" vertical="center"/>
    </xf>
    <xf numFmtId="179" fontId="191" fillId="36" borderId="52" xfId="0" quotePrefix="1" applyNumberFormat="1" applyFont="1" applyFill="1" applyBorder="1" applyAlignment="1">
      <alignment horizontal="center" vertical="center"/>
    </xf>
    <xf numFmtId="222" fontId="191" fillId="33" borderId="15" xfId="0" applyNumberFormat="1" applyFont="1" applyFill="1" applyBorder="1" applyAlignment="1">
      <alignment horizontal="center" vertical="center"/>
    </xf>
    <xf numFmtId="222" fontId="191" fillId="80" borderId="15" xfId="0" applyNumberFormat="1" applyFont="1" applyFill="1" applyBorder="1" applyAlignment="1">
      <alignment horizontal="center" vertical="center"/>
    </xf>
    <xf numFmtId="222" fontId="191" fillId="33" borderId="23" xfId="0" applyNumberFormat="1" applyFont="1" applyFill="1" applyBorder="1" applyAlignment="1">
      <alignment horizontal="center" vertical="center"/>
    </xf>
    <xf numFmtId="183" fontId="191" fillId="33" borderId="0" xfId="0" applyNumberFormat="1" applyFont="1" applyFill="1">
      <alignment vertical="center"/>
    </xf>
    <xf numFmtId="0" fontId="192" fillId="80" borderId="12" xfId="0" applyFont="1" applyFill="1" applyBorder="1" applyAlignment="1">
      <alignment horizontal="center" vertical="center"/>
    </xf>
    <xf numFmtId="0" fontId="192" fillId="37" borderId="56" xfId="0" applyFont="1" applyFill="1" applyBorder="1" applyAlignment="1">
      <alignment horizontal="center" vertical="center"/>
    </xf>
    <xf numFmtId="0" fontId="192" fillId="37" borderId="57" xfId="0" applyFont="1" applyFill="1" applyBorder="1" applyAlignment="1">
      <alignment horizontal="center" vertical="center"/>
    </xf>
    <xf numFmtId="180" fontId="191" fillId="33" borderId="15" xfId="0" applyNumberFormat="1" applyFont="1" applyFill="1" applyBorder="1" applyAlignment="1">
      <alignment horizontal="center" vertical="center"/>
    </xf>
    <xf numFmtId="177" fontId="191" fillId="33" borderId="15" xfId="0" applyNumberFormat="1" applyFont="1" applyFill="1" applyBorder="1" applyAlignment="1">
      <alignment horizontal="center" vertical="center"/>
    </xf>
    <xf numFmtId="182" fontId="191" fillId="33" borderId="15" xfId="0" applyNumberFormat="1" applyFont="1" applyFill="1" applyBorder="1" applyAlignment="1">
      <alignment horizontal="center" vertical="center"/>
    </xf>
    <xf numFmtId="179" fontId="191" fillId="33" borderId="16" xfId="0" applyNumberFormat="1" applyFont="1" applyFill="1" applyBorder="1" applyAlignment="1">
      <alignment horizontal="center" vertical="center"/>
    </xf>
    <xf numFmtId="0" fontId="191" fillId="33" borderId="15" xfId="0" applyFont="1" applyFill="1" applyBorder="1">
      <alignment vertical="center"/>
    </xf>
    <xf numFmtId="0" fontId="191" fillId="33" borderId="16" xfId="0" applyFont="1" applyFill="1" applyBorder="1">
      <alignment vertical="center"/>
    </xf>
    <xf numFmtId="0" fontId="192" fillId="37" borderId="58" xfId="0" applyFont="1" applyFill="1" applyBorder="1" applyAlignment="1">
      <alignment horizontal="center" vertical="center"/>
    </xf>
    <xf numFmtId="0" fontId="191" fillId="33" borderId="23" xfId="0" applyFont="1" applyFill="1" applyBorder="1">
      <alignment vertical="center"/>
    </xf>
    <xf numFmtId="0" fontId="191" fillId="33" borderId="24" xfId="0" applyFont="1" applyFill="1" applyBorder="1">
      <alignment vertical="center"/>
    </xf>
    <xf numFmtId="0" fontId="192" fillId="37" borderId="51" xfId="0" applyFont="1" applyFill="1" applyBorder="1" applyAlignment="1">
      <alignment horizontal="center" vertical="center"/>
    </xf>
    <xf numFmtId="0" fontId="191" fillId="33" borderId="59" xfId="0" applyFont="1" applyFill="1" applyBorder="1">
      <alignment vertical="center"/>
    </xf>
    <xf numFmtId="180" fontId="190" fillId="33" borderId="59" xfId="0" quotePrefix="1" applyNumberFormat="1" applyFont="1" applyFill="1" applyBorder="1" applyAlignment="1">
      <alignment horizontal="center" vertical="center"/>
    </xf>
    <xf numFmtId="222" fontId="190" fillId="33" borderId="59" xfId="0" applyNumberFormat="1" applyFont="1" applyFill="1" applyBorder="1" applyAlignment="1">
      <alignment horizontal="center" vertical="center"/>
    </xf>
    <xf numFmtId="182" fontId="190" fillId="33" borderId="59" xfId="0" applyNumberFormat="1" applyFont="1" applyFill="1" applyBorder="1" applyAlignment="1">
      <alignment horizontal="center" vertical="center"/>
    </xf>
    <xf numFmtId="177" fontId="190" fillId="33" borderId="59" xfId="0" applyNumberFormat="1" applyFont="1" applyFill="1" applyBorder="1" applyAlignment="1">
      <alignment horizontal="center" vertical="center"/>
    </xf>
    <xf numFmtId="0" fontId="191" fillId="33" borderId="61" xfId="0" applyFont="1" applyFill="1" applyBorder="1">
      <alignment vertical="center"/>
    </xf>
    <xf numFmtId="0" fontId="191" fillId="33" borderId="11" xfId="0" applyFont="1" applyFill="1" applyBorder="1">
      <alignment vertical="center"/>
    </xf>
    <xf numFmtId="0" fontId="192" fillId="36" borderId="56" xfId="0" applyFont="1" applyFill="1" applyBorder="1" applyAlignment="1">
      <alignment horizontal="center" vertical="center"/>
    </xf>
    <xf numFmtId="0" fontId="191" fillId="33" borderId="10" xfId="0" applyFont="1" applyFill="1" applyBorder="1" applyAlignment="1">
      <alignment horizontal="center" vertical="center"/>
    </xf>
    <xf numFmtId="0" fontId="192" fillId="36" borderId="57" xfId="0" applyFont="1" applyFill="1" applyBorder="1" applyAlignment="1">
      <alignment horizontal="center" vertical="center"/>
    </xf>
    <xf numFmtId="0" fontId="192" fillId="36" borderId="58" xfId="0" applyFont="1" applyFill="1" applyBorder="1" applyAlignment="1">
      <alignment horizontal="center" vertical="center"/>
    </xf>
    <xf numFmtId="0" fontId="192" fillId="36" borderId="51" xfId="0" applyFont="1" applyFill="1" applyBorder="1" applyAlignment="1">
      <alignment horizontal="center" vertical="center"/>
    </xf>
    <xf numFmtId="180" fontId="191" fillId="33" borderId="59" xfId="0" quotePrefix="1" applyNumberFormat="1" applyFont="1" applyFill="1" applyBorder="1" applyAlignment="1">
      <alignment horizontal="center" vertical="center"/>
    </xf>
    <xf numFmtId="0" fontId="192" fillId="36" borderId="12" xfId="0" applyFont="1" applyFill="1" applyBorder="1" applyAlignment="1">
      <alignment horizontal="center" vertical="center"/>
    </xf>
    <xf numFmtId="0" fontId="191" fillId="33" borderId="13" xfId="0" applyFont="1" applyFill="1" applyBorder="1">
      <alignment vertical="center"/>
    </xf>
    <xf numFmtId="180" fontId="191" fillId="33" borderId="13" xfId="0" quotePrefix="1" applyNumberFormat="1" applyFont="1" applyFill="1" applyBorder="1" applyAlignment="1">
      <alignment horizontal="center" vertical="center"/>
    </xf>
    <xf numFmtId="222" fontId="190" fillId="33" borderId="13" xfId="0" applyNumberFormat="1" applyFont="1" applyFill="1" applyBorder="1" applyAlignment="1">
      <alignment horizontal="center" vertical="center"/>
    </xf>
    <xf numFmtId="182" fontId="190" fillId="33" borderId="13" xfId="0" applyNumberFormat="1" applyFont="1" applyFill="1" applyBorder="1" applyAlignment="1">
      <alignment horizontal="center" vertical="center"/>
    </xf>
    <xf numFmtId="0" fontId="191" fillId="33" borderId="14" xfId="0" applyFont="1" applyFill="1" applyBorder="1">
      <alignment vertical="center"/>
    </xf>
    <xf numFmtId="0" fontId="191" fillId="33" borderId="10" xfId="0" applyFont="1" applyFill="1" applyBorder="1">
      <alignment vertical="center"/>
    </xf>
    <xf numFmtId="222" fontId="190" fillId="33" borderId="10" xfId="0" applyNumberFormat="1" applyFont="1" applyFill="1" applyBorder="1" applyAlignment="1">
      <alignment horizontal="center" vertical="center"/>
    </xf>
    <xf numFmtId="182" fontId="190" fillId="33" borderId="10" xfId="0" applyNumberFormat="1" applyFont="1" applyFill="1" applyBorder="1" applyAlignment="1">
      <alignment horizontal="center" vertical="center"/>
    </xf>
    <xf numFmtId="177" fontId="190" fillId="33" borderId="10" xfId="0" applyNumberFormat="1" applyFont="1" applyFill="1" applyBorder="1" applyAlignment="1">
      <alignment horizontal="center" vertical="center"/>
    </xf>
    <xf numFmtId="222" fontId="190" fillId="33" borderId="15" xfId="0" applyNumberFormat="1" applyFont="1" applyFill="1" applyBorder="1" applyAlignment="1">
      <alignment horizontal="center" vertical="center"/>
    </xf>
    <xf numFmtId="182" fontId="190" fillId="33" borderId="15" xfId="0" applyNumberFormat="1" applyFont="1" applyFill="1" applyBorder="1" applyAlignment="1">
      <alignment horizontal="center" vertical="center"/>
    </xf>
    <xf numFmtId="177" fontId="190" fillId="33" borderId="15" xfId="0" applyNumberFormat="1" applyFont="1" applyFill="1" applyBorder="1" applyAlignment="1">
      <alignment horizontal="center" vertical="center"/>
    </xf>
    <xf numFmtId="222" fontId="190" fillId="33" borderId="23" xfId="0" applyNumberFormat="1" applyFont="1" applyFill="1" applyBorder="1" applyAlignment="1">
      <alignment horizontal="center" vertical="center"/>
    </xf>
    <xf numFmtId="182" fontId="190" fillId="33" borderId="23" xfId="0" applyNumberFormat="1" applyFont="1" applyFill="1" applyBorder="1" applyAlignment="1">
      <alignment horizontal="center" vertical="center"/>
    </xf>
    <xf numFmtId="180" fontId="190" fillId="33" borderId="23" xfId="0" quotePrefix="1" applyNumberFormat="1" applyFont="1" applyFill="1" applyBorder="1" applyAlignment="1">
      <alignment horizontal="center" vertical="center"/>
    </xf>
    <xf numFmtId="177" fontId="190" fillId="33" borderId="23" xfId="0" applyNumberFormat="1" applyFont="1" applyFill="1" applyBorder="1" applyAlignment="1">
      <alignment horizontal="center" vertical="center"/>
    </xf>
    <xf numFmtId="0" fontId="191" fillId="33" borderId="16" xfId="0" applyFont="1" applyFill="1" applyBorder="1" applyAlignment="1">
      <alignment horizontal="center" vertical="center"/>
    </xf>
    <xf numFmtId="180" fontId="191" fillId="35" borderId="10" xfId="0" applyNumberFormat="1" applyFont="1" applyFill="1" applyBorder="1" applyAlignment="1">
      <alignment horizontal="center" vertical="center"/>
    </xf>
    <xf numFmtId="0" fontId="191" fillId="33" borderId="11" xfId="0" applyFont="1" applyFill="1" applyBorder="1" applyAlignment="1">
      <alignment horizontal="center" vertical="center"/>
    </xf>
    <xf numFmtId="0" fontId="194" fillId="33" borderId="11" xfId="0" applyFont="1" applyFill="1" applyBorder="1" applyAlignment="1">
      <alignment horizontal="center" vertical="center"/>
    </xf>
    <xf numFmtId="222" fontId="191" fillId="36" borderId="10" xfId="0" applyNumberFormat="1" applyFont="1" applyFill="1" applyBorder="1" applyAlignment="1">
      <alignment horizontal="center" vertical="center"/>
    </xf>
    <xf numFmtId="222" fontId="191" fillId="36" borderId="15" xfId="0" applyNumberFormat="1" applyFont="1" applyFill="1" applyBorder="1" applyAlignment="1">
      <alignment horizontal="center" vertical="center"/>
    </xf>
    <xf numFmtId="222" fontId="191" fillId="36" borderId="23" xfId="0" applyNumberFormat="1" applyFont="1" applyFill="1" applyBorder="1" applyAlignment="1">
      <alignment horizontal="center" vertical="center"/>
    </xf>
    <xf numFmtId="222" fontId="190" fillId="36" borderId="59" xfId="0" applyNumberFormat="1" applyFont="1" applyFill="1" applyBorder="1" applyAlignment="1">
      <alignment horizontal="center" vertical="center"/>
    </xf>
    <xf numFmtId="2" fontId="191" fillId="0" borderId="10" xfId="0" applyNumberFormat="1" applyFont="1" applyFill="1" applyBorder="1" applyAlignment="1">
      <alignment horizontal="center" vertical="center"/>
    </xf>
    <xf numFmtId="180" fontId="190" fillId="33" borderId="15" xfId="0" quotePrefix="1" applyNumberFormat="1" applyFont="1" applyFill="1" applyBorder="1" applyAlignment="1">
      <alignment horizontal="center" vertical="center"/>
    </xf>
    <xf numFmtId="2" fontId="190" fillId="33" borderId="15" xfId="0" applyNumberFormat="1" applyFont="1" applyFill="1" applyBorder="1" applyAlignment="1">
      <alignment horizontal="center" vertical="center"/>
    </xf>
    <xf numFmtId="223" fontId="190" fillId="33" borderId="15" xfId="0" applyNumberFormat="1" applyFont="1" applyFill="1" applyBorder="1" applyAlignment="1">
      <alignment horizontal="center" vertical="center"/>
    </xf>
    <xf numFmtId="2" fontId="190" fillId="0" borderId="15" xfId="0" applyNumberFormat="1" applyFont="1" applyFill="1" applyBorder="1" applyAlignment="1">
      <alignment horizontal="center" vertical="center"/>
    </xf>
    <xf numFmtId="224" fontId="190" fillId="33" borderId="15" xfId="0" applyNumberFormat="1" applyFont="1" applyFill="1" applyBorder="1" applyAlignment="1">
      <alignment horizontal="center" vertical="center"/>
    </xf>
    <xf numFmtId="2" fontId="191" fillId="0" borderId="15" xfId="0" applyNumberFormat="1" applyFont="1" applyFill="1" applyBorder="1" applyAlignment="1">
      <alignment horizontal="center" vertical="center"/>
    </xf>
    <xf numFmtId="2" fontId="191" fillId="33" borderId="23" xfId="0" applyNumberFormat="1" applyFont="1" applyFill="1" applyBorder="1" applyAlignment="1">
      <alignment horizontal="center" vertical="center"/>
    </xf>
    <xf numFmtId="2" fontId="191" fillId="0" borderId="23" xfId="0" applyNumberFormat="1" applyFont="1" applyFill="1" applyBorder="1" applyAlignment="1">
      <alignment horizontal="center" vertical="center"/>
    </xf>
    <xf numFmtId="222" fontId="190" fillId="0" borderId="59" xfId="0" applyNumberFormat="1" applyFont="1" applyFill="1" applyBorder="1" applyAlignment="1">
      <alignment horizontal="center" vertical="center"/>
    </xf>
    <xf numFmtId="2" fontId="190" fillId="33" borderId="23" xfId="0" applyNumberFormat="1" applyFont="1" applyFill="1" applyBorder="1" applyAlignment="1">
      <alignment horizontal="center" vertical="center"/>
    </xf>
    <xf numFmtId="223" fontId="190" fillId="33" borderId="23" xfId="0" applyNumberFormat="1" applyFont="1" applyFill="1" applyBorder="1" applyAlignment="1">
      <alignment horizontal="center" vertical="center"/>
    </xf>
    <xf numFmtId="224" fontId="190" fillId="33" borderId="23" xfId="0" applyNumberFormat="1" applyFont="1" applyFill="1" applyBorder="1" applyAlignment="1">
      <alignment horizontal="center" vertical="center"/>
    </xf>
    <xf numFmtId="180" fontId="190" fillId="33" borderId="10" xfId="0" quotePrefix="1" applyNumberFormat="1" applyFont="1" applyFill="1" applyBorder="1" applyAlignment="1">
      <alignment horizontal="center" vertical="center"/>
    </xf>
    <xf numFmtId="2" fontId="190" fillId="33" borderId="10" xfId="0" applyNumberFormat="1" applyFont="1" applyFill="1" applyBorder="1" applyAlignment="1">
      <alignment horizontal="center" vertical="center"/>
    </xf>
    <xf numFmtId="223" fontId="190" fillId="33" borderId="10" xfId="0" applyNumberFormat="1" applyFont="1" applyFill="1" applyBorder="1" applyAlignment="1">
      <alignment horizontal="center" vertical="center"/>
    </xf>
    <xf numFmtId="2" fontId="190" fillId="0" borderId="10" xfId="0" applyNumberFormat="1" applyFont="1" applyFill="1" applyBorder="1" applyAlignment="1">
      <alignment horizontal="center" vertical="center"/>
    </xf>
    <xf numFmtId="224" fontId="190" fillId="33" borderId="10" xfId="0" applyNumberFormat="1" applyFont="1" applyFill="1" applyBorder="1" applyAlignment="1">
      <alignment horizontal="center" vertical="center"/>
    </xf>
    <xf numFmtId="2" fontId="190" fillId="0" borderId="23" xfId="0" applyNumberFormat="1" applyFont="1" applyFill="1" applyBorder="1" applyAlignment="1">
      <alignment horizontal="center" vertical="center"/>
    </xf>
    <xf numFmtId="180" fontId="197" fillId="33" borderId="10" xfId="0" applyNumberFormat="1" applyFont="1" applyFill="1" applyBorder="1" applyAlignment="1">
      <alignment horizontal="center" vertical="center"/>
    </xf>
    <xf numFmtId="180" fontId="197" fillId="33" borderId="15" xfId="0" applyNumberFormat="1" applyFont="1" applyFill="1" applyBorder="1" applyAlignment="1">
      <alignment horizontal="center" vertical="center"/>
    </xf>
    <xf numFmtId="0" fontId="197" fillId="33" borderId="15" xfId="0" applyFont="1" applyFill="1" applyBorder="1">
      <alignment vertical="center"/>
    </xf>
    <xf numFmtId="0" fontId="197" fillId="33" borderId="23" xfId="0" applyFont="1" applyFill="1" applyBorder="1">
      <alignment vertical="center"/>
    </xf>
    <xf numFmtId="0" fontId="197" fillId="33" borderId="59" xfId="0" applyFont="1" applyFill="1" applyBorder="1">
      <alignment vertical="center"/>
    </xf>
    <xf numFmtId="0" fontId="191" fillId="33" borderId="25" xfId="0" applyFont="1" applyFill="1" applyBorder="1">
      <alignment vertical="center"/>
    </xf>
    <xf numFmtId="0" fontId="191" fillId="33" borderId="27" xfId="0" applyFont="1" applyFill="1" applyBorder="1">
      <alignment vertical="center"/>
    </xf>
    <xf numFmtId="2" fontId="191" fillId="33" borderId="0" xfId="0" applyNumberFormat="1" applyFont="1" applyFill="1">
      <alignment vertical="center"/>
    </xf>
    <xf numFmtId="49" fontId="191" fillId="33" borderId="0" xfId="0" applyNumberFormat="1" applyFont="1" applyFill="1">
      <alignment vertical="center"/>
    </xf>
    <xf numFmtId="184" fontId="191" fillId="33" borderId="0" xfId="0" applyNumberFormat="1" applyFont="1" applyFill="1">
      <alignment vertical="center"/>
    </xf>
    <xf numFmtId="185" fontId="191" fillId="33" borderId="0" xfId="0" applyNumberFormat="1" applyFont="1" applyFill="1">
      <alignment vertical="center"/>
    </xf>
    <xf numFmtId="0" fontId="192" fillId="36" borderId="13" xfId="0" applyFont="1" applyFill="1" applyBorder="1" applyAlignment="1">
      <alignment horizontal="center" vertical="center"/>
    </xf>
    <xf numFmtId="178" fontId="193" fillId="36" borderId="13" xfId="0" applyNumberFormat="1" applyFont="1" applyFill="1" applyBorder="1" applyAlignment="1">
      <alignment horizontal="center" vertical="center" wrapText="1"/>
    </xf>
    <xf numFmtId="179" fontId="191" fillId="81" borderId="24" xfId="0" quotePrefix="1" applyNumberFormat="1" applyFont="1" applyFill="1" applyBorder="1" applyAlignment="1">
      <alignment horizontal="center" vertical="center"/>
    </xf>
    <xf numFmtId="179" fontId="191" fillId="33" borderId="0" xfId="0" quotePrefix="1" applyNumberFormat="1" applyFont="1" applyFill="1" applyBorder="1" applyAlignment="1">
      <alignment horizontal="center" vertical="center"/>
    </xf>
    <xf numFmtId="179" fontId="191" fillId="33" borderId="0" xfId="0" applyNumberFormat="1" applyFont="1" applyFill="1" applyBorder="1" applyAlignment="1">
      <alignment horizontal="center" vertical="center"/>
    </xf>
    <xf numFmtId="0" fontId="191" fillId="33" borderId="0" xfId="0" applyFont="1" applyFill="1" applyBorder="1">
      <alignment vertical="center"/>
    </xf>
    <xf numFmtId="0" fontId="191" fillId="33" borderId="0" xfId="0" applyFont="1" applyFill="1" applyBorder="1" applyAlignment="1">
      <alignment horizontal="center" vertical="center"/>
    </xf>
    <xf numFmtId="0" fontId="194" fillId="33" borderId="0" xfId="0" applyFont="1" applyFill="1" applyBorder="1" applyAlignment="1">
      <alignment horizontal="center" vertical="center"/>
    </xf>
    <xf numFmtId="0" fontId="191" fillId="33" borderId="62" xfId="0" applyFont="1" applyFill="1" applyBorder="1">
      <alignment vertical="center"/>
    </xf>
    <xf numFmtId="0" fontId="191" fillId="33" borderId="60" xfId="0" applyFont="1" applyFill="1" applyBorder="1">
      <alignment vertical="center"/>
    </xf>
    <xf numFmtId="179" fontId="193" fillId="33" borderId="0" xfId="0" applyNumberFormat="1" applyFont="1" applyFill="1" applyBorder="1" applyAlignment="1">
      <alignment horizontal="center" vertical="center"/>
    </xf>
    <xf numFmtId="0" fontId="192" fillId="34" borderId="15" xfId="0" applyFont="1" applyFill="1" applyBorder="1" applyAlignment="1">
      <alignment horizontal="center" vertical="center"/>
    </xf>
    <xf numFmtId="177" fontId="193" fillId="34" borderId="15" xfId="0" applyNumberFormat="1" applyFont="1" applyFill="1" applyBorder="1" applyAlignment="1">
      <alignment horizontal="center" vertical="center"/>
    </xf>
    <xf numFmtId="178" fontId="193" fillId="34" borderId="15" xfId="0" applyNumberFormat="1" applyFont="1" applyFill="1" applyBorder="1" applyAlignment="1">
      <alignment horizontal="center" vertical="center"/>
    </xf>
    <xf numFmtId="178" fontId="193" fillId="34" borderId="15" xfId="0" applyNumberFormat="1" applyFont="1" applyFill="1" applyBorder="1" applyAlignment="1">
      <alignment horizontal="center" vertical="center" wrapText="1"/>
    </xf>
    <xf numFmtId="0" fontId="191" fillId="33" borderId="15" xfId="0" applyFont="1" applyFill="1" applyBorder="1" applyAlignment="1">
      <alignment horizontal="left" vertical="center"/>
    </xf>
    <xf numFmtId="180" fontId="191" fillId="33" borderId="15" xfId="0" quotePrefix="1" applyNumberFormat="1" applyFont="1" applyFill="1" applyBorder="1" applyAlignment="1">
      <alignment horizontal="left" vertical="center"/>
    </xf>
    <xf numFmtId="2" fontId="191" fillId="33" borderId="0" xfId="0" applyNumberFormat="1" applyFont="1" applyFill="1" applyAlignment="1">
      <alignment horizontal="center" vertical="center"/>
    </xf>
    <xf numFmtId="224" fontId="191" fillId="33" borderId="0" xfId="0" applyNumberFormat="1" applyFont="1" applyFill="1" applyAlignment="1">
      <alignment horizontal="center" vertical="center"/>
    </xf>
    <xf numFmtId="224" fontId="191" fillId="33" borderId="0" xfId="0" applyNumberFormat="1" applyFont="1" applyFill="1">
      <alignment vertical="center"/>
    </xf>
    <xf numFmtId="0" fontId="0" fillId="0" borderId="0" xfId="0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1" fontId="191" fillId="33" borderId="0" xfId="0" applyNumberFormat="1" applyFont="1" applyFill="1" applyAlignment="1">
      <alignment horizontal="center" vertical="center"/>
    </xf>
    <xf numFmtId="0" fontId="191" fillId="33" borderId="0" xfId="0" applyFont="1" applyFill="1" applyAlignment="1">
      <alignment horizontal="center" vertical="center"/>
    </xf>
    <xf numFmtId="225" fontId="191" fillId="33" borderId="0" xfId="0" applyNumberFormat="1" applyFont="1" applyFill="1" applyAlignment="1">
      <alignment horizontal="center" vertical="center"/>
    </xf>
    <xf numFmtId="185" fontId="191" fillId="33" borderId="0" xfId="0" applyNumberFormat="1" applyFont="1" applyFill="1" applyAlignment="1">
      <alignment horizontal="center" vertical="center"/>
    </xf>
    <xf numFmtId="225" fontId="192" fillId="34" borderId="13" xfId="0" applyNumberFormat="1" applyFont="1" applyFill="1" applyBorder="1" applyAlignment="1">
      <alignment horizontal="center" vertical="center"/>
    </xf>
    <xf numFmtId="185" fontId="192" fillId="34" borderId="13" xfId="0" applyNumberFormat="1" applyFont="1" applyFill="1" applyBorder="1" applyAlignment="1">
      <alignment horizontal="center" vertical="center"/>
    </xf>
    <xf numFmtId="185" fontId="193" fillId="34" borderId="13" xfId="0" applyNumberFormat="1" applyFont="1" applyFill="1" applyBorder="1" applyAlignment="1">
      <alignment horizontal="center" vertical="center"/>
    </xf>
    <xf numFmtId="225" fontId="193" fillId="34" borderId="13" xfId="0" applyNumberFormat="1" applyFont="1" applyFill="1" applyBorder="1" applyAlignment="1">
      <alignment horizontal="center" vertical="center"/>
    </xf>
    <xf numFmtId="11" fontId="191" fillId="34" borderId="14" xfId="0" applyNumberFormat="1" applyFont="1" applyFill="1" applyBorder="1" applyAlignment="1">
      <alignment horizontal="center" vertical="center"/>
    </xf>
    <xf numFmtId="179" fontId="193" fillId="34" borderId="12" xfId="0" applyNumberFormat="1" applyFont="1" applyFill="1" applyBorder="1" applyAlignment="1">
      <alignment horizontal="center" vertical="center"/>
    </xf>
    <xf numFmtId="225" fontId="191" fillId="33" borderId="10" xfId="0" applyNumberFormat="1" applyFont="1" applyFill="1" applyBorder="1" applyAlignment="1">
      <alignment horizontal="center" vertical="center"/>
    </xf>
    <xf numFmtId="225" fontId="191" fillId="0" borderId="10" xfId="0" applyNumberFormat="1" applyFont="1" applyBorder="1" applyAlignment="1">
      <alignment horizontal="center" vertical="center"/>
    </xf>
    <xf numFmtId="185" fontId="191" fillId="33" borderId="10" xfId="0" applyNumberFormat="1" applyFont="1" applyFill="1" applyBorder="1" applyAlignment="1">
      <alignment horizontal="center" vertical="center"/>
    </xf>
    <xf numFmtId="184" fontId="191" fillId="33" borderId="10" xfId="0" applyNumberFormat="1" applyFont="1" applyFill="1" applyBorder="1" applyAlignment="1">
      <alignment horizontal="center" vertical="center"/>
    </xf>
    <xf numFmtId="0" fontId="191" fillId="33" borderId="11" xfId="0" quotePrefix="1" applyNumberFormat="1" applyFont="1" applyFill="1" applyBorder="1" applyAlignment="1">
      <alignment horizontal="center" vertical="center"/>
    </xf>
    <xf numFmtId="11" fontId="191" fillId="33" borderId="56" xfId="0" quotePrefix="1" applyNumberFormat="1" applyFont="1" applyFill="1" applyBorder="1" applyAlignment="1">
      <alignment horizontal="center" vertical="center"/>
    </xf>
    <xf numFmtId="179" fontId="191" fillId="0" borderId="16" xfId="0" applyNumberFormat="1" applyFont="1" applyBorder="1" applyAlignment="1">
      <alignment horizontal="center" vertical="center"/>
    </xf>
    <xf numFmtId="0" fontId="191" fillId="0" borderId="16" xfId="0" applyNumberFormat="1" applyFont="1" applyBorder="1" applyAlignment="1">
      <alignment horizontal="center" vertical="center"/>
    </xf>
    <xf numFmtId="11" fontId="191" fillId="0" borderId="57" xfId="0" applyNumberFormat="1" applyFont="1" applyBorder="1" applyAlignment="1">
      <alignment horizontal="center" vertical="center"/>
    </xf>
    <xf numFmtId="0" fontId="190" fillId="0" borderId="16" xfId="0" applyNumberFormat="1" applyFont="1" applyBorder="1" applyAlignment="1">
      <alignment horizontal="center" vertical="center"/>
    </xf>
    <xf numFmtId="11" fontId="190" fillId="0" borderId="57" xfId="0" applyNumberFormat="1" applyFont="1" applyBorder="1" applyAlignment="1">
      <alignment horizontal="center" vertical="center"/>
    </xf>
    <xf numFmtId="0" fontId="190" fillId="0" borderId="16" xfId="0" applyFont="1" applyBorder="1" applyAlignment="1">
      <alignment horizontal="center" vertical="center"/>
    </xf>
    <xf numFmtId="0" fontId="191" fillId="0" borderId="16" xfId="0" applyFont="1" applyBorder="1">
      <alignment vertical="center"/>
    </xf>
    <xf numFmtId="0" fontId="191" fillId="0" borderId="29" xfId="0" applyFont="1" applyBorder="1">
      <alignment vertical="center"/>
    </xf>
    <xf numFmtId="180" fontId="191" fillId="0" borderId="13" xfId="0" quotePrefix="1" applyNumberFormat="1" applyFont="1" applyBorder="1" applyAlignment="1">
      <alignment horizontal="center" vertical="center"/>
    </xf>
    <xf numFmtId="225" fontId="190" fillId="0" borderId="13" xfId="0" applyNumberFormat="1" applyFont="1" applyBorder="1" applyAlignment="1">
      <alignment horizontal="center" vertical="center"/>
    </xf>
    <xf numFmtId="185" fontId="190" fillId="0" borderId="13" xfId="0" applyNumberFormat="1" applyFont="1" applyBorder="1" applyAlignment="1">
      <alignment horizontal="center" vertical="center"/>
    </xf>
    <xf numFmtId="184" fontId="190" fillId="0" borderId="13" xfId="0" applyNumberFormat="1" applyFont="1" applyBorder="1" applyAlignment="1">
      <alignment horizontal="center" vertical="center"/>
    </xf>
    <xf numFmtId="0" fontId="190" fillId="0" borderId="49" xfId="0" applyNumberFormat="1" applyFont="1" applyBorder="1" applyAlignment="1">
      <alignment horizontal="center" vertical="center"/>
    </xf>
    <xf numFmtId="11" fontId="191" fillId="0" borderId="12" xfId="0" applyNumberFormat="1" applyFont="1" applyBorder="1" applyAlignment="1">
      <alignment horizontal="center" vertical="center"/>
    </xf>
    <xf numFmtId="0" fontId="191" fillId="0" borderId="14" xfId="0" applyFont="1" applyBorder="1">
      <alignment vertical="center"/>
    </xf>
    <xf numFmtId="180" fontId="191" fillId="0" borderId="10" xfId="0" quotePrefix="1" applyNumberFormat="1" applyFont="1" applyBorder="1" applyAlignment="1">
      <alignment horizontal="center" vertical="center"/>
    </xf>
    <xf numFmtId="0" fontId="191" fillId="0" borderId="11" xfId="0" applyFont="1" applyBorder="1">
      <alignment vertical="center"/>
    </xf>
    <xf numFmtId="0" fontId="191" fillId="0" borderId="11" xfId="0" applyNumberFormat="1" applyFont="1" applyBorder="1" applyAlignment="1">
      <alignment horizontal="center" vertical="center"/>
    </xf>
    <xf numFmtId="11" fontId="191" fillId="0" borderId="66" xfId="0" applyNumberFormat="1" applyFont="1" applyBorder="1" applyAlignment="1">
      <alignment horizontal="center" vertical="center"/>
    </xf>
    <xf numFmtId="0" fontId="191" fillId="33" borderId="16" xfId="0" applyNumberFormat="1" applyFont="1" applyFill="1" applyBorder="1" applyAlignment="1">
      <alignment horizontal="center" vertical="center"/>
    </xf>
    <xf numFmtId="11" fontId="191" fillId="33" borderId="57" xfId="0" applyNumberFormat="1" applyFont="1" applyFill="1" applyBorder="1" applyAlignment="1">
      <alignment horizontal="center" vertical="center"/>
    </xf>
    <xf numFmtId="0" fontId="191" fillId="33" borderId="29" xfId="0" applyFont="1" applyFill="1" applyBorder="1">
      <alignment vertical="center"/>
    </xf>
    <xf numFmtId="225" fontId="190" fillId="33" borderId="13" xfId="0" applyNumberFormat="1" applyFont="1" applyFill="1" applyBorder="1" applyAlignment="1">
      <alignment horizontal="center" vertical="center"/>
    </xf>
    <xf numFmtId="185" fontId="190" fillId="33" borderId="13" xfId="0" applyNumberFormat="1" applyFont="1" applyFill="1" applyBorder="1" applyAlignment="1">
      <alignment horizontal="center" vertical="center"/>
    </xf>
    <xf numFmtId="184" fontId="190" fillId="33" borderId="13" xfId="0" applyNumberFormat="1" applyFont="1" applyFill="1" applyBorder="1" applyAlignment="1">
      <alignment horizontal="center" vertical="center"/>
    </xf>
    <xf numFmtId="0" fontId="190" fillId="33" borderId="49" xfId="0" applyNumberFormat="1" applyFont="1" applyFill="1" applyBorder="1" applyAlignment="1">
      <alignment horizontal="center" vertical="center"/>
    </xf>
    <xf numFmtId="11" fontId="191" fillId="33" borderId="12" xfId="0" applyNumberFormat="1" applyFont="1" applyFill="1" applyBorder="1" applyAlignment="1">
      <alignment horizontal="center" vertical="center"/>
    </xf>
    <xf numFmtId="225" fontId="190" fillId="33" borderId="10" xfId="0" applyNumberFormat="1" applyFont="1" applyFill="1" applyBorder="1" applyAlignment="1">
      <alignment horizontal="center" vertical="center"/>
    </xf>
    <xf numFmtId="185" fontId="190" fillId="33" borderId="10" xfId="0" applyNumberFormat="1" applyFont="1" applyFill="1" applyBorder="1" applyAlignment="1">
      <alignment horizontal="center" vertical="center"/>
    </xf>
    <xf numFmtId="184" fontId="190" fillId="33" borderId="10" xfId="0" applyNumberFormat="1" applyFont="1" applyFill="1" applyBorder="1" applyAlignment="1">
      <alignment horizontal="center" vertical="center"/>
    </xf>
    <xf numFmtId="0" fontId="191" fillId="33" borderId="11" xfId="0" applyNumberFormat="1" applyFont="1" applyFill="1" applyBorder="1" applyAlignment="1">
      <alignment horizontal="center" vertical="center"/>
    </xf>
    <xf numFmtId="11" fontId="191" fillId="33" borderId="66" xfId="0" applyNumberFormat="1" applyFont="1" applyFill="1" applyBorder="1" applyAlignment="1">
      <alignment horizontal="center" vertical="center"/>
    </xf>
    <xf numFmtId="11" fontId="191" fillId="33" borderId="58" xfId="0" applyNumberFormat="1" applyFont="1" applyFill="1" applyBorder="1" applyAlignment="1">
      <alignment horizontal="center" vertical="center"/>
    </xf>
    <xf numFmtId="0" fontId="191" fillId="82" borderId="67" xfId="0" applyFont="1" applyFill="1" applyBorder="1" applyAlignment="1">
      <alignment horizontal="center" vertical="center"/>
    </xf>
    <xf numFmtId="0" fontId="191" fillId="33" borderId="68" xfId="0" applyFont="1" applyFill="1" applyBorder="1" applyAlignment="1">
      <alignment horizontal="center" vertical="center"/>
    </xf>
    <xf numFmtId="0" fontId="203" fillId="34" borderId="56" xfId="0" applyFont="1" applyFill="1" applyBorder="1" applyAlignment="1">
      <alignment horizontal="center" vertical="center"/>
    </xf>
    <xf numFmtId="225" fontId="192" fillId="34" borderId="10" xfId="0" applyNumberFormat="1" applyFont="1" applyFill="1" applyBorder="1" applyAlignment="1">
      <alignment horizontal="center" vertical="center"/>
    </xf>
    <xf numFmtId="185" fontId="192" fillId="34" borderId="10" xfId="0" applyNumberFormat="1" applyFont="1" applyFill="1" applyBorder="1" applyAlignment="1">
      <alignment horizontal="center" vertical="center"/>
    </xf>
    <xf numFmtId="185" fontId="193" fillId="34" borderId="10" xfId="0" applyNumberFormat="1" applyFont="1" applyFill="1" applyBorder="1" applyAlignment="1">
      <alignment horizontal="center" vertical="center"/>
    </xf>
    <xf numFmtId="225" fontId="193" fillId="34" borderId="25" xfId="0" applyNumberFormat="1" applyFont="1" applyFill="1" applyBorder="1" applyAlignment="1">
      <alignment horizontal="center" vertical="center"/>
    </xf>
    <xf numFmtId="225" fontId="193" fillId="34" borderId="10" xfId="0" applyNumberFormat="1" applyFont="1" applyFill="1" applyBorder="1" applyAlignment="1">
      <alignment horizontal="center" vertical="center"/>
    </xf>
    <xf numFmtId="0" fontId="191" fillId="82" borderId="66" xfId="0" applyFont="1" applyFill="1" applyBorder="1" applyAlignment="1">
      <alignment horizontal="center" vertical="center"/>
    </xf>
    <xf numFmtId="0" fontId="191" fillId="33" borderId="33" xfId="0" applyFont="1" applyFill="1" applyBorder="1" applyAlignment="1">
      <alignment horizontal="center" vertical="center"/>
    </xf>
    <xf numFmtId="0" fontId="191" fillId="33" borderId="57" xfId="0" applyFont="1" applyFill="1" applyBorder="1" applyAlignment="1">
      <alignment horizontal="center" vertical="center"/>
    </xf>
    <xf numFmtId="225" fontId="191" fillId="33" borderId="15" xfId="0" applyNumberFormat="1" applyFont="1" applyFill="1" applyBorder="1" applyAlignment="1">
      <alignment horizontal="center" vertical="center"/>
    </xf>
    <xf numFmtId="185" fontId="191" fillId="33" borderId="15" xfId="0" applyNumberFormat="1" applyFont="1" applyFill="1" applyBorder="1" applyAlignment="1">
      <alignment horizontal="center" vertical="center"/>
    </xf>
    <xf numFmtId="0" fontId="191" fillId="82" borderId="57" xfId="0" applyFont="1" applyFill="1" applyBorder="1" applyAlignment="1">
      <alignment horizontal="center" vertical="center"/>
    </xf>
    <xf numFmtId="0" fontId="191" fillId="82" borderId="58" xfId="0" applyFont="1" applyFill="1" applyBorder="1" applyAlignment="1">
      <alignment horizontal="center" vertical="center"/>
    </xf>
    <xf numFmtId="0" fontId="191" fillId="0" borderId="56" xfId="0" applyFont="1" applyBorder="1">
      <alignment vertical="center"/>
    </xf>
    <xf numFmtId="184" fontId="192" fillId="34" borderId="10" xfId="0" applyNumberFormat="1" applyFont="1" applyFill="1" applyBorder="1" applyAlignment="1">
      <alignment horizontal="center" vertical="center"/>
    </xf>
    <xf numFmtId="184" fontId="193" fillId="34" borderId="25" xfId="0" applyNumberFormat="1" applyFont="1" applyFill="1" applyBorder="1" applyAlignment="1">
      <alignment horizontal="center" vertical="center"/>
    </xf>
    <xf numFmtId="184" fontId="193" fillId="34" borderId="10" xfId="0" applyNumberFormat="1" applyFont="1" applyFill="1" applyBorder="1" applyAlignment="1">
      <alignment horizontal="center" vertical="center"/>
    </xf>
    <xf numFmtId="0" fontId="191" fillId="0" borderId="57" xfId="0" applyFont="1" applyBorder="1">
      <alignment vertical="center"/>
    </xf>
    <xf numFmtId="226" fontId="191" fillId="33" borderId="57" xfId="0" applyNumberFormat="1" applyFont="1" applyFill="1" applyBorder="1" applyAlignment="1">
      <alignment horizontal="center" vertical="center"/>
    </xf>
    <xf numFmtId="226" fontId="191" fillId="33" borderId="58" xfId="0" applyNumberFormat="1" applyFont="1" applyFill="1" applyBorder="1" applyAlignment="1">
      <alignment horizontal="center" vertical="center"/>
    </xf>
    <xf numFmtId="0" fontId="191" fillId="0" borderId="58" xfId="0" applyFont="1" applyBorder="1" applyAlignment="1">
      <alignment horizontal="center" vertical="center"/>
    </xf>
    <xf numFmtId="225" fontId="191" fillId="33" borderId="23" xfId="0" applyNumberFormat="1" applyFont="1" applyFill="1" applyBorder="1" applyAlignment="1">
      <alignment horizontal="center" vertical="center"/>
    </xf>
    <xf numFmtId="185" fontId="191" fillId="33" borderId="23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01" fillId="33" borderId="0" xfId="0" applyFont="1" applyFill="1">
      <alignment vertical="center"/>
    </xf>
    <xf numFmtId="0" fontId="191" fillId="33" borderId="0" xfId="0" applyFont="1" applyFill="1" applyBorder="1" applyAlignment="1">
      <alignment horizontal="center" vertical="center" wrapText="1"/>
    </xf>
    <xf numFmtId="11" fontId="191" fillId="33" borderId="0" xfId="0" applyNumberFormat="1" applyFont="1" applyFill="1" applyBorder="1" applyAlignment="1">
      <alignment horizontal="center" vertical="center"/>
    </xf>
    <xf numFmtId="0" fontId="201" fillId="33" borderId="0" xfId="0" applyFont="1" applyFill="1" applyAlignment="1">
      <alignment horizontal="center" vertical="center"/>
    </xf>
    <xf numFmtId="0" fontId="191" fillId="33" borderId="0" xfId="0" applyNumberFormat="1" applyFont="1" applyFill="1" applyBorder="1" applyAlignment="1">
      <alignment horizontal="center" vertical="center"/>
    </xf>
    <xf numFmtId="0" fontId="191" fillId="33" borderId="0" xfId="0" applyNumberFormat="1" applyFont="1" applyFill="1">
      <alignment vertical="center"/>
    </xf>
    <xf numFmtId="0" fontId="193" fillId="34" borderId="77" xfId="0" applyNumberFormat="1" applyFont="1" applyFill="1" applyBorder="1" applyAlignment="1">
      <alignment horizontal="center" vertical="center"/>
    </xf>
    <xf numFmtId="0" fontId="191" fillId="0" borderId="25" xfId="0" applyNumberFormat="1" applyFont="1" applyFill="1" applyBorder="1" applyAlignment="1">
      <alignment horizontal="center" vertical="center"/>
    </xf>
    <xf numFmtId="0" fontId="191" fillId="0" borderId="50" xfId="0" applyNumberFormat="1" applyFont="1" applyFill="1" applyBorder="1" applyAlignment="1">
      <alignment horizontal="center" vertical="center"/>
    </xf>
    <xf numFmtId="0" fontId="191" fillId="33" borderId="25" xfId="0" applyNumberFormat="1" applyFont="1" applyFill="1" applyBorder="1" applyAlignment="1">
      <alignment horizontal="center" vertical="center"/>
    </xf>
    <xf numFmtId="0" fontId="191" fillId="33" borderId="50" xfId="0" applyNumberFormat="1" applyFont="1" applyFill="1" applyBorder="1" applyAlignment="1">
      <alignment horizontal="center" vertical="center"/>
    </xf>
    <xf numFmtId="0" fontId="191" fillId="33" borderId="62" xfId="0" applyNumberFormat="1" applyFont="1" applyFill="1" applyBorder="1" applyAlignment="1">
      <alignment horizontal="center" vertical="center"/>
    </xf>
    <xf numFmtId="0" fontId="191" fillId="33" borderId="78" xfId="0" applyNumberFormat="1" applyFont="1" applyFill="1" applyBorder="1" applyAlignment="1">
      <alignment horizontal="center" vertical="center"/>
    </xf>
    <xf numFmtId="0" fontId="191" fillId="33" borderId="10" xfId="0" applyNumberFormat="1" applyFont="1" applyFill="1" applyBorder="1" applyAlignment="1">
      <alignment horizontal="center" vertical="center"/>
    </xf>
    <xf numFmtId="0" fontId="191" fillId="33" borderId="60" xfId="0" applyNumberFormat="1" applyFont="1" applyFill="1" applyBorder="1" applyAlignment="1">
      <alignment horizontal="center" vertical="center"/>
    </xf>
    <xf numFmtId="0" fontId="193" fillId="34" borderId="13" xfId="0" applyNumberFormat="1" applyFont="1" applyFill="1" applyBorder="1" applyAlignment="1">
      <alignment horizontal="center" vertical="center"/>
    </xf>
    <xf numFmtId="0" fontId="191" fillId="33" borderId="18" xfId="1" applyNumberFormat="1" applyFont="1" applyFill="1" applyBorder="1" applyAlignment="1">
      <alignment horizontal="center" vertical="center"/>
    </xf>
    <xf numFmtId="0" fontId="191" fillId="33" borderId="21" xfId="1" applyNumberFormat="1" applyFont="1" applyFill="1" applyBorder="1" applyAlignment="1">
      <alignment horizontal="center" vertical="center"/>
    </xf>
    <xf numFmtId="0" fontId="191" fillId="33" borderId="0" xfId="0" applyNumberFormat="1" applyFont="1" applyFill="1" applyAlignment="1">
      <alignment horizontal="center" vertical="center"/>
    </xf>
    <xf numFmtId="225" fontId="192" fillId="34" borderId="18" xfId="0" applyNumberFormat="1" applyFont="1" applyFill="1" applyBorder="1" applyAlignment="1">
      <alignment horizontal="center" vertical="center"/>
    </xf>
    <xf numFmtId="225" fontId="191" fillId="0" borderId="10" xfId="0" applyNumberFormat="1" applyFont="1" applyFill="1" applyBorder="1" applyAlignment="1">
      <alignment horizontal="center" vertical="center"/>
    </xf>
    <xf numFmtId="225" fontId="191" fillId="80" borderId="10" xfId="0" applyNumberFormat="1" applyFont="1" applyFill="1" applyBorder="1" applyAlignment="1">
      <alignment horizontal="center" vertical="center"/>
    </xf>
    <xf numFmtId="225" fontId="191" fillId="0" borderId="23" xfId="0" applyNumberFormat="1" applyFont="1" applyFill="1" applyBorder="1" applyAlignment="1">
      <alignment horizontal="center" vertical="center"/>
    </xf>
    <xf numFmtId="225" fontId="191" fillId="80" borderId="23" xfId="0" applyNumberFormat="1" applyFont="1" applyFill="1" applyBorder="1" applyAlignment="1">
      <alignment horizontal="center" vertical="center"/>
    </xf>
    <xf numFmtId="225" fontId="191" fillId="33" borderId="26" xfId="0" applyNumberFormat="1" applyFont="1" applyFill="1" applyBorder="1" applyAlignment="1">
      <alignment horizontal="center" vertical="center"/>
    </xf>
    <xf numFmtId="225" fontId="191" fillId="80" borderId="26" xfId="0" applyNumberFormat="1" applyFont="1" applyFill="1" applyBorder="1" applyAlignment="1">
      <alignment horizontal="center" vertical="center"/>
    </xf>
    <xf numFmtId="225" fontId="191" fillId="80" borderId="15" xfId="0" applyNumberFormat="1" applyFont="1" applyFill="1" applyBorder="1" applyAlignment="1">
      <alignment horizontal="center" vertical="center"/>
    </xf>
    <xf numFmtId="185" fontId="192" fillId="34" borderId="18" xfId="0" applyNumberFormat="1" applyFont="1" applyFill="1" applyBorder="1" applyAlignment="1">
      <alignment horizontal="center" vertical="center"/>
    </xf>
    <xf numFmtId="185" fontId="193" fillId="34" borderId="18" xfId="0" applyNumberFormat="1" applyFont="1" applyFill="1" applyBorder="1" applyAlignment="1">
      <alignment horizontal="center" vertical="center"/>
    </xf>
    <xf numFmtId="185" fontId="191" fillId="0" borderId="10" xfId="0" applyNumberFormat="1" applyFont="1" applyFill="1" applyBorder="1" applyAlignment="1">
      <alignment horizontal="center" vertical="center"/>
    </xf>
    <xf numFmtId="185" fontId="191" fillId="0" borderId="23" xfId="0" applyNumberFormat="1" applyFont="1" applyFill="1" applyBorder="1" applyAlignment="1">
      <alignment horizontal="center" vertical="center"/>
    </xf>
    <xf numFmtId="185" fontId="191" fillId="33" borderId="26" xfId="0" applyNumberFormat="1" applyFont="1" applyFill="1" applyBorder="1" applyAlignment="1">
      <alignment horizontal="center" vertical="center"/>
    </xf>
    <xf numFmtId="184" fontId="191" fillId="33" borderId="0" xfId="0" applyNumberFormat="1" applyFont="1" applyFill="1" applyAlignment="1">
      <alignment horizontal="center" vertical="center"/>
    </xf>
    <xf numFmtId="184" fontId="193" fillId="34" borderId="18" xfId="0" applyNumberFormat="1" applyFont="1" applyFill="1" applyBorder="1" applyAlignment="1">
      <alignment horizontal="center" vertical="center"/>
    </xf>
    <xf numFmtId="184" fontId="191" fillId="0" borderId="10" xfId="0" applyNumberFormat="1" applyFont="1" applyFill="1" applyBorder="1" applyAlignment="1">
      <alignment horizontal="center" vertical="center"/>
    </xf>
    <xf numFmtId="184" fontId="191" fillId="0" borderId="23" xfId="0" applyNumberFormat="1" applyFont="1" applyFill="1" applyBorder="1" applyAlignment="1">
      <alignment horizontal="center" vertical="center"/>
    </xf>
    <xf numFmtId="184" fontId="191" fillId="33" borderId="23" xfId="0" applyNumberFormat="1" applyFont="1" applyFill="1" applyBorder="1" applyAlignment="1">
      <alignment horizontal="center" vertical="center"/>
    </xf>
    <xf numFmtId="184" fontId="191" fillId="33" borderId="26" xfId="0" applyNumberFormat="1" applyFont="1" applyFill="1" applyBorder="1" applyAlignment="1">
      <alignment horizontal="center" vertical="center"/>
    </xf>
    <xf numFmtId="184" fontId="191" fillId="33" borderId="15" xfId="0" applyNumberFormat="1" applyFont="1" applyFill="1" applyBorder="1" applyAlignment="1">
      <alignment horizontal="center" vertical="center"/>
    </xf>
    <xf numFmtId="0" fontId="174" fillId="33" borderId="27" xfId="4820" applyFont="1" applyFill="1" applyBorder="1" applyAlignment="1">
      <alignment horizontal="center" vertical="center"/>
    </xf>
    <xf numFmtId="0" fontId="179" fillId="0" borderId="54" xfId="4820" applyFont="1" applyBorder="1" applyAlignment="1">
      <alignment horizontal="center" vertical="center"/>
    </xf>
    <xf numFmtId="0" fontId="179" fillId="36" borderId="54" xfId="4820" applyFont="1" applyFill="1" applyBorder="1" applyAlignment="1">
      <alignment horizontal="center" vertical="center"/>
    </xf>
    <xf numFmtId="0" fontId="174" fillId="33" borderId="79" xfId="4820" applyFont="1" applyFill="1" applyBorder="1" applyAlignment="1">
      <alignment horizontal="center" vertical="center"/>
    </xf>
    <xf numFmtId="221" fontId="174" fillId="33" borderId="79" xfId="4820" applyNumberFormat="1" applyFont="1" applyFill="1" applyBorder="1" applyAlignment="1">
      <alignment horizontal="center" vertical="center"/>
    </xf>
    <xf numFmtId="0" fontId="174" fillId="33" borderId="80" xfId="4820" applyFont="1" applyFill="1" applyBorder="1" applyAlignment="1">
      <alignment horizontal="center" vertical="center"/>
    </xf>
    <xf numFmtId="0" fontId="174" fillId="33" borderId="81" xfId="4820" applyFont="1" applyFill="1" applyBorder="1" applyAlignment="1">
      <alignment horizontal="center" vertical="center"/>
    </xf>
    <xf numFmtId="221" fontId="174" fillId="33" borderId="81" xfId="4820" applyNumberFormat="1" applyFont="1" applyFill="1" applyBorder="1" applyAlignment="1">
      <alignment horizontal="center" vertical="center"/>
    </xf>
    <xf numFmtId="0" fontId="174" fillId="33" borderId="82" xfId="4820" applyFont="1" applyFill="1" applyBorder="1" applyAlignment="1">
      <alignment horizontal="center" vertical="center"/>
    </xf>
    <xf numFmtId="225" fontId="191" fillId="33" borderId="79" xfId="0" applyNumberFormat="1" applyFont="1" applyFill="1" applyBorder="1" applyAlignment="1">
      <alignment horizontal="center" vertical="center"/>
    </xf>
    <xf numFmtId="185" fontId="191" fillId="33" borderId="79" xfId="0" applyNumberFormat="1" applyFont="1" applyFill="1" applyBorder="1" applyAlignment="1">
      <alignment horizontal="center" vertical="center"/>
    </xf>
    <xf numFmtId="184" fontId="191" fillId="33" borderId="79" xfId="0" applyNumberFormat="1" applyFont="1" applyFill="1" applyBorder="1" applyAlignment="1">
      <alignment horizontal="center" vertical="center"/>
    </xf>
    <xf numFmtId="0" fontId="191" fillId="33" borderId="79" xfId="0" applyNumberFormat="1" applyFont="1" applyFill="1" applyBorder="1" applyAlignment="1">
      <alignment horizontal="center" vertical="center"/>
    </xf>
    <xf numFmtId="0" fontId="191" fillId="33" borderId="58" xfId="0" applyFont="1" applyFill="1" applyBorder="1" applyAlignment="1">
      <alignment horizontal="center" vertical="center"/>
    </xf>
    <xf numFmtId="225" fontId="191" fillId="33" borderId="81" xfId="0" applyNumberFormat="1" applyFont="1" applyFill="1" applyBorder="1" applyAlignment="1">
      <alignment horizontal="center" vertical="center"/>
    </xf>
    <xf numFmtId="185" fontId="191" fillId="33" borderId="81" xfId="0" applyNumberFormat="1" applyFont="1" applyFill="1" applyBorder="1" applyAlignment="1">
      <alignment horizontal="center" vertical="center"/>
    </xf>
    <xf numFmtId="184" fontId="191" fillId="33" borderId="81" xfId="0" applyNumberFormat="1" applyFont="1" applyFill="1" applyBorder="1" applyAlignment="1">
      <alignment horizontal="center" vertical="center"/>
    </xf>
    <xf numFmtId="0" fontId="191" fillId="33" borderId="81" xfId="0" applyNumberFormat="1" applyFont="1" applyFill="1" applyBorder="1" applyAlignment="1">
      <alignment horizontal="center" vertical="center"/>
    </xf>
    <xf numFmtId="0" fontId="191" fillId="0" borderId="79" xfId="0" applyNumberFormat="1" applyFont="1" applyBorder="1" applyAlignment="1">
      <alignment horizontal="center" vertical="center"/>
    </xf>
    <xf numFmtId="0" fontId="191" fillId="0" borderId="81" xfId="0" applyNumberFormat="1" applyFont="1" applyBorder="1" applyAlignment="1">
      <alignment horizontal="center" vertical="center"/>
    </xf>
    <xf numFmtId="179" fontId="193" fillId="34" borderId="10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27" xfId="0" applyBorder="1" applyAlignment="1">
      <alignment horizontal="center" vertical="center"/>
    </xf>
    <xf numFmtId="0" fontId="25" fillId="0" borderId="0" xfId="0" applyFont="1">
      <alignment vertical="center"/>
    </xf>
    <xf numFmtId="0" fontId="25" fillId="0" borderId="0" xfId="0" applyFont="1" applyFill="1" applyBorder="1">
      <alignment vertical="center"/>
    </xf>
    <xf numFmtId="0" fontId="205" fillId="0" borderId="0" xfId="0" applyNumberFormat="1" applyFont="1" applyFill="1" applyBorder="1" applyAlignment="1">
      <alignment horizontal="center" vertical="center"/>
    </xf>
    <xf numFmtId="0" fontId="205" fillId="0" borderId="0" xfId="0" applyFont="1" applyFill="1" applyBorder="1" applyAlignment="1">
      <alignment horizontal="center" vertical="center"/>
    </xf>
    <xf numFmtId="0" fontId="205" fillId="0" borderId="0" xfId="0" applyFont="1" applyFill="1" applyBorder="1" applyAlignment="1">
      <alignment vertical="center"/>
    </xf>
    <xf numFmtId="0" fontId="199" fillId="0" borderId="0" xfId="0" applyFont="1" applyFill="1" applyBorder="1" applyAlignment="1">
      <alignment vertical="center"/>
    </xf>
    <xf numFmtId="0" fontId="25" fillId="0" borderId="0" xfId="0" applyNumberFormat="1" applyFont="1" applyFill="1" applyBorder="1">
      <alignment vertical="center"/>
    </xf>
    <xf numFmtId="225" fontId="25" fillId="0" borderId="0" xfId="0" applyNumberFormat="1" applyFont="1" applyFill="1" applyBorder="1">
      <alignment vertical="center"/>
    </xf>
    <xf numFmtId="185" fontId="25" fillId="0" borderId="0" xfId="0" applyNumberFormat="1" applyFont="1" applyFill="1" applyBorder="1" applyAlignment="1">
      <alignment vertical="center"/>
    </xf>
    <xf numFmtId="185" fontId="25" fillId="0" borderId="0" xfId="0" applyNumberFormat="1" applyFont="1" applyFill="1" applyBorder="1">
      <alignment vertical="center"/>
    </xf>
    <xf numFmtId="225" fontId="191" fillId="0" borderId="0" xfId="0" applyNumberFormat="1" applyFont="1" applyFill="1" applyBorder="1">
      <alignment vertical="center"/>
    </xf>
    <xf numFmtId="11" fontId="191" fillId="0" borderId="0" xfId="0" applyNumberFormat="1" applyFont="1" applyFill="1" applyBorder="1" applyAlignment="1">
      <alignment horizontal="center" vertical="center"/>
    </xf>
    <xf numFmtId="0" fontId="191" fillId="0" borderId="0" xfId="0" applyFont="1" applyFill="1" applyBorder="1" applyAlignment="1">
      <alignment horizontal="center" vertical="center"/>
    </xf>
    <xf numFmtId="0" fontId="191" fillId="0" borderId="0" xfId="0" applyFont="1" applyFill="1" applyBorder="1">
      <alignment vertical="center"/>
    </xf>
    <xf numFmtId="0" fontId="25" fillId="0" borderId="0" xfId="0" applyFont="1" applyAlignment="1">
      <alignment horizontal="left" vertical="center"/>
    </xf>
    <xf numFmtId="0" fontId="206" fillId="0" borderId="0" xfId="0" applyNumberFormat="1" applyFont="1" applyFill="1" applyBorder="1" applyAlignment="1">
      <alignment horizontal="center" vertical="center"/>
    </xf>
    <xf numFmtId="225" fontId="207" fillId="0" borderId="0" xfId="0" applyNumberFormat="1" applyFont="1" applyFill="1" applyBorder="1" applyAlignment="1">
      <alignment horizontal="center" vertical="center"/>
    </xf>
    <xf numFmtId="185" fontId="207" fillId="0" borderId="0" xfId="0" applyNumberFormat="1" applyFont="1" applyFill="1" applyBorder="1" applyAlignment="1">
      <alignment vertical="center"/>
    </xf>
    <xf numFmtId="185" fontId="174" fillId="0" borderId="0" xfId="0" applyNumberFormat="1" applyFont="1" applyFill="1" applyBorder="1" applyAlignment="1">
      <alignment horizontal="center" vertical="center"/>
    </xf>
    <xf numFmtId="225" fontId="193" fillId="0" borderId="0" xfId="0" applyNumberFormat="1" applyFont="1" applyFill="1" applyBorder="1" applyAlignment="1">
      <alignment horizontal="center" vertical="center"/>
    </xf>
    <xf numFmtId="179" fontId="193" fillId="0" borderId="0" xfId="0" applyNumberFormat="1" applyFont="1" applyFill="1" applyBorder="1" applyAlignment="1">
      <alignment horizontal="center" vertical="center"/>
    </xf>
    <xf numFmtId="0" fontId="25" fillId="0" borderId="0" xfId="0" applyNumberFormat="1" applyFont="1" applyFill="1" applyBorder="1" applyAlignment="1">
      <alignment horizontal="center" vertical="center"/>
    </xf>
    <xf numFmtId="225" fontId="25" fillId="0" borderId="0" xfId="0" applyNumberFormat="1" applyFont="1" applyFill="1" applyBorder="1" applyAlignment="1">
      <alignment horizontal="center" vertical="center"/>
    </xf>
    <xf numFmtId="185" fontId="25" fillId="0" borderId="0" xfId="0" applyNumberFormat="1" applyFont="1" applyFill="1" applyBorder="1" applyAlignment="1">
      <alignment horizontal="center" vertical="center"/>
    </xf>
    <xf numFmtId="225" fontId="191" fillId="0" borderId="0" xfId="0" applyNumberFormat="1" applyFont="1" applyFill="1" applyBorder="1" applyAlignment="1">
      <alignment horizontal="center" vertical="center"/>
    </xf>
    <xf numFmtId="11" fontId="191" fillId="0" borderId="0" xfId="0" quotePrefix="1" applyNumberFormat="1" applyFont="1" applyFill="1" applyBorder="1" applyAlignment="1">
      <alignment horizontal="center" vertical="center"/>
    </xf>
    <xf numFmtId="179" fontId="191" fillId="0" borderId="0" xfId="0" quotePrefix="1" applyNumberFormat="1" applyFont="1" applyFill="1" applyBorder="1" applyAlignment="1">
      <alignment horizontal="center" vertical="center"/>
    </xf>
    <xf numFmtId="179" fontId="191" fillId="0" borderId="0" xfId="0" applyNumberFormat="1" applyFont="1" applyFill="1" applyBorder="1" applyAlignment="1">
      <alignment horizontal="center" vertical="center"/>
    </xf>
    <xf numFmtId="180" fontId="191" fillId="33" borderId="79" xfId="0" applyNumberFormat="1" applyFont="1" applyFill="1" applyBorder="1" applyAlignment="1">
      <alignment horizontal="center" vertical="center"/>
    </xf>
    <xf numFmtId="180" fontId="191" fillId="0" borderId="79" xfId="0" quotePrefix="1" applyNumberFormat="1" applyFont="1" applyBorder="1" applyAlignment="1">
      <alignment horizontal="center" vertical="center"/>
    </xf>
    <xf numFmtId="225" fontId="191" fillId="0" borderId="79" xfId="0" applyNumberFormat="1" applyFont="1" applyBorder="1" applyAlignment="1">
      <alignment horizontal="center" vertical="center"/>
    </xf>
    <xf numFmtId="185" fontId="191" fillId="0" borderId="79" xfId="0" applyNumberFormat="1" applyFont="1" applyBorder="1" applyAlignment="1">
      <alignment horizontal="center" vertical="center"/>
    </xf>
    <xf numFmtId="184" fontId="191" fillId="0" borderId="79" xfId="0" applyNumberFormat="1" applyFont="1" applyBorder="1" applyAlignment="1">
      <alignment horizontal="center" vertical="center"/>
    </xf>
    <xf numFmtId="11" fontId="190" fillId="0" borderId="0" xfId="0" applyNumberFormat="1" applyFont="1" applyFill="1" applyBorder="1" applyAlignment="1">
      <alignment horizontal="center" vertical="center"/>
    </xf>
    <xf numFmtId="0" fontId="194" fillId="0" borderId="0" xfId="0" applyFont="1" applyFill="1" applyBorder="1" applyAlignment="1">
      <alignment horizontal="center" vertical="center"/>
    </xf>
    <xf numFmtId="0" fontId="191" fillId="33" borderId="79" xfId="0" applyFont="1" applyFill="1" applyBorder="1">
      <alignment vertical="center"/>
    </xf>
    <xf numFmtId="0" fontId="207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180" fontId="25" fillId="0" borderId="0" xfId="0" quotePrefix="1" applyNumberFormat="1" applyFont="1" applyFill="1" applyBorder="1" applyAlignment="1">
      <alignment horizontal="center" vertical="center"/>
    </xf>
    <xf numFmtId="0" fontId="191" fillId="33" borderId="81" xfId="0" applyFont="1" applyFill="1" applyBorder="1">
      <alignment vertical="center"/>
    </xf>
    <xf numFmtId="180" fontId="191" fillId="0" borderId="81" xfId="0" quotePrefix="1" applyNumberFormat="1" applyFont="1" applyBorder="1" applyAlignment="1">
      <alignment horizontal="center" vertical="center"/>
    </xf>
    <xf numFmtId="225" fontId="191" fillId="0" borderId="81" xfId="0" applyNumberFormat="1" applyFont="1" applyBorder="1" applyAlignment="1">
      <alignment horizontal="center" vertical="center"/>
    </xf>
    <xf numFmtId="185" fontId="191" fillId="0" borderId="81" xfId="0" applyNumberFormat="1" applyFont="1" applyBorder="1" applyAlignment="1">
      <alignment horizontal="center" vertical="center"/>
    </xf>
    <xf numFmtId="184" fontId="191" fillId="0" borderId="81" xfId="0" applyNumberFormat="1" applyFont="1" applyBorder="1" applyAlignment="1">
      <alignment horizontal="center" vertical="center"/>
    </xf>
    <xf numFmtId="0" fontId="191" fillId="0" borderId="82" xfId="0" applyNumberFormat="1" applyFont="1" applyBorder="1" applyAlignment="1">
      <alignment horizontal="center" vertical="center"/>
    </xf>
    <xf numFmtId="11" fontId="191" fillId="0" borderId="83" xfId="0" applyNumberFormat="1" applyFont="1" applyBorder="1" applyAlignment="1">
      <alignment horizontal="center" vertical="center"/>
    </xf>
    <xf numFmtId="225" fontId="18" fillId="0" borderId="0" xfId="0" applyNumberFormat="1" applyFont="1" applyFill="1" applyBorder="1" applyAlignment="1">
      <alignment horizontal="center" vertical="center"/>
    </xf>
    <xf numFmtId="185" fontId="18" fillId="0" borderId="0" xfId="0" applyNumberFormat="1" applyFont="1" applyFill="1" applyBorder="1" applyAlignment="1">
      <alignment vertical="center"/>
    </xf>
    <xf numFmtId="185" fontId="18" fillId="0" borderId="0" xfId="0" applyNumberFormat="1" applyFont="1" applyFill="1" applyBorder="1" applyAlignment="1">
      <alignment horizontal="center" vertical="center"/>
    </xf>
    <xf numFmtId="225" fontId="190" fillId="0" borderId="0" xfId="0" applyNumberFormat="1" applyFont="1" applyFill="1" applyBorder="1" applyAlignment="1">
      <alignment horizontal="center" vertical="center"/>
    </xf>
    <xf numFmtId="180" fontId="25" fillId="0" borderId="0" xfId="0" applyNumberFormat="1" applyFont="1" applyFill="1" applyBorder="1" applyAlignment="1">
      <alignment horizontal="center" vertical="center"/>
    </xf>
    <xf numFmtId="0" fontId="191" fillId="0" borderId="80" xfId="0" applyFont="1" applyBorder="1">
      <alignment vertical="center"/>
    </xf>
    <xf numFmtId="0" fontId="201" fillId="0" borderId="0" xfId="0" applyFont="1" applyFill="1" applyBorder="1" applyAlignment="1">
      <alignment horizontal="center" vertical="center"/>
    </xf>
    <xf numFmtId="180" fontId="191" fillId="33" borderId="79" xfId="0" quotePrefix="1" applyNumberFormat="1" applyFont="1" applyFill="1" applyBorder="1" applyAlignment="1">
      <alignment horizontal="center" vertical="center"/>
    </xf>
    <xf numFmtId="180" fontId="191" fillId="33" borderId="81" xfId="0" quotePrefix="1" applyNumberFormat="1" applyFont="1" applyFill="1" applyBorder="1" applyAlignment="1">
      <alignment horizontal="center" vertical="center"/>
    </xf>
    <xf numFmtId="0" fontId="191" fillId="33" borderId="82" xfId="0" applyNumberFormat="1" applyFont="1" applyFill="1" applyBorder="1" applyAlignment="1">
      <alignment horizontal="center" vertical="center"/>
    </xf>
    <xf numFmtId="11" fontId="191" fillId="33" borderId="83" xfId="0" applyNumberFormat="1" applyFont="1" applyFill="1" applyBorder="1" applyAlignment="1">
      <alignment horizontal="center" vertical="center"/>
    </xf>
    <xf numFmtId="0" fontId="191" fillId="33" borderId="80" xfId="0" applyFont="1" applyFill="1" applyBorder="1">
      <alignment vertical="center"/>
    </xf>
    <xf numFmtId="225" fontId="190" fillId="33" borderId="79" xfId="0" applyNumberFormat="1" applyFont="1" applyFill="1" applyBorder="1" applyAlignment="1">
      <alignment horizontal="center" vertical="center"/>
    </xf>
    <xf numFmtId="184" fontId="190" fillId="33" borderId="79" xfId="0" applyNumberFormat="1" applyFont="1" applyFill="1" applyBorder="1" applyAlignment="1">
      <alignment horizontal="center" vertical="center"/>
    </xf>
    <xf numFmtId="185" fontId="190" fillId="33" borderId="79" xfId="0" applyNumberFormat="1" applyFont="1" applyFill="1" applyBorder="1" applyAlignment="1">
      <alignment horizontal="center" vertical="center"/>
    </xf>
    <xf numFmtId="225" fontId="190" fillId="33" borderId="81" xfId="0" applyNumberFormat="1" applyFont="1" applyFill="1" applyBorder="1" applyAlignment="1">
      <alignment horizontal="center" vertical="center"/>
    </xf>
    <xf numFmtId="185" fontId="190" fillId="33" borderId="81" xfId="0" applyNumberFormat="1" applyFont="1" applyFill="1" applyBorder="1" applyAlignment="1">
      <alignment horizontal="center" vertical="center"/>
    </xf>
    <xf numFmtId="0" fontId="191" fillId="33" borderId="82" xfId="0" applyFont="1" applyFill="1" applyBorder="1">
      <alignment vertical="center"/>
    </xf>
    <xf numFmtId="0" fontId="25" fillId="0" borderId="0" xfId="0" applyNumberFormat="1" applyFont="1">
      <alignment vertical="center"/>
    </xf>
    <xf numFmtId="225" fontId="207" fillId="34" borderId="70" xfId="0" applyNumberFormat="1" applyFont="1" applyFill="1" applyBorder="1" applyAlignment="1">
      <alignment horizontal="center" vertical="center"/>
    </xf>
    <xf numFmtId="225" fontId="207" fillId="34" borderId="10" xfId="0" applyNumberFormat="1" applyFont="1" applyFill="1" applyBorder="1" applyAlignment="1">
      <alignment horizontal="center" vertical="center"/>
    </xf>
    <xf numFmtId="225" fontId="207" fillId="34" borderId="11" xfId="0" applyNumberFormat="1" applyFont="1" applyFill="1" applyBorder="1" applyAlignment="1">
      <alignment horizontal="center" vertical="center"/>
    </xf>
    <xf numFmtId="185" fontId="207" fillId="34" borderId="69" xfId="0" applyNumberFormat="1" applyFont="1" applyFill="1" applyBorder="1" applyAlignment="1">
      <alignment horizontal="center" vertical="center"/>
    </xf>
    <xf numFmtId="0" fontId="174" fillId="34" borderId="10" xfId="0" applyNumberFormat="1" applyFont="1" applyFill="1" applyBorder="1" applyAlignment="1">
      <alignment horizontal="center" vertical="center"/>
    </xf>
    <xf numFmtId="225" fontId="174" fillId="34" borderId="71" xfId="0" applyNumberFormat="1" applyFont="1" applyFill="1" applyBorder="1" applyAlignment="1">
      <alignment horizontal="center" vertical="center"/>
    </xf>
    <xf numFmtId="225" fontId="174" fillId="34" borderId="72" xfId="0" applyNumberFormat="1" applyFont="1" applyFill="1" applyBorder="1" applyAlignment="1">
      <alignment vertical="center"/>
    </xf>
    <xf numFmtId="0" fontId="25" fillId="0" borderId="73" xfId="0" applyFont="1" applyBorder="1" applyAlignment="1">
      <alignment horizontal="center" vertical="center"/>
    </xf>
    <xf numFmtId="0" fontId="25" fillId="0" borderId="76" xfId="0" applyFont="1" applyBorder="1" applyAlignment="1">
      <alignment horizontal="center" vertical="center"/>
    </xf>
    <xf numFmtId="0" fontId="191" fillId="0" borderId="82" xfId="0" applyFont="1" applyBorder="1">
      <alignment vertical="center"/>
    </xf>
    <xf numFmtId="0" fontId="191" fillId="33" borderId="81" xfId="0" applyFont="1" applyFill="1" applyBorder="1" applyAlignment="1">
      <alignment horizontal="center" vertical="center"/>
    </xf>
    <xf numFmtId="0" fontId="178" fillId="36" borderId="15" xfId="4820" applyFont="1" applyFill="1" applyBorder="1" applyAlignment="1">
      <alignment horizontal="center" vertical="center"/>
    </xf>
    <xf numFmtId="0" fontId="177" fillId="36" borderId="15" xfId="4820" applyFont="1" applyFill="1" applyBorder="1" applyAlignment="1">
      <alignment horizontal="center" vertical="center"/>
    </xf>
    <xf numFmtId="0" fontId="177" fillId="36" borderId="55" xfId="4820" applyFont="1" applyFill="1" applyBorder="1" applyAlignment="1">
      <alignment horizontal="center" vertical="center"/>
    </xf>
    <xf numFmtId="0" fontId="177" fillId="36" borderId="27" xfId="4820" applyFont="1" applyFill="1" applyBorder="1" applyAlignment="1">
      <alignment horizontal="center" vertical="center"/>
    </xf>
    <xf numFmtId="0" fontId="177" fillId="36" borderId="33" xfId="4820" applyFont="1" applyFill="1" applyBorder="1" applyAlignment="1">
      <alignment horizontal="center" vertical="center"/>
    </xf>
    <xf numFmtId="0" fontId="177" fillId="36" borderId="54" xfId="4820" applyFont="1" applyFill="1" applyBorder="1" applyAlignment="1">
      <alignment horizontal="center" vertical="center"/>
    </xf>
    <xf numFmtId="0" fontId="174" fillId="33" borderId="83" xfId="4820" applyFont="1" applyFill="1" applyBorder="1" applyAlignment="1">
      <alignment horizontal="center" vertical="center"/>
    </xf>
    <xf numFmtId="0" fontId="174" fillId="33" borderId="84" xfId="4820" applyFont="1" applyFill="1" applyBorder="1" applyAlignment="1">
      <alignment horizontal="center" vertical="center"/>
    </xf>
    <xf numFmtId="0" fontId="174" fillId="33" borderId="85" xfId="4820" applyFont="1" applyFill="1" applyBorder="1" applyAlignment="1">
      <alignment horizontal="center" vertical="center"/>
    </xf>
    <xf numFmtId="0" fontId="174" fillId="33" borderId="86" xfId="4820" applyFont="1" applyFill="1" applyBorder="1" applyAlignment="1">
      <alignment horizontal="center" vertical="center"/>
    </xf>
    <xf numFmtId="0" fontId="191" fillId="33" borderId="17" xfId="0" applyFont="1" applyFill="1" applyBorder="1" applyAlignment="1">
      <alignment horizontal="center" vertical="center"/>
    </xf>
    <xf numFmtId="0" fontId="191" fillId="33" borderId="84" xfId="0" applyFont="1" applyFill="1" applyBorder="1" applyAlignment="1">
      <alignment horizontal="center" vertical="center"/>
    </xf>
    <xf numFmtId="0" fontId="191" fillId="33" borderId="18" xfId="0" applyFont="1" applyFill="1" applyBorder="1" applyAlignment="1">
      <alignment horizontal="center" vertical="center"/>
    </xf>
    <xf numFmtId="0" fontId="191" fillId="33" borderId="86" xfId="0" applyFont="1" applyFill="1" applyBorder="1" applyAlignment="1">
      <alignment horizontal="center" vertical="center"/>
    </xf>
    <xf numFmtId="0" fontId="192" fillId="33" borderId="17" xfId="0" applyFont="1" applyFill="1" applyBorder="1" applyAlignment="1">
      <alignment horizontal="center" vertical="center"/>
    </xf>
    <xf numFmtId="0" fontId="192" fillId="33" borderId="20" xfId="0" applyFont="1" applyFill="1" applyBorder="1" applyAlignment="1">
      <alignment horizontal="center" vertical="center"/>
    </xf>
    <xf numFmtId="180" fontId="191" fillId="33" borderId="18" xfId="0" applyNumberFormat="1" applyFont="1" applyFill="1" applyBorder="1" applyAlignment="1">
      <alignment horizontal="center" vertical="center"/>
    </xf>
    <xf numFmtId="180" fontId="191" fillId="33" borderId="21" xfId="0" applyNumberFormat="1" applyFont="1" applyFill="1" applyBorder="1" applyAlignment="1">
      <alignment horizontal="center" vertical="center"/>
    </xf>
    <xf numFmtId="181" fontId="191" fillId="33" borderId="18" xfId="1" applyNumberFormat="1" applyFont="1" applyFill="1" applyBorder="1" applyAlignment="1">
      <alignment horizontal="center" vertical="center"/>
    </xf>
    <xf numFmtId="181" fontId="191" fillId="33" borderId="21" xfId="1" applyNumberFormat="1" applyFont="1" applyFill="1" applyBorder="1" applyAlignment="1">
      <alignment horizontal="center" vertical="center"/>
    </xf>
    <xf numFmtId="181" fontId="191" fillId="33" borderId="86" xfId="1" applyNumberFormat="1" applyFont="1" applyFill="1" applyBorder="1" applyAlignment="1">
      <alignment horizontal="center" vertical="center"/>
    </xf>
    <xf numFmtId="0" fontId="191" fillId="33" borderId="18" xfId="1" applyNumberFormat="1" applyFont="1" applyFill="1" applyBorder="1" applyAlignment="1">
      <alignment horizontal="center" vertical="center"/>
    </xf>
    <xf numFmtId="0" fontId="191" fillId="33" borderId="21" xfId="1" applyNumberFormat="1" applyFont="1" applyFill="1" applyBorder="1" applyAlignment="1">
      <alignment horizontal="center" vertical="center"/>
    </xf>
    <xf numFmtId="179" fontId="191" fillId="33" borderId="19" xfId="0" quotePrefix="1" applyNumberFormat="1" applyFont="1" applyFill="1" applyBorder="1" applyAlignment="1">
      <alignment horizontal="center" vertical="center"/>
    </xf>
    <xf numFmtId="179" fontId="191" fillId="33" borderId="22" xfId="0" quotePrefix="1" applyNumberFormat="1" applyFont="1" applyFill="1" applyBorder="1" applyAlignment="1">
      <alignment horizontal="center" vertical="center"/>
    </xf>
    <xf numFmtId="0" fontId="192" fillId="33" borderId="18" xfId="0" applyFont="1" applyFill="1" applyBorder="1" applyAlignment="1">
      <alignment horizontal="center" vertical="center"/>
    </xf>
    <xf numFmtId="0" fontId="192" fillId="33" borderId="21" xfId="0" applyFont="1" applyFill="1" applyBorder="1" applyAlignment="1">
      <alignment horizontal="center" vertical="center"/>
    </xf>
    <xf numFmtId="221" fontId="192" fillId="33" borderId="18" xfId="0" quotePrefix="1" applyNumberFormat="1" applyFont="1" applyFill="1" applyBorder="1" applyAlignment="1">
      <alignment horizontal="center" vertical="center"/>
    </xf>
    <xf numFmtId="221" fontId="192" fillId="33" borderId="21" xfId="0" quotePrefix="1" applyNumberFormat="1" applyFont="1" applyFill="1" applyBorder="1" applyAlignment="1">
      <alignment horizontal="center" vertical="center"/>
    </xf>
    <xf numFmtId="221" fontId="192" fillId="33" borderId="21" xfId="0" applyNumberFormat="1" applyFont="1" applyFill="1" applyBorder="1" applyAlignment="1">
      <alignment horizontal="center" vertical="center"/>
    </xf>
    <xf numFmtId="180" fontId="195" fillId="33" borderId="18" xfId="0" applyNumberFormat="1" applyFont="1" applyFill="1" applyBorder="1" applyAlignment="1">
      <alignment horizontal="center" vertical="center"/>
    </xf>
    <xf numFmtId="180" fontId="195" fillId="33" borderId="21" xfId="0" applyNumberFormat="1" applyFont="1" applyFill="1" applyBorder="1" applyAlignment="1">
      <alignment horizontal="center" vertical="center"/>
    </xf>
    <xf numFmtId="221" fontId="192" fillId="36" borderId="18" xfId="0" quotePrefix="1" applyNumberFormat="1" applyFont="1" applyFill="1" applyBorder="1" applyAlignment="1">
      <alignment horizontal="center" vertical="center"/>
    </xf>
    <xf numFmtId="221" fontId="192" fillId="36" borderId="21" xfId="0" applyNumberFormat="1" applyFont="1" applyFill="1" applyBorder="1" applyAlignment="1">
      <alignment horizontal="center" vertical="center"/>
    </xf>
    <xf numFmtId="221" fontId="192" fillId="80" borderId="18" xfId="0" quotePrefix="1" applyNumberFormat="1" applyFont="1" applyFill="1" applyBorder="1" applyAlignment="1">
      <alignment horizontal="center" vertical="center"/>
    </xf>
    <xf numFmtId="221" fontId="192" fillId="80" borderId="21" xfId="0" applyNumberFormat="1" applyFont="1" applyFill="1" applyBorder="1" applyAlignment="1">
      <alignment horizontal="center" vertical="center"/>
    </xf>
    <xf numFmtId="0" fontId="192" fillId="80" borderId="17" xfId="0" applyFont="1" applyFill="1" applyBorder="1" applyAlignment="1">
      <alignment horizontal="center" vertical="center"/>
    </xf>
    <xf numFmtId="0" fontId="192" fillId="80" borderId="20" xfId="0" applyFont="1" applyFill="1" applyBorder="1" applyAlignment="1">
      <alignment horizontal="center" vertical="center"/>
    </xf>
    <xf numFmtId="0" fontId="192" fillId="0" borderId="17" xfId="0" applyFont="1" applyFill="1" applyBorder="1" applyAlignment="1">
      <alignment horizontal="center" vertical="center"/>
    </xf>
    <xf numFmtId="0" fontId="192" fillId="0" borderId="20" xfId="0" applyFont="1" applyFill="1" applyBorder="1" applyAlignment="1">
      <alignment horizontal="center" vertical="center"/>
    </xf>
    <xf numFmtId="0" fontId="192" fillId="33" borderId="51" xfId="0" applyFont="1" applyFill="1" applyBorder="1" applyAlignment="1">
      <alignment horizontal="center" vertical="center"/>
    </xf>
    <xf numFmtId="221" fontId="192" fillId="36" borderId="59" xfId="0" quotePrefix="1" applyNumberFormat="1" applyFont="1" applyFill="1" applyBorder="1" applyAlignment="1">
      <alignment horizontal="center" vertical="center"/>
    </xf>
    <xf numFmtId="181" fontId="26" fillId="33" borderId="18" xfId="1" applyNumberFormat="1" applyFont="1" applyFill="1" applyBorder="1" applyAlignment="1">
      <alignment horizontal="center" vertical="center"/>
    </xf>
    <xf numFmtId="181" fontId="26" fillId="33" borderId="21" xfId="1" applyNumberFormat="1" applyFont="1" applyFill="1" applyBorder="1" applyAlignment="1">
      <alignment horizontal="center" vertical="center"/>
    </xf>
    <xf numFmtId="179" fontId="26" fillId="33" borderId="19" xfId="0" quotePrefix="1" applyNumberFormat="1" applyFont="1" applyFill="1" applyBorder="1" applyAlignment="1">
      <alignment horizontal="center" vertical="center"/>
    </xf>
    <xf numFmtId="179" fontId="26" fillId="33" borderId="22" xfId="0" quotePrefix="1" applyNumberFormat="1" applyFont="1" applyFill="1" applyBorder="1" applyAlignment="1">
      <alignment horizontal="center" vertical="center"/>
    </xf>
    <xf numFmtId="0" fontId="24" fillId="33" borderId="17" xfId="0" applyFont="1" applyFill="1" applyBorder="1" applyAlignment="1">
      <alignment horizontal="center" vertical="center"/>
    </xf>
    <xf numFmtId="0" fontId="24" fillId="33" borderId="20" xfId="0" applyFont="1" applyFill="1" applyBorder="1" applyAlignment="1">
      <alignment horizontal="center" vertical="center"/>
    </xf>
    <xf numFmtId="221" fontId="24" fillId="33" borderId="18" xfId="0" quotePrefix="1" applyNumberFormat="1" applyFont="1" applyFill="1" applyBorder="1" applyAlignment="1">
      <alignment horizontal="center" vertical="center"/>
    </xf>
    <xf numFmtId="221" fontId="24" fillId="33" borderId="21" xfId="0" applyNumberFormat="1" applyFont="1" applyFill="1" applyBorder="1" applyAlignment="1">
      <alignment horizontal="center" vertical="center"/>
    </xf>
    <xf numFmtId="180" fontId="25" fillId="33" borderId="18" xfId="0" applyNumberFormat="1" applyFont="1" applyFill="1" applyBorder="1" applyAlignment="1">
      <alignment horizontal="center" vertical="center"/>
    </xf>
    <xf numFmtId="180" fontId="25" fillId="33" borderId="21" xfId="0" applyNumberFormat="1" applyFont="1" applyFill="1" applyBorder="1" applyAlignment="1">
      <alignment horizontal="center" vertical="center"/>
    </xf>
    <xf numFmtId="0" fontId="24" fillId="0" borderId="17" xfId="0" applyFont="1" applyFill="1" applyBorder="1" applyAlignment="1">
      <alignment horizontal="center" vertical="center"/>
    </xf>
    <xf numFmtId="0" fontId="24" fillId="0" borderId="20" xfId="0" applyFont="1" applyFill="1" applyBorder="1" applyAlignment="1">
      <alignment horizontal="center" vertical="center"/>
    </xf>
    <xf numFmtId="221" fontId="24" fillId="0" borderId="18" xfId="0" quotePrefix="1" applyNumberFormat="1" applyFont="1" applyFill="1" applyBorder="1" applyAlignment="1">
      <alignment horizontal="center" vertical="center"/>
    </xf>
    <xf numFmtId="221" fontId="24" fillId="0" borderId="21" xfId="0" applyNumberFormat="1" applyFont="1" applyFill="1" applyBorder="1" applyAlignment="1">
      <alignment horizontal="center" vertical="center"/>
    </xf>
    <xf numFmtId="180" fontId="18" fillId="0" borderId="17" xfId="0" applyNumberFormat="1" applyFont="1" applyFill="1" applyBorder="1" applyAlignment="1">
      <alignment horizontal="center" vertical="center"/>
    </xf>
    <xf numFmtId="180" fontId="18" fillId="0" borderId="51" xfId="0" applyNumberFormat="1" applyFont="1" applyFill="1" applyBorder="1" applyAlignment="1">
      <alignment horizontal="center" vertical="center"/>
    </xf>
    <xf numFmtId="180" fontId="18" fillId="0" borderId="20" xfId="0" applyNumberFormat="1" applyFont="1" applyFill="1" applyBorder="1" applyAlignment="1">
      <alignment horizontal="center" vertical="center"/>
    </xf>
    <xf numFmtId="181" fontId="28" fillId="33" borderId="49" xfId="1" applyNumberFormat="1" applyFont="1" applyFill="1" applyBorder="1" applyAlignment="1">
      <alignment horizontal="center" vertical="center"/>
    </xf>
    <xf numFmtId="181" fontId="28" fillId="33" borderId="53" xfId="1" applyNumberFormat="1" applyFont="1" applyFill="1" applyBorder="1" applyAlignment="1">
      <alignment horizontal="center" vertical="center"/>
    </xf>
    <xf numFmtId="179" fontId="18" fillId="0" borderId="17" xfId="0" applyNumberFormat="1" applyFont="1" applyFill="1" applyBorder="1" applyAlignment="1">
      <alignment horizontal="center" vertical="center"/>
    </xf>
    <xf numFmtId="179" fontId="18" fillId="0" borderId="51" xfId="0" applyNumberFormat="1" applyFont="1" applyFill="1" applyBorder="1" applyAlignment="1">
      <alignment horizontal="center" vertical="center"/>
    </xf>
    <xf numFmtId="179" fontId="18" fillId="0" borderId="20" xfId="0" applyNumberFormat="1" applyFont="1" applyFill="1" applyBorder="1" applyAlignment="1">
      <alignment horizontal="center" vertical="center"/>
    </xf>
    <xf numFmtId="0" fontId="184" fillId="33" borderId="28" xfId="0" applyFont="1" applyFill="1" applyBorder="1" applyAlignment="1">
      <alignment horizontal="center" vertical="center"/>
    </xf>
    <xf numFmtId="0" fontId="184" fillId="33" borderId="26" xfId="0" applyFont="1" applyFill="1" applyBorder="1" applyAlignment="1">
      <alignment horizontal="center" vertical="center"/>
    </xf>
    <xf numFmtId="0" fontId="184" fillId="33" borderId="59" xfId="0" applyFont="1" applyFill="1" applyBorder="1" applyAlignment="1">
      <alignment horizontal="center" vertical="center"/>
    </xf>
    <xf numFmtId="0" fontId="184" fillId="33" borderId="15" xfId="0" applyFont="1" applyFill="1" applyBorder="1" applyAlignment="1">
      <alignment horizontal="center" vertical="center"/>
    </xf>
    <xf numFmtId="181" fontId="191" fillId="36" borderId="18" xfId="1" applyNumberFormat="1" applyFont="1" applyFill="1" applyBorder="1" applyAlignment="1">
      <alignment horizontal="center" vertical="center"/>
    </xf>
    <xf numFmtId="181" fontId="191" fillId="36" borderId="21" xfId="1" applyNumberFormat="1" applyFont="1" applyFill="1" applyBorder="1" applyAlignment="1">
      <alignment horizontal="center" vertical="center"/>
    </xf>
    <xf numFmtId="0" fontId="199" fillId="35" borderId="0" xfId="0" applyFont="1" applyFill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25" fillId="0" borderId="75" xfId="0" applyFont="1" applyBorder="1" applyAlignment="1">
      <alignment horizontal="center" vertical="center"/>
    </xf>
  </cellXfs>
  <cellStyles count="4962">
    <cellStyle name="_x0012_" xfId="2"/>
    <cellStyle name=" " xfId="3"/>
    <cellStyle name=" [0]_인원95년" xfId="4"/>
    <cellStyle name=" FY96" xfId="5"/>
    <cellStyle name="_x0014_&quot;_x0003__x0003__x000c_?_x0008__x0014_4_x0001_" xfId="6"/>
    <cellStyle name="&amp;A" xfId="7"/>
    <cellStyle name="?" xfId="8"/>
    <cellStyle name="? (??)" xfId="9"/>
    <cellStyle name="?(??)" xfId="10"/>
    <cellStyle name="?? [0]_3? " xfId="11"/>
    <cellStyle name="??&amp;O?&amp;H?_x0008__x000f__x0007_?_x0007__x0001__x0001_" xfId="12"/>
    <cellStyle name="??&amp;O?&amp;H?_x0008_??_x0007__x0001__x0001_" xfId="13"/>
    <cellStyle name="??? (2)" xfId="14"/>
    <cellStyle name="???­ [0]_???¶1º?1°? ???² " xfId="15"/>
    <cellStyle name="???? [0]_???? " xfId="16"/>
    <cellStyle name="??????" xfId="17"/>
    <cellStyle name="????_???? " xfId="18"/>
    <cellStyle name="???­_???¶1º?1°? ???² " xfId="19"/>
    <cellStyle name="???12???" xfId="20"/>
    <cellStyle name="???Ø_??°?°?¸® " xfId="21"/>
    <cellStyle name="??_?? " xfId="22"/>
    <cellStyle name="??¸¶ [0]_´???±¸ " xfId="23"/>
    <cellStyle name="??¸¶_´???±¸ " xfId="24"/>
    <cellStyle name="?l?SP 물동및 외주 " xfId="25"/>
    <cellStyle name="?Þ¸¶ [0]_??°?°?¸® " xfId="26"/>
    <cellStyle name="?Þ¸¶_??°?°?¸® " xfId="27"/>
    <cellStyle name="?Y?O_?1?e??A? " xfId="28"/>
    <cellStyle name="?遽_12錯 " xfId="29"/>
    <cellStyle name="?霖_12? " xfId="30"/>
    <cellStyle name="?준_97계획(총매출) " xfId="31"/>
    <cellStyle name="]_x0004_" xfId="32"/>
    <cellStyle name="_????_???" xfId="33"/>
    <cellStyle name="_????_1_???_11??? (2)_1?" xfId="34"/>
    <cellStyle name="_090519  Century blue PR 공용화" xfId="35"/>
    <cellStyle name="_091114_BOECD 삼성향 Simulation(3rd)_Red" xfId="36"/>
    <cellStyle name="_091116_BOECD 삼성향 Simulation(RGB)_3차_Red" xfId="37"/>
    <cellStyle name="_10~11년 매출계획" xfId="38"/>
    <cellStyle name="_100412 CDY Simulation" xfId="39"/>
    <cellStyle name="_100414_CTD NB_AV_MNT 공용화 用 Red Recipe" xfId="40"/>
    <cellStyle name="_100419 CTD_NB_AV_MNT 공용화 관련(Red)" xfId="41"/>
    <cellStyle name="_100621_BOE Beijing B4用 DNP向 Recipe(Blue)" xfId="42"/>
    <cellStyle name="_100805_CDY PR 공용화(7 model) 用 Red Recipe" xfId="43"/>
    <cellStyle name="_100824 SVA-FF Blue recipe" xfId="44"/>
    <cellStyle name="_101004-11년 제품별 매출계획 v13 (9월추정)" xfId="45"/>
    <cellStyle name="_101108 SVA-FF Green Blue recipe" xfId="46"/>
    <cellStyle name="_101117_SVA-FF 19inch simulation_raw data(Blue)" xfId="47"/>
    <cellStyle name="_101203_SVA-FF_Z1951 Blue recipe" xfId="48"/>
    <cellStyle name="_110127_SVA-FF IVO向 14&amp;10 inch simulation_raw data(Green)" xfId="49"/>
    <cellStyle name="_110214_SVA-FF 19in 1907 green recipe_simulation" xfId="50"/>
    <cellStyle name="_20030226_단지별 에틸렌,프로필렌 수급" xfId="51"/>
    <cellStyle name="_20110329_장준호_11년 중장기 보고장표용" xfId="52"/>
    <cellStyle name="_7" xfId="53"/>
    <cellStyle name="_'99상반기경영개선활동결과(게시용)" xfId="54"/>
    <cellStyle name="_BOE(8G) Green recipe" xfId="55"/>
    <cellStyle name="_CTD NB Green Recipe" xfId="56"/>
    <cellStyle name="_C광원_ITO" xfId="57"/>
    <cellStyle name="_LGC 1st simulation" xfId="58"/>
    <cellStyle name="_raw" xfId="59"/>
    <cellStyle name="_raw data" xfId="60"/>
    <cellStyle name="_Sheet1" xfId="61"/>
    <cellStyle name="_Spec.3차 simulation" xfId="62"/>
    <cellStyle name="_spectrum" xfId="63"/>
    <cellStyle name="_SVA-FF 1951 green recipe" xfId="64"/>
    <cellStyle name="_SVA-FF 19in 1907 green recipe" xfId="65"/>
    <cellStyle name="_SVA-FF 19in simul green recipe" xfId="66"/>
    <cellStyle name="_SVA-FF Green recipe " xfId="67"/>
    <cellStyle name="_별첨(계획서및실적서양식)" xfId="68"/>
    <cellStyle name="_별첨(계획서및실적서양식)_1" xfId="69"/>
    <cellStyle name="_양식" xfId="70"/>
    <cellStyle name="_양식_1" xfId="71"/>
    <cellStyle name="_양식_2" xfId="72"/>
    <cellStyle name="_월례매출_1_상반기_11월당월 (2)_1월" xfId="73"/>
    <cellStyle name="_유첨3(서식)" xfId="74"/>
    <cellStyle name="_유첨3(서식)_1" xfId="75"/>
    <cellStyle name="_조직유지_총괄표" xfId="76"/>
    <cellStyle name="_지정과제2차심의list" xfId="77"/>
    <cellStyle name="_지정과제2차심의list_1" xfId="78"/>
    <cellStyle name="_지정과제2차심의list_2" xfId="79"/>
    <cellStyle name="_지정과제2차심의결과" xfId="80"/>
    <cellStyle name="_지정과제2차심의결과(금액조정후최종)" xfId="81"/>
    <cellStyle name="_지정과제2차심의결과(금액조정후최종)_1" xfId="82"/>
    <cellStyle name="_지정과제2차심의결과_1" xfId="83"/>
    <cellStyle name="_집중관리(981231)" xfId="84"/>
    <cellStyle name="_집중관리(981231)_1" xfId="85"/>
    <cellStyle name="_집중관리(지정과제및 양식)" xfId="86"/>
    <cellStyle name="_집중관리(지정과제및 양식)_1" xfId="87"/>
    <cellStyle name="_총괄표" xfId="88"/>
    <cellStyle name="0" xfId="89"/>
    <cellStyle name="0,0_x000d__x000a_NA_x000d__x000a_" xfId="90"/>
    <cellStyle name="0,0_x000d__x000a_NA_x000d__x000a_ 2" xfId="91"/>
    <cellStyle name="1??? (2)_1?" xfId="92"/>
    <cellStyle name="19990216" xfId="93"/>
    <cellStyle name="¹eºÐA²_AIAIC°AuCoE² " xfId="94"/>
    <cellStyle name="¹éºÐÀ²_ÀÏÀÏÇ°ÁúÇöÈ² " xfId="95"/>
    <cellStyle name="1월당월 (2)_1월" xfId="96"/>
    <cellStyle name="20% - Accent1" xfId="97"/>
    <cellStyle name="20% - Accent2" xfId="98"/>
    <cellStyle name="20% - Accent3" xfId="99"/>
    <cellStyle name="20% - Accent4" xfId="100"/>
    <cellStyle name="20% - Accent5" xfId="101"/>
    <cellStyle name="20% - Accent6" xfId="102"/>
    <cellStyle name="20% - アクセント 1" xfId="103"/>
    <cellStyle name="20% - アクセント 2" xfId="104"/>
    <cellStyle name="20% - アクセント 3" xfId="105"/>
    <cellStyle name="20% - アクセント 4" xfId="106"/>
    <cellStyle name="20% - アクセント 5" xfId="107"/>
    <cellStyle name="20% - アクセント 6" xfId="108"/>
    <cellStyle name="20% - 강조색1 10" xfId="109"/>
    <cellStyle name="20% - 강조색1 11" xfId="110"/>
    <cellStyle name="20% - 강조색1 12" xfId="111"/>
    <cellStyle name="20% - 강조색1 13" xfId="112"/>
    <cellStyle name="20% - 강조색1 14" xfId="113"/>
    <cellStyle name="20% - 강조색1 15" xfId="114"/>
    <cellStyle name="20% - 강조색1 16" xfId="115"/>
    <cellStyle name="20% - 강조색1 17" xfId="116"/>
    <cellStyle name="20% - 강조색1 18" xfId="117"/>
    <cellStyle name="20% - 강조색1 19" xfId="118"/>
    <cellStyle name="20% - 강조색1 2" xfId="119"/>
    <cellStyle name="20% - 강조색1 2 2" xfId="120"/>
    <cellStyle name="20% - 강조색1 2 2 2" xfId="121"/>
    <cellStyle name="20% - 강조색1 2 2 3" xfId="122"/>
    <cellStyle name="20% - 강조색1 2 3" xfId="123"/>
    <cellStyle name="20% - 강조색1 20" xfId="124"/>
    <cellStyle name="20% - 강조색1 21" xfId="125"/>
    <cellStyle name="20% - 강조색1 22" xfId="126"/>
    <cellStyle name="20% - 강조색1 23" xfId="127"/>
    <cellStyle name="20% - 강조색1 24" xfId="128"/>
    <cellStyle name="20% - 강조색1 25" xfId="129"/>
    <cellStyle name="20% - 강조색1 26" xfId="130"/>
    <cellStyle name="20% - 강조색1 27" xfId="131"/>
    <cellStyle name="20% - 강조색1 28" xfId="132"/>
    <cellStyle name="20% - 강조색1 29" xfId="133"/>
    <cellStyle name="20% - 강조색1 3" xfId="134"/>
    <cellStyle name="20% - 강조색1 30" xfId="135"/>
    <cellStyle name="20% - 강조색1 31" xfId="136"/>
    <cellStyle name="20% - 강조색1 32" xfId="137"/>
    <cellStyle name="20% - 강조색1 33" xfId="138"/>
    <cellStyle name="20% - 강조색1 34" xfId="139"/>
    <cellStyle name="20% - 강조색1 35" xfId="140"/>
    <cellStyle name="20% - 강조색1 36" xfId="141"/>
    <cellStyle name="20% - 강조색1 37" xfId="142"/>
    <cellStyle name="20% - 강조색1 38" xfId="143"/>
    <cellStyle name="20% - 강조색1 39" xfId="144"/>
    <cellStyle name="20% - 강조색1 4" xfId="145"/>
    <cellStyle name="20% - 강조색1 40" xfId="146"/>
    <cellStyle name="20% - 강조색1 41" xfId="147"/>
    <cellStyle name="20% - 강조색1 42" xfId="148"/>
    <cellStyle name="20% - 강조색1 43" xfId="149"/>
    <cellStyle name="20% - 강조색1 44" xfId="150"/>
    <cellStyle name="20% - 강조색1 45" xfId="151"/>
    <cellStyle name="20% - 강조색1 46" xfId="152"/>
    <cellStyle name="20% - 강조색1 47" xfId="153"/>
    <cellStyle name="20% - 강조색1 48" xfId="154"/>
    <cellStyle name="20% - 강조색1 49" xfId="155"/>
    <cellStyle name="20% - 강조색1 5" xfId="156"/>
    <cellStyle name="20% - 강조색1 50" xfId="157"/>
    <cellStyle name="20% - 강조색1 51" xfId="158"/>
    <cellStyle name="20% - 강조색1 52" xfId="159"/>
    <cellStyle name="20% - 강조색1 53" xfId="160"/>
    <cellStyle name="20% - 강조색1 54" xfId="161"/>
    <cellStyle name="20% - 강조색1 55" xfId="162"/>
    <cellStyle name="20% - 강조색1 56" xfId="163"/>
    <cellStyle name="20% - 강조색1 57" xfId="164"/>
    <cellStyle name="20% - 강조색1 58" xfId="165"/>
    <cellStyle name="20% - 강조색1 59" xfId="166"/>
    <cellStyle name="20% - 강조색1 6" xfId="167"/>
    <cellStyle name="20% - 강조색1 60" xfId="168"/>
    <cellStyle name="20% - 강조색1 61" xfId="169"/>
    <cellStyle name="20% - 강조색1 62" xfId="170"/>
    <cellStyle name="20% - 강조색1 63" xfId="171"/>
    <cellStyle name="20% - 강조색1 64" xfId="172"/>
    <cellStyle name="20% - 강조색1 65" xfId="173"/>
    <cellStyle name="20% - 강조색1 66" xfId="174"/>
    <cellStyle name="20% - 강조색1 67" xfId="175"/>
    <cellStyle name="20% - 강조색1 67 2" xfId="176"/>
    <cellStyle name="20% - 강조색1 67 3" xfId="177"/>
    <cellStyle name="20% - 강조색1 68" xfId="178"/>
    <cellStyle name="20% - 강조색1 69" xfId="179"/>
    <cellStyle name="20% - 강조색1 7" xfId="180"/>
    <cellStyle name="20% - 강조색1 70" xfId="181"/>
    <cellStyle name="20% - 강조색1 71" xfId="182"/>
    <cellStyle name="20% - 강조색1 71 2" xfId="183"/>
    <cellStyle name="20% - 강조색1 71 3" xfId="184"/>
    <cellStyle name="20% - 강조색1 72" xfId="185"/>
    <cellStyle name="20% - 강조색1 72 2" xfId="186"/>
    <cellStyle name="20% - 강조색1 72 3" xfId="187"/>
    <cellStyle name="20% - 강조색1 73" xfId="188"/>
    <cellStyle name="20% - 강조색1 73 2" xfId="189"/>
    <cellStyle name="20% - 강조색1 73 3" xfId="190"/>
    <cellStyle name="20% - 강조색1 74" xfId="191"/>
    <cellStyle name="20% - 강조색1 75" xfId="192"/>
    <cellStyle name="20% - 강조색1 76" xfId="193"/>
    <cellStyle name="20% - 강조색1 77" xfId="194"/>
    <cellStyle name="20% - 강조색1 78" xfId="195"/>
    <cellStyle name="20% - 강조색1 79" xfId="196"/>
    <cellStyle name="20% - 강조색1 8" xfId="197"/>
    <cellStyle name="20% - 강조색1 80" xfId="198"/>
    <cellStyle name="20% - 강조색1 81" xfId="199"/>
    <cellStyle name="20% - 강조색1 9" xfId="200"/>
    <cellStyle name="20% - 강조색2 10" xfId="201"/>
    <cellStyle name="20% - 강조색2 11" xfId="202"/>
    <cellStyle name="20% - 강조색2 12" xfId="203"/>
    <cellStyle name="20% - 강조색2 13" xfId="204"/>
    <cellStyle name="20% - 강조색2 14" xfId="205"/>
    <cellStyle name="20% - 강조색2 15" xfId="206"/>
    <cellStyle name="20% - 강조색2 16" xfId="207"/>
    <cellStyle name="20% - 강조색2 17" xfId="208"/>
    <cellStyle name="20% - 강조색2 18" xfId="209"/>
    <cellStyle name="20% - 강조색2 19" xfId="210"/>
    <cellStyle name="20% - 강조색2 2" xfId="211"/>
    <cellStyle name="20% - 강조색2 2 2" xfId="212"/>
    <cellStyle name="20% - 강조색2 2 2 2" xfId="213"/>
    <cellStyle name="20% - 강조색2 2 2 3" xfId="214"/>
    <cellStyle name="20% - 강조색2 2 3" xfId="215"/>
    <cellStyle name="20% - 강조색2 20" xfId="216"/>
    <cellStyle name="20% - 강조색2 21" xfId="217"/>
    <cellStyle name="20% - 강조색2 22" xfId="218"/>
    <cellStyle name="20% - 강조색2 23" xfId="219"/>
    <cellStyle name="20% - 강조색2 24" xfId="220"/>
    <cellStyle name="20% - 강조색2 25" xfId="221"/>
    <cellStyle name="20% - 강조색2 26" xfId="222"/>
    <cellStyle name="20% - 강조색2 27" xfId="223"/>
    <cellStyle name="20% - 강조색2 28" xfId="224"/>
    <cellStyle name="20% - 강조색2 29" xfId="225"/>
    <cellStyle name="20% - 강조색2 3" xfId="226"/>
    <cellStyle name="20% - 강조색2 30" xfId="227"/>
    <cellStyle name="20% - 강조색2 31" xfId="228"/>
    <cellStyle name="20% - 강조색2 32" xfId="229"/>
    <cellStyle name="20% - 강조색2 33" xfId="230"/>
    <cellStyle name="20% - 강조색2 34" xfId="231"/>
    <cellStyle name="20% - 강조색2 35" xfId="232"/>
    <cellStyle name="20% - 강조색2 36" xfId="233"/>
    <cellStyle name="20% - 강조색2 37" xfId="234"/>
    <cellStyle name="20% - 강조색2 38" xfId="235"/>
    <cellStyle name="20% - 강조색2 39" xfId="236"/>
    <cellStyle name="20% - 강조색2 4" xfId="237"/>
    <cellStyle name="20% - 강조색2 40" xfId="238"/>
    <cellStyle name="20% - 강조색2 41" xfId="239"/>
    <cellStyle name="20% - 강조색2 42" xfId="240"/>
    <cellStyle name="20% - 강조색2 43" xfId="241"/>
    <cellStyle name="20% - 강조색2 44" xfId="242"/>
    <cellStyle name="20% - 강조색2 45" xfId="243"/>
    <cellStyle name="20% - 강조색2 46" xfId="244"/>
    <cellStyle name="20% - 강조색2 47" xfId="245"/>
    <cellStyle name="20% - 강조색2 48" xfId="246"/>
    <cellStyle name="20% - 강조색2 49" xfId="247"/>
    <cellStyle name="20% - 강조색2 5" xfId="248"/>
    <cellStyle name="20% - 강조색2 50" xfId="249"/>
    <cellStyle name="20% - 강조색2 51" xfId="250"/>
    <cellStyle name="20% - 강조색2 52" xfId="251"/>
    <cellStyle name="20% - 강조색2 53" xfId="252"/>
    <cellStyle name="20% - 강조색2 54" xfId="253"/>
    <cellStyle name="20% - 강조색2 55" xfId="254"/>
    <cellStyle name="20% - 강조색2 56" xfId="255"/>
    <cellStyle name="20% - 강조색2 57" xfId="256"/>
    <cellStyle name="20% - 강조색2 58" xfId="257"/>
    <cellStyle name="20% - 강조색2 59" xfId="258"/>
    <cellStyle name="20% - 강조색2 6" xfId="259"/>
    <cellStyle name="20% - 강조색2 60" xfId="260"/>
    <cellStyle name="20% - 강조색2 61" xfId="261"/>
    <cellStyle name="20% - 강조색2 62" xfId="262"/>
    <cellStyle name="20% - 강조색2 63" xfId="263"/>
    <cellStyle name="20% - 강조색2 64" xfId="264"/>
    <cellStyle name="20% - 강조색2 65" xfId="265"/>
    <cellStyle name="20% - 강조색2 66" xfId="266"/>
    <cellStyle name="20% - 강조색2 67" xfId="267"/>
    <cellStyle name="20% - 강조색2 67 2" xfId="268"/>
    <cellStyle name="20% - 강조색2 67 3" xfId="269"/>
    <cellStyle name="20% - 강조색2 68" xfId="270"/>
    <cellStyle name="20% - 강조색2 69" xfId="271"/>
    <cellStyle name="20% - 강조색2 7" xfId="272"/>
    <cellStyle name="20% - 강조색2 70" xfId="273"/>
    <cellStyle name="20% - 강조색2 71" xfId="274"/>
    <cellStyle name="20% - 강조색2 71 2" xfId="275"/>
    <cellStyle name="20% - 강조색2 71 3" xfId="276"/>
    <cellStyle name="20% - 강조색2 72" xfId="277"/>
    <cellStyle name="20% - 강조색2 72 2" xfId="278"/>
    <cellStyle name="20% - 강조색2 72 3" xfId="279"/>
    <cellStyle name="20% - 강조색2 73" xfId="280"/>
    <cellStyle name="20% - 강조색2 73 2" xfId="281"/>
    <cellStyle name="20% - 강조색2 73 3" xfId="282"/>
    <cellStyle name="20% - 강조색2 74" xfId="283"/>
    <cellStyle name="20% - 강조색2 75" xfId="284"/>
    <cellStyle name="20% - 강조색2 76" xfId="285"/>
    <cellStyle name="20% - 강조색2 77" xfId="286"/>
    <cellStyle name="20% - 강조색2 78" xfId="287"/>
    <cellStyle name="20% - 강조색2 79" xfId="288"/>
    <cellStyle name="20% - 강조색2 8" xfId="289"/>
    <cellStyle name="20% - 강조색2 80" xfId="290"/>
    <cellStyle name="20% - 강조색2 81" xfId="291"/>
    <cellStyle name="20% - 강조색2 9" xfId="292"/>
    <cellStyle name="20% - 강조색3 10" xfId="293"/>
    <cellStyle name="20% - 강조색3 11" xfId="294"/>
    <cellStyle name="20% - 강조색3 12" xfId="295"/>
    <cellStyle name="20% - 강조색3 13" xfId="296"/>
    <cellStyle name="20% - 강조색3 14" xfId="297"/>
    <cellStyle name="20% - 강조색3 15" xfId="298"/>
    <cellStyle name="20% - 강조색3 16" xfId="299"/>
    <cellStyle name="20% - 강조색3 17" xfId="300"/>
    <cellStyle name="20% - 강조색3 18" xfId="301"/>
    <cellStyle name="20% - 강조색3 19" xfId="302"/>
    <cellStyle name="20% - 강조색3 2" xfId="303"/>
    <cellStyle name="20% - 강조색3 2 2" xfId="304"/>
    <cellStyle name="20% - 강조색3 2 2 2" xfId="305"/>
    <cellStyle name="20% - 강조색3 2 2 3" xfId="306"/>
    <cellStyle name="20% - 강조색3 2 3" xfId="307"/>
    <cellStyle name="20% - 강조색3 20" xfId="308"/>
    <cellStyle name="20% - 강조색3 21" xfId="309"/>
    <cellStyle name="20% - 강조색3 22" xfId="310"/>
    <cellStyle name="20% - 강조색3 23" xfId="311"/>
    <cellStyle name="20% - 강조색3 24" xfId="312"/>
    <cellStyle name="20% - 강조색3 25" xfId="313"/>
    <cellStyle name="20% - 강조색3 26" xfId="314"/>
    <cellStyle name="20% - 강조색3 27" xfId="315"/>
    <cellStyle name="20% - 강조색3 28" xfId="316"/>
    <cellStyle name="20% - 강조색3 29" xfId="317"/>
    <cellStyle name="20% - 강조색3 3" xfId="318"/>
    <cellStyle name="20% - 강조색3 30" xfId="319"/>
    <cellStyle name="20% - 강조색3 31" xfId="320"/>
    <cellStyle name="20% - 강조색3 32" xfId="321"/>
    <cellStyle name="20% - 강조색3 33" xfId="322"/>
    <cellStyle name="20% - 강조색3 34" xfId="323"/>
    <cellStyle name="20% - 강조색3 35" xfId="324"/>
    <cellStyle name="20% - 강조색3 36" xfId="325"/>
    <cellStyle name="20% - 강조색3 37" xfId="326"/>
    <cellStyle name="20% - 강조색3 38" xfId="327"/>
    <cellStyle name="20% - 강조색3 39" xfId="328"/>
    <cellStyle name="20% - 강조색3 4" xfId="329"/>
    <cellStyle name="20% - 강조색3 40" xfId="330"/>
    <cellStyle name="20% - 강조색3 41" xfId="331"/>
    <cellStyle name="20% - 강조색3 42" xfId="332"/>
    <cellStyle name="20% - 강조색3 43" xfId="333"/>
    <cellStyle name="20% - 강조색3 44" xfId="334"/>
    <cellStyle name="20% - 강조색3 45" xfId="335"/>
    <cellStyle name="20% - 강조색3 46" xfId="336"/>
    <cellStyle name="20% - 강조색3 47" xfId="337"/>
    <cellStyle name="20% - 강조색3 48" xfId="338"/>
    <cellStyle name="20% - 강조색3 49" xfId="339"/>
    <cellStyle name="20% - 강조색3 5" xfId="340"/>
    <cellStyle name="20% - 강조색3 50" xfId="341"/>
    <cellStyle name="20% - 강조색3 51" xfId="342"/>
    <cellStyle name="20% - 강조색3 52" xfId="343"/>
    <cellStyle name="20% - 강조색3 53" xfId="344"/>
    <cellStyle name="20% - 강조색3 54" xfId="345"/>
    <cellStyle name="20% - 강조색3 55" xfId="346"/>
    <cellStyle name="20% - 강조색3 56" xfId="347"/>
    <cellStyle name="20% - 강조색3 57" xfId="348"/>
    <cellStyle name="20% - 강조색3 58" xfId="349"/>
    <cellStyle name="20% - 강조색3 59" xfId="350"/>
    <cellStyle name="20% - 강조색3 6" xfId="351"/>
    <cellStyle name="20% - 강조색3 60" xfId="352"/>
    <cellStyle name="20% - 강조색3 61" xfId="353"/>
    <cellStyle name="20% - 강조색3 62" xfId="354"/>
    <cellStyle name="20% - 강조색3 63" xfId="355"/>
    <cellStyle name="20% - 강조색3 64" xfId="356"/>
    <cellStyle name="20% - 강조색3 65" xfId="357"/>
    <cellStyle name="20% - 강조색3 66" xfId="358"/>
    <cellStyle name="20% - 강조색3 67" xfId="359"/>
    <cellStyle name="20% - 강조색3 67 2" xfId="360"/>
    <cellStyle name="20% - 강조색3 67 3" xfId="361"/>
    <cellStyle name="20% - 강조색3 68" xfId="362"/>
    <cellStyle name="20% - 강조색3 69" xfId="363"/>
    <cellStyle name="20% - 강조색3 7" xfId="364"/>
    <cellStyle name="20% - 강조색3 70" xfId="365"/>
    <cellStyle name="20% - 강조색3 71" xfId="366"/>
    <cellStyle name="20% - 강조색3 71 2" xfId="367"/>
    <cellStyle name="20% - 강조색3 71 3" xfId="368"/>
    <cellStyle name="20% - 강조색3 72" xfId="369"/>
    <cellStyle name="20% - 강조색3 72 2" xfId="370"/>
    <cellStyle name="20% - 강조색3 72 3" xfId="371"/>
    <cellStyle name="20% - 강조색3 73" xfId="372"/>
    <cellStyle name="20% - 강조색3 73 2" xfId="373"/>
    <cellStyle name="20% - 강조색3 73 3" xfId="374"/>
    <cellStyle name="20% - 강조색3 74" xfId="375"/>
    <cellStyle name="20% - 강조색3 75" xfId="376"/>
    <cellStyle name="20% - 강조색3 76" xfId="377"/>
    <cellStyle name="20% - 강조색3 77" xfId="378"/>
    <cellStyle name="20% - 강조색3 78" xfId="379"/>
    <cellStyle name="20% - 강조색3 79" xfId="380"/>
    <cellStyle name="20% - 강조색3 8" xfId="381"/>
    <cellStyle name="20% - 강조색3 80" xfId="382"/>
    <cellStyle name="20% - 강조색3 81" xfId="383"/>
    <cellStyle name="20% - 강조색3 9" xfId="384"/>
    <cellStyle name="20% - 강조색4 10" xfId="385"/>
    <cellStyle name="20% - 강조색4 11" xfId="386"/>
    <cellStyle name="20% - 강조색4 12" xfId="387"/>
    <cellStyle name="20% - 강조색4 13" xfId="388"/>
    <cellStyle name="20% - 강조색4 14" xfId="389"/>
    <cellStyle name="20% - 강조색4 15" xfId="390"/>
    <cellStyle name="20% - 강조색4 16" xfId="391"/>
    <cellStyle name="20% - 강조색4 17" xfId="392"/>
    <cellStyle name="20% - 강조색4 18" xfId="393"/>
    <cellStyle name="20% - 강조색4 19" xfId="394"/>
    <cellStyle name="20% - 강조색4 2" xfId="395"/>
    <cellStyle name="20% - 강조색4 2 2" xfId="396"/>
    <cellStyle name="20% - 강조색4 2 2 2" xfId="397"/>
    <cellStyle name="20% - 강조색4 2 2 3" xfId="398"/>
    <cellStyle name="20% - 강조색4 2 3" xfId="399"/>
    <cellStyle name="20% - 강조색4 20" xfId="400"/>
    <cellStyle name="20% - 강조색4 21" xfId="401"/>
    <cellStyle name="20% - 강조색4 22" xfId="402"/>
    <cellStyle name="20% - 강조색4 23" xfId="403"/>
    <cellStyle name="20% - 강조색4 24" xfId="404"/>
    <cellStyle name="20% - 강조색4 25" xfId="405"/>
    <cellStyle name="20% - 강조색4 26" xfId="406"/>
    <cellStyle name="20% - 강조색4 27" xfId="407"/>
    <cellStyle name="20% - 강조색4 28" xfId="408"/>
    <cellStyle name="20% - 강조색4 29" xfId="409"/>
    <cellStyle name="20% - 강조색4 3" xfId="410"/>
    <cellStyle name="20% - 강조색4 30" xfId="411"/>
    <cellStyle name="20% - 강조색4 31" xfId="412"/>
    <cellStyle name="20% - 강조색4 32" xfId="413"/>
    <cellStyle name="20% - 강조색4 33" xfId="414"/>
    <cellStyle name="20% - 강조색4 34" xfId="415"/>
    <cellStyle name="20% - 강조색4 35" xfId="416"/>
    <cellStyle name="20% - 강조색4 36" xfId="417"/>
    <cellStyle name="20% - 강조색4 37" xfId="418"/>
    <cellStyle name="20% - 강조색4 38" xfId="419"/>
    <cellStyle name="20% - 강조색4 39" xfId="420"/>
    <cellStyle name="20% - 강조색4 4" xfId="421"/>
    <cellStyle name="20% - 강조색4 40" xfId="422"/>
    <cellStyle name="20% - 강조색4 41" xfId="423"/>
    <cellStyle name="20% - 강조색4 42" xfId="424"/>
    <cellStyle name="20% - 강조색4 43" xfId="425"/>
    <cellStyle name="20% - 강조색4 44" xfId="426"/>
    <cellStyle name="20% - 강조색4 45" xfId="427"/>
    <cellStyle name="20% - 강조색4 46" xfId="428"/>
    <cellStyle name="20% - 강조색4 47" xfId="429"/>
    <cellStyle name="20% - 강조색4 48" xfId="430"/>
    <cellStyle name="20% - 강조색4 49" xfId="431"/>
    <cellStyle name="20% - 강조색4 5" xfId="432"/>
    <cellStyle name="20% - 강조색4 50" xfId="433"/>
    <cellStyle name="20% - 강조색4 51" xfId="434"/>
    <cellStyle name="20% - 강조색4 52" xfId="435"/>
    <cellStyle name="20% - 강조색4 53" xfId="436"/>
    <cellStyle name="20% - 강조색4 54" xfId="437"/>
    <cellStyle name="20% - 강조색4 55" xfId="438"/>
    <cellStyle name="20% - 강조색4 56" xfId="439"/>
    <cellStyle name="20% - 강조색4 57" xfId="440"/>
    <cellStyle name="20% - 강조색4 58" xfId="441"/>
    <cellStyle name="20% - 강조색4 59" xfId="442"/>
    <cellStyle name="20% - 강조색4 6" xfId="443"/>
    <cellStyle name="20% - 강조색4 60" xfId="444"/>
    <cellStyle name="20% - 강조색4 61" xfId="445"/>
    <cellStyle name="20% - 강조색4 62" xfId="446"/>
    <cellStyle name="20% - 강조색4 63" xfId="447"/>
    <cellStyle name="20% - 강조색4 64" xfId="448"/>
    <cellStyle name="20% - 강조색4 65" xfId="449"/>
    <cellStyle name="20% - 강조색4 66" xfId="450"/>
    <cellStyle name="20% - 강조색4 67" xfId="451"/>
    <cellStyle name="20% - 강조색4 67 2" xfId="452"/>
    <cellStyle name="20% - 강조색4 67 3" xfId="453"/>
    <cellStyle name="20% - 강조색4 68" xfId="454"/>
    <cellStyle name="20% - 강조색4 69" xfId="455"/>
    <cellStyle name="20% - 강조색4 7" xfId="456"/>
    <cellStyle name="20% - 강조색4 70" xfId="457"/>
    <cellStyle name="20% - 강조색4 71" xfId="458"/>
    <cellStyle name="20% - 강조색4 71 2" xfId="459"/>
    <cellStyle name="20% - 강조색4 71 3" xfId="460"/>
    <cellStyle name="20% - 강조색4 72" xfId="461"/>
    <cellStyle name="20% - 강조색4 72 2" xfId="462"/>
    <cellStyle name="20% - 강조색4 72 3" xfId="463"/>
    <cellStyle name="20% - 강조색4 73" xfId="464"/>
    <cellStyle name="20% - 강조색4 73 2" xfId="465"/>
    <cellStyle name="20% - 강조색4 73 3" xfId="466"/>
    <cellStyle name="20% - 강조색4 74" xfId="467"/>
    <cellStyle name="20% - 강조색4 75" xfId="468"/>
    <cellStyle name="20% - 강조색4 76" xfId="469"/>
    <cellStyle name="20% - 강조색4 77" xfId="470"/>
    <cellStyle name="20% - 강조색4 78" xfId="471"/>
    <cellStyle name="20% - 강조색4 79" xfId="472"/>
    <cellStyle name="20% - 강조색4 8" xfId="473"/>
    <cellStyle name="20% - 강조색4 80" xfId="474"/>
    <cellStyle name="20% - 강조색4 81" xfId="475"/>
    <cellStyle name="20% - 강조색4 9" xfId="476"/>
    <cellStyle name="20% - 강조색5 10" xfId="477"/>
    <cellStyle name="20% - 강조색5 11" xfId="478"/>
    <cellStyle name="20% - 강조색5 12" xfId="479"/>
    <cellStyle name="20% - 강조색5 13" xfId="480"/>
    <cellStyle name="20% - 강조색5 14" xfId="481"/>
    <cellStyle name="20% - 강조색5 15" xfId="482"/>
    <cellStyle name="20% - 강조색5 16" xfId="483"/>
    <cellStyle name="20% - 강조색5 17" xfId="484"/>
    <cellStyle name="20% - 강조색5 18" xfId="485"/>
    <cellStyle name="20% - 강조색5 19" xfId="486"/>
    <cellStyle name="20% - 강조색5 2" xfId="487"/>
    <cellStyle name="20% - 강조색5 2 2" xfId="488"/>
    <cellStyle name="20% - 강조색5 2 2 2" xfId="489"/>
    <cellStyle name="20% - 강조색5 2 2 3" xfId="490"/>
    <cellStyle name="20% - 강조색5 2 3" xfId="491"/>
    <cellStyle name="20% - 강조색5 20" xfId="492"/>
    <cellStyle name="20% - 강조색5 21" xfId="493"/>
    <cellStyle name="20% - 강조색5 22" xfId="494"/>
    <cellStyle name="20% - 강조색5 23" xfId="495"/>
    <cellStyle name="20% - 강조색5 24" xfId="496"/>
    <cellStyle name="20% - 강조색5 25" xfId="497"/>
    <cellStyle name="20% - 강조색5 26" xfId="498"/>
    <cellStyle name="20% - 강조색5 27" xfId="499"/>
    <cellStyle name="20% - 강조색5 28" xfId="500"/>
    <cellStyle name="20% - 강조색5 29" xfId="501"/>
    <cellStyle name="20% - 강조색5 3" xfId="502"/>
    <cellStyle name="20% - 강조색5 30" xfId="503"/>
    <cellStyle name="20% - 강조색5 31" xfId="504"/>
    <cellStyle name="20% - 강조색5 32" xfId="505"/>
    <cellStyle name="20% - 강조색5 33" xfId="506"/>
    <cellStyle name="20% - 강조색5 34" xfId="507"/>
    <cellStyle name="20% - 강조색5 35" xfId="508"/>
    <cellStyle name="20% - 강조색5 36" xfId="509"/>
    <cellStyle name="20% - 강조색5 37" xfId="510"/>
    <cellStyle name="20% - 강조색5 38" xfId="511"/>
    <cellStyle name="20% - 강조색5 39" xfId="512"/>
    <cellStyle name="20% - 강조색5 4" xfId="513"/>
    <cellStyle name="20% - 강조색5 40" xfId="514"/>
    <cellStyle name="20% - 강조색5 41" xfId="515"/>
    <cellStyle name="20% - 강조색5 42" xfId="516"/>
    <cellStyle name="20% - 강조색5 43" xfId="517"/>
    <cellStyle name="20% - 강조색5 44" xfId="518"/>
    <cellStyle name="20% - 강조색5 45" xfId="519"/>
    <cellStyle name="20% - 강조색5 46" xfId="520"/>
    <cellStyle name="20% - 강조색5 47" xfId="521"/>
    <cellStyle name="20% - 강조색5 48" xfId="522"/>
    <cellStyle name="20% - 강조색5 49" xfId="523"/>
    <cellStyle name="20% - 강조색5 5" xfId="524"/>
    <cellStyle name="20% - 강조색5 50" xfId="525"/>
    <cellStyle name="20% - 강조색5 51" xfId="526"/>
    <cellStyle name="20% - 강조색5 52" xfId="527"/>
    <cellStyle name="20% - 강조색5 53" xfId="528"/>
    <cellStyle name="20% - 강조색5 54" xfId="529"/>
    <cellStyle name="20% - 강조색5 55" xfId="530"/>
    <cellStyle name="20% - 강조색5 56" xfId="531"/>
    <cellStyle name="20% - 강조색5 57" xfId="532"/>
    <cellStyle name="20% - 강조색5 58" xfId="533"/>
    <cellStyle name="20% - 강조색5 59" xfId="534"/>
    <cellStyle name="20% - 강조색5 6" xfId="535"/>
    <cellStyle name="20% - 강조색5 60" xfId="536"/>
    <cellStyle name="20% - 강조색5 61" xfId="537"/>
    <cellStyle name="20% - 강조색5 62" xfId="538"/>
    <cellStyle name="20% - 강조색5 63" xfId="539"/>
    <cellStyle name="20% - 강조색5 64" xfId="540"/>
    <cellStyle name="20% - 강조색5 65" xfId="541"/>
    <cellStyle name="20% - 강조색5 66" xfId="542"/>
    <cellStyle name="20% - 강조색5 67" xfId="543"/>
    <cellStyle name="20% - 강조색5 67 2" xfId="544"/>
    <cellStyle name="20% - 강조색5 67 3" xfId="545"/>
    <cellStyle name="20% - 강조색5 68" xfId="546"/>
    <cellStyle name="20% - 강조색5 69" xfId="547"/>
    <cellStyle name="20% - 강조색5 7" xfId="548"/>
    <cellStyle name="20% - 강조색5 70" xfId="549"/>
    <cellStyle name="20% - 강조색5 71" xfId="550"/>
    <cellStyle name="20% - 강조색5 71 2" xfId="551"/>
    <cellStyle name="20% - 강조색5 71 3" xfId="552"/>
    <cellStyle name="20% - 강조색5 72" xfId="553"/>
    <cellStyle name="20% - 강조색5 72 2" xfId="554"/>
    <cellStyle name="20% - 강조색5 72 3" xfId="555"/>
    <cellStyle name="20% - 강조색5 73" xfId="556"/>
    <cellStyle name="20% - 강조색5 73 2" xfId="557"/>
    <cellStyle name="20% - 강조색5 73 3" xfId="558"/>
    <cellStyle name="20% - 강조색5 74" xfId="559"/>
    <cellStyle name="20% - 강조색5 75" xfId="560"/>
    <cellStyle name="20% - 강조색5 76" xfId="561"/>
    <cellStyle name="20% - 강조색5 77" xfId="562"/>
    <cellStyle name="20% - 강조색5 78" xfId="563"/>
    <cellStyle name="20% - 강조색5 79" xfId="564"/>
    <cellStyle name="20% - 강조색5 8" xfId="565"/>
    <cellStyle name="20% - 강조색5 80" xfId="566"/>
    <cellStyle name="20% - 강조색5 81" xfId="567"/>
    <cellStyle name="20% - 강조색5 9" xfId="568"/>
    <cellStyle name="20% - 강조색6 10" xfId="569"/>
    <cellStyle name="20% - 강조색6 11" xfId="570"/>
    <cellStyle name="20% - 강조색6 12" xfId="571"/>
    <cellStyle name="20% - 강조색6 13" xfId="572"/>
    <cellStyle name="20% - 강조색6 14" xfId="573"/>
    <cellStyle name="20% - 강조색6 15" xfId="574"/>
    <cellStyle name="20% - 강조색6 16" xfId="575"/>
    <cellStyle name="20% - 강조색6 17" xfId="576"/>
    <cellStyle name="20% - 강조색6 18" xfId="577"/>
    <cellStyle name="20% - 강조색6 19" xfId="578"/>
    <cellStyle name="20% - 강조색6 2" xfId="579"/>
    <cellStyle name="20% - 강조색6 2 2" xfId="580"/>
    <cellStyle name="20% - 강조색6 2 2 2" xfId="581"/>
    <cellStyle name="20% - 강조색6 2 2 3" xfId="582"/>
    <cellStyle name="20% - 강조색6 2 3" xfId="583"/>
    <cellStyle name="20% - 강조색6 20" xfId="584"/>
    <cellStyle name="20% - 강조색6 21" xfId="585"/>
    <cellStyle name="20% - 강조색6 22" xfId="586"/>
    <cellStyle name="20% - 강조색6 23" xfId="587"/>
    <cellStyle name="20% - 강조색6 24" xfId="588"/>
    <cellStyle name="20% - 강조색6 25" xfId="589"/>
    <cellStyle name="20% - 강조색6 26" xfId="590"/>
    <cellStyle name="20% - 강조색6 27" xfId="591"/>
    <cellStyle name="20% - 강조색6 28" xfId="592"/>
    <cellStyle name="20% - 강조색6 29" xfId="593"/>
    <cellStyle name="20% - 강조색6 3" xfId="594"/>
    <cellStyle name="20% - 강조색6 30" xfId="595"/>
    <cellStyle name="20% - 강조색6 31" xfId="596"/>
    <cellStyle name="20% - 강조색6 32" xfId="597"/>
    <cellStyle name="20% - 강조색6 33" xfId="598"/>
    <cellStyle name="20% - 강조색6 34" xfId="599"/>
    <cellStyle name="20% - 강조색6 35" xfId="600"/>
    <cellStyle name="20% - 강조색6 36" xfId="601"/>
    <cellStyle name="20% - 강조색6 37" xfId="602"/>
    <cellStyle name="20% - 강조색6 38" xfId="603"/>
    <cellStyle name="20% - 강조색6 39" xfId="604"/>
    <cellStyle name="20% - 강조색6 4" xfId="605"/>
    <cellStyle name="20% - 강조색6 40" xfId="606"/>
    <cellStyle name="20% - 강조색6 41" xfId="607"/>
    <cellStyle name="20% - 강조색6 42" xfId="608"/>
    <cellStyle name="20% - 강조색6 43" xfId="609"/>
    <cellStyle name="20% - 강조색6 44" xfId="610"/>
    <cellStyle name="20% - 강조색6 45" xfId="611"/>
    <cellStyle name="20% - 강조색6 46" xfId="612"/>
    <cellStyle name="20% - 강조색6 47" xfId="613"/>
    <cellStyle name="20% - 강조색6 48" xfId="614"/>
    <cellStyle name="20% - 강조색6 49" xfId="615"/>
    <cellStyle name="20% - 강조색6 5" xfId="616"/>
    <cellStyle name="20% - 강조색6 50" xfId="617"/>
    <cellStyle name="20% - 강조색6 51" xfId="618"/>
    <cellStyle name="20% - 강조색6 52" xfId="619"/>
    <cellStyle name="20% - 강조색6 53" xfId="620"/>
    <cellStyle name="20% - 강조색6 54" xfId="621"/>
    <cellStyle name="20% - 강조색6 55" xfId="622"/>
    <cellStyle name="20% - 강조색6 56" xfId="623"/>
    <cellStyle name="20% - 강조색6 57" xfId="624"/>
    <cellStyle name="20% - 강조색6 58" xfId="625"/>
    <cellStyle name="20% - 강조색6 59" xfId="626"/>
    <cellStyle name="20% - 강조색6 6" xfId="627"/>
    <cellStyle name="20% - 강조색6 60" xfId="628"/>
    <cellStyle name="20% - 강조색6 61" xfId="629"/>
    <cellStyle name="20% - 강조색6 62" xfId="630"/>
    <cellStyle name="20% - 강조색6 63" xfId="631"/>
    <cellStyle name="20% - 강조색6 64" xfId="632"/>
    <cellStyle name="20% - 강조색6 65" xfId="633"/>
    <cellStyle name="20% - 강조색6 66" xfId="634"/>
    <cellStyle name="20% - 강조색6 67" xfId="635"/>
    <cellStyle name="20% - 강조색6 67 2" xfId="636"/>
    <cellStyle name="20% - 강조색6 67 3" xfId="637"/>
    <cellStyle name="20% - 강조색6 68" xfId="638"/>
    <cellStyle name="20% - 강조색6 69" xfId="639"/>
    <cellStyle name="20% - 강조색6 7" xfId="640"/>
    <cellStyle name="20% - 강조색6 70" xfId="641"/>
    <cellStyle name="20% - 강조색6 71" xfId="642"/>
    <cellStyle name="20% - 강조색6 71 2" xfId="643"/>
    <cellStyle name="20% - 강조색6 71 3" xfId="644"/>
    <cellStyle name="20% - 강조색6 72" xfId="645"/>
    <cellStyle name="20% - 강조색6 72 2" xfId="646"/>
    <cellStyle name="20% - 강조색6 72 3" xfId="647"/>
    <cellStyle name="20% - 강조색6 73" xfId="648"/>
    <cellStyle name="20% - 강조색6 73 2" xfId="649"/>
    <cellStyle name="20% - 강조색6 73 3" xfId="650"/>
    <cellStyle name="20% - 강조색6 74" xfId="651"/>
    <cellStyle name="20% - 강조색6 75" xfId="652"/>
    <cellStyle name="20% - 강조색6 76" xfId="653"/>
    <cellStyle name="20% - 강조색6 77" xfId="654"/>
    <cellStyle name="20% - 강조색6 78" xfId="655"/>
    <cellStyle name="20% - 강조색6 79" xfId="656"/>
    <cellStyle name="20% - 강조색6 8" xfId="657"/>
    <cellStyle name="20% - 강조색6 80" xfId="658"/>
    <cellStyle name="20% - 강조색6 81" xfId="659"/>
    <cellStyle name="20% - 강조색6 9" xfId="660"/>
    <cellStyle name="40% - Accent1" xfId="661"/>
    <cellStyle name="40% - Accent2" xfId="662"/>
    <cellStyle name="40% - Accent3" xfId="663"/>
    <cellStyle name="40% - Accent4" xfId="664"/>
    <cellStyle name="40% - Accent5" xfId="665"/>
    <cellStyle name="40% - Accent6" xfId="666"/>
    <cellStyle name="40% - アクセント 1" xfId="667"/>
    <cellStyle name="40% - アクセント 2" xfId="668"/>
    <cellStyle name="40% - アクセント 3" xfId="669"/>
    <cellStyle name="40% - アクセント 4" xfId="670"/>
    <cellStyle name="40% - アクセント 5" xfId="671"/>
    <cellStyle name="40% - アクセント 6" xfId="672"/>
    <cellStyle name="40% - 강조색1 10" xfId="673"/>
    <cellStyle name="40% - 강조색1 11" xfId="674"/>
    <cellStyle name="40% - 강조색1 12" xfId="675"/>
    <cellStyle name="40% - 강조색1 13" xfId="676"/>
    <cellStyle name="40% - 강조색1 14" xfId="677"/>
    <cellStyle name="40% - 강조색1 15" xfId="678"/>
    <cellStyle name="40% - 강조색1 16" xfId="679"/>
    <cellStyle name="40% - 강조색1 17" xfId="680"/>
    <cellStyle name="40% - 강조색1 18" xfId="681"/>
    <cellStyle name="40% - 강조색1 19" xfId="682"/>
    <cellStyle name="40% - 강조색1 2" xfId="683"/>
    <cellStyle name="40% - 강조색1 2 2" xfId="684"/>
    <cellStyle name="40% - 강조색1 2 2 2" xfId="685"/>
    <cellStyle name="40% - 강조색1 2 2 3" xfId="686"/>
    <cellStyle name="40% - 강조색1 2 3" xfId="687"/>
    <cellStyle name="40% - 강조색1 20" xfId="688"/>
    <cellStyle name="40% - 강조색1 21" xfId="689"/>
    <cellStyle name="40% - 강조색1 22" xfId="690"/>
    <cellStyle name="40% - 강조색1 23" xfId="691"/>
    <cellStyle name="40% - 강조색1 24" xfId="692"/>
    <cellStyle name="40% - 강조색1 25" xfId="693"/>
    <cellStyle name="40% - 강조색1 26" xfId="694"/>
    <cellStyle name="40% - 강조색1 27" xfId="695"/>
    <cellStyle name="40% - 강조색1 28" xfId="696"/>
    <cellStyle name="40% - 강조색1 29" xfId="697"/>
    <cellStyle name="40% - 강조색1 3" xfId="698"/>
    <cellStyle name="40% - 강조색1 30" xfId="699"/>
    <cellStyle name="40% - 강조색1 31" xfId="700"/>
    <cellStyle name="40% - 강조색1 32" xfId="701"/>
    <cellStyle name="40% - 강조색1 33" xfId="702"/>
    <cellStyle name="40% - 강조색1 34" xfId="703"/>
    <cellStyle name="40% - 강조색1 35" xfId="704"/>
    <cellStyle name="40% - 강조색1 36" xfId="705"/>
    <cellStyle name="40% - 강조색1 37" xfId="706"/>
    <cellStyle name="40% - 강조색1 38" xfId="707"/>
    <cellStyle name="40% - 강조색1 39" xfId="708"/>
    <cellStyle name="40% - 강조색1 4" xfId="709"/>
    <cellStyle name="40% - 강조색1 40" xfId="710"/>
    <cellStyle name="40% - 강조색1 41" xfId="711"/>
    <cellStyle name="40% - 강조색1 42" xfId="712"/>
    <cellStyle name="40% - 강조색1 43" xfId="713"/>
    <cellStyle name="40% - 강조색1 44" xfId="714"/>
    <cellStyle name="40% - 강조색1 45" xfId="715"/>
    <cellStyle name="40% - 강조색1 46" xfId="716"/>
    <cellStyle name="40% - 강조색1 47" xfId="717"/>
    <cellStyle name="40% - 강조색1 48" xfId="718"/>
    <cellStyle name="40% - 강조색1 49" xfId="719"/>
    <cellStyle name="40% - 강조색1 5" xfId="720"/>
    <cellStyle name="40% - 강조색1 50" xfId="721"/>
    <cellStyle name="40% - 강조색1 51" xfId="722"/>
    <cellStyle name="40% - 강조색1 52" xfId="723"/>
    <cellStyle name="40% - 강조색1 53" xfId="724"/>
    <cellStyle name="40% - 강조색1 54" xfId="725"/>
    <cellStyle name="40% - 강조색1 55" xfId="726"/>
    <cellStyle name="40% - 강조색1 56" xfId="727"/>
    <cellStyle name="40% - 강조색1 57" xfId="728"/>
    <cellStyle name="40% - 강조색1 58" xfId="729"/>
    <cellStyle name="40% - 강조색1 59" xfId="730"/>
    <cellStyle name="40% - 강조색1 6" xfId="731"/>
    <cellStyle name="40% - 강조색1 60" xfId="732"/>
    <cellStyle name="40% - 강조색1 61" xfId="733"/>
    <cellStyle name="40% - 강조색1 62" xfId="734"/>
    <cellStyle name="40% - 강조색1 63" xfId="735"/>
    <cellStyle name="40% - 강조색1 64" xfId="736"/>
    <cellStyle name="40% - 강조색1 65" xfId="737"/>
    <cellStyle name="40% - 강조색1 66" xfId="738"/>
    <cellStyle name="40% - 강조색1 67" xfId="739"/>
    <cellStyle name="40% - 강조색1 67 2" xfId="740"/>
    <cellStyle name="40% - 강조색1 67 3" xfId="741"/>
    <cellStyle name="40% - 강조색1 68" xfId="742"/>
    <cellStyle name="40% - 강조색1 69" xfId="743"/>
    <cellStyle name="40% - 강조색1 7" xfId="744"/>
    <cellStyle name="40% - 강조색1 70" xfId="745"/>
    <cellStyle name="40% - 강조색1 71" xfId="746"/>
    <cellStyle name="40% - 강조색1 71 2" xfId="747"/>
    <cellStyle name="40% - 강조색1 71 3" xfId="748"/>
    <cellStyle name="40% - 강조색1 72" xfId="749"/>
    <cellStyle name="40% - 강조색1 72 2" xfId="750"/>
    <cellStyle name="40% - 강조색1 72 3" xfId="751"/>
    <cellStyle name="40% - 강조색1 73" xfId="752"/>
    <cellStyle name="40% - 강조색1 73 2" xfId="753"/>
    <cellStyle name="40% - 강조색1 73 3" xfId="754"/>
    <cellStyle name="40% - 강조색1 74" xfId="755"/>
    <cellStyle name="40% - 강조색1 75" xfId="756"/>
    <cellStyle name="40% - 강조색1 76" xfId="757"/>
    <cellStyle name="40% - 강조색1 77" xfId="758"/>
    <cellStyle name="40% - 강조색1 78" xfId="759"/>
    <cellStyle name="40% - 강조색1 79" xfId="760"/>
    <cellStyle name="40% - 강조색1 8" xfId="761"/>
    <cellStyle name="40% - 강조색1 80" xfId="762"/>
    <cellStyle name="40% - 강조색1 81" xfId="763"/>
    <cellStyle name="40% - 강조색1 9" xfId="764"/>
    <cellStyle name="40% - 강조색2 10" xfId="765"/>
    <cellStyle name="40% - 강조색2 11" xfId="766"/>
    <cellStyle name="40% - 강조색2 12" xfId="767"/>
    <cellStyle name="40% - 강조색2 13" xfId="768"/>
    <cellStyle name="40% - 강조색2 14" xfId="769"/>
    <cellStyle name="40% - 강조색2 15" xfId="770"/>
    <cellStyle name="40% - 강조색2 16" xfId="771"/>
    <cellStyle name="40% - 강조색2 17" xfId="772"/>
    <cellStyle name="40% - 강조색2 18" xfId="773"/>
    <cellStyle name="40% - 강조색2 19" xfId="774"/>
    <cellStyle name="40% - 강조색2 2" xfId="775"/>
    <cellStyle name="40% - 강조색2 2 2" xfId="776"/>
    <cellStyle name="40% - 강조색2 2 2 2" xfId="777"/>
    <cellStyle name="40% - 강조색2 2 2 3" xfId="778"/>
    <cellStyle name="40% - 강조색2 2 3" xfId="779"/>
    <cellStyle name="40% - 강조색2 20" xfId="780"/>
    <cellStyle name="40% - 강조색2 21" xfId="781"/>
    <cellStyle name="40% - 강조색2 22" xfId="782"/>
    <cellStyle name="40% - 강조색2 23" xfId="783"/>
    <cellStyle name="40% - 강조색2 24" xfId="784"/>
    <cellStyle name="40% - 강조색2 25" xfId="785"/>
    <cellStyle name="40% - 강조색2 26" xfId="786"/>
    <cellStyle name="40% - 강조색2 27" xfId="787"/>
    <cellStyle name="40% - 강조색2 28" xfId="788"/>
    <cellStyle name="40% - 강조색2 29" xfId="789"/>
    <cellStyle name="40% - 강조색2 3" xfId="790"/>
    <cellStyle name="40% - 강조색2 30" xfId="791"/>
    <cellStyle name="40% - 강조색2 31" xfId="792"/>
    <cellStyle name="40% - 강조색2 32" xfId="793"/>
    <cellStyle name="40% - 강조색2 33" xfId="794"/>
    <cellStyle name="40% - 강조색2 34" xfId="795"/>
    <cellStyle name="40% - 강조색2 35" xfId="796"/>
    <cellStyle name="40% - 강조색2 36" xfId="797"/>
    <cellStyle name="40% - 강조색2 37" xfId="798"/>
    <cellStyle name="40% - 강조색2 38" xfId="799"/>
    <cellStyle name="40% - 강조색2 39" xfId="800"/>
    <cellStyle name="40% - 강조색2 4" xfId="801"/>
    <cellStyle name="40% - 강조색2 40" xfId="802"/>
    <cellStyle name="40% - 강조색2 41" xfId="803"/>
    <cellStyle name="40% - 강조색2 42" xfId="804"/>
    <cellStyle name="40% - 강조색2 43" xfId="805"/>
    <cellStyle name="40% - 강조색2 44" xfId="806"/>
    <cellStyle name="40% - 강조색2 45" xfId="807"/>
    <cellStyle name="40% - 강조색2 46" xfId="808"/>
    <cellStyle name="40% - 강조색2 47" xfId="809"/>
    <cellStyle name="40% - 강조색2 48" xfId="810"/>
    <cellStyle name="40% - 강조색2 49" xfId="811"/>
    <cellStyle name="40% - 강조색2 5" xfId="812"/>
    <cellStyle name="40% - 강조색2 50" xfId="813"/>
    <cellStyle name="40% - 강조색2 51" xfId="814"/>
    <cellStyle name="40% - 강조색2 52" xfId="815"/>
    <cellStyle name="40% - 강조색2 53" xfId="816"/>
    <cellStyle name="40% - 강조색2 54" xfId="817"/>
    <cellStyle name="40% - 강조색2 55" xfId="818"/>
    <cellStyle name="40% - 강조색2 56" xfId="819"/>
    <cellStyle name="40% - 강조색2 57" xfId="820"/>
    <cellStyle name="40% - 강조색2 58" xfId="821"/>
    <cellStyle name="40% - 강조색2 59" xfId="822"/>
    <cellStyle name="40% - 강조색2 6" xfId="823"/>
    <cellStyle name="40% - 강조색2 60" xfId="824"/>
    <cellStyle name="40% - 강조색2 61" xfId="825"/>
    <cellStyle name="40% - 강조색2 62" xfId="826"/>
    <cellStyle name="40% - 강조색2 63" xfId="827"/>
    <cellStyle name="40% - 강조색2 64" xfId="828"/>
    <cellStyle name="40% - 강조색2 65" xfId="829"/>
    <cellStyle name="40% - 강조색2 66" xfId="830"/>
    <cellStyle name="40% - 강조색2 67" xfId="831"/>
    <cellStyle name="40% - 강조색2 67 2" xfId="832"/>
    <cellStyle name="40% - 강조색2 67 3" xfId="833"/>
    <cellStyle name="40% - 강조색2 68" xfId="834"/>
    <cellStyle name="40% - 강조색2 69" xfId="835"/>
    <cellStyle name="40% - 강조색2 7" xfId="836"/>
    <cellStyle name="40% - 강조색2 70" xfId="837"/>
    <cellStyle name="40% - 강조색2 71" xfId="838"/>
    <cellStyle name="40% - 강조색2 71 2" xfId="839"/>
    <cellStyle name="40% - 강조색2 71 3" xfId="840"/>
    <cellStyle name="40% - 강조색2 72" xfId="841"/>
    <cellStyle name="40% - 강조색2 72 2" xfId="842"/>
    <cellStyle name="40% - 강조색2 72 3" xfId="843"/>
    <cellStyle name="40% - 강조색2 73" xfId="844"/>
    <cellStyle name="40% - 강조색2 73 2" xfId="845"/>
    <cellStyle name="40% - 강조색2 73 3" xfId="846"/>
    <cellStyle name="40% - 강조색2 74" xfId="847"/>
    <cellStyle name="40% - 강조색2 75" xfId="848"/>
    <cellStyle name="40% - 강조색2 76" xfId="849"/>
    <cellStyle name="40% - 강조색2 77" xfId="850"/>
    <cellStyle name="40% - 강조색2 78" xfId="851"/>
    <cellStyle name="40% - 강조색2 79" xfId="852"/>
    <cellStyle name="40% - 강조색2 8" xfId="853"/>
    <cellStyle name="40% - 강조색2 80" xfId="854"/>
    <cellStyle name="40% - 강조색2 81" xfId="855"/>
    <cellStyle name="40% - 강조색2 9" xfId="856"/>
    <cellStyle name="40% - 강조색3 10" xfId="857"/>
    <cellStyle name="40% - 강조색3 11" xfId="858"/>
    <cellStyle name="40% - 강조색3 12" xfId="859"/>
    <cellStyle name="40% - 강조색3 13" xfId="860"/>
    <cellStyle name="40% - 강조색3 14" xfId="861"/>
    <cellStyle name="40% - 강조색3 15" xfId="862"/>
    <cellStyle name="40% - 강조색3 16" xfId="863"/>
    <cellStyle name="40% - 강조색3 17" xfId="864"/>
    <cellStyle name="40% - 강조색3 18" xfId="865"/>
    <cellStyle name="40% - 강조색3 19" xfId="866"/>
    <cellStyle name="40% - 강조색3 2" xfId="867"/>
    <cellStyle name="40% - 강조색3 2 2" xfId="868"/>
    <cellStyle name="40% - 강조색3 2 2 2" xfId="869"/>
    <cellStyle name="40% - 강조색3 2 2 3" xfId="870"/>
    <cellStyle name="40% - 강조색3 2 3" xfId="871"/>
    <cellStyle name="40% - 강조색3 20" xfId="872"/>
    <cellStyle name="40% - 강조색3 21" xfId="873"/>
    <cellStyle name="40% - 강조색3 22" xfId="874"/>
    <cellStyle name="40% - 강조색3 23" xfId="875"/>
    <cellStyle name="40% - 강조색3 24" xfId="876"/>
    <cellStyle name="40% - 강조색3 25" xfId="877"/>
    <cellStyle name="40% - 강조색3 26" xfId="878"/>
    <cellStyle name="40% - 강조색3 27" xfId="879"/>
    <cellStyle name="40% - 강조색3 28" xfId="880"/>
    <cellStyle name="40% - 강조색3 29" xfId="881"/>
    <cellStyle name="40% - 강조색3 3" xfId="882"/>
    <cellStyle name="40% - 강조색3 30" xfId="883"/>
    <cellStyle name="40% - 강조색3 31" xfId="884"/>
    <cellStyle name="40% - 강조색3 32" xfId="885"/>
    <cellStyle name="40% - 강조색3 33" xfId="886"/>
    <cellStyle name="40% - 강조색3 34" xfId="887"/>
    <cellStyle name="40% - 강조색3 35" xfId="888"/>
    <cellStyle name="40% - 강조색3 36" xfId="889"/>
    <cellStyle name="40% - 강조색3 37" xfId="890"/>
    <cellStyle name="40% - 강조색3 38" xfId="891"/>
    <cellStyle name="40% - 강조색3 39" xfId="892"/>
    <cellStyle name="40% - 강조색3 4" xfId="893"/>
    <cellStyle name="40% - 강조색3 40" xfId="894"/>
    <cellStyle name="40% - 강조색3 41" xfId="895"/>
    <cellStyle name="40% - 강조색3 42" xfId="896"/>
    <cellStyle name="40% - 강조색3 43" xfId="897"/>
    <cellStyle name="40% - 강조색3 44" xfId="898"/>
    <cellStyle name="40% - 강조색3 45" xfId="899"/>
    <cellStyle name="40% - 강조색3 46" xfId="900"/>
    <cellStyle name="40% - 강조색3 47" xfId="901"/>
    <cellStyle name="40% - 강조색3 48" xfId="902"/>
    <cellStyle name="40% - 강조색3 49" xfId="903"/>
    <cellStyle name="40% - 강조색3 5" xfId="904"/>
    <cellStyle name="40% - 강조색3 50" xfId="905"/>
    <cellStyle name="40% - 강조색3 51" xfId="906"/>
    <cellStyle name="40% - 강조색3 52" xfId="907"/>
    <cellStyle name="40% - 강조색3 53" xfId="908"/>
    <cellStyle name="40% - 강조색3 54" xfId="909"/>
    <cellStyle name="40% - 강조색3 55" xfId="910"/>
    <cellStyle name="40% - 강조색3 56" xfId="911"/>
    <cellStyle name="40% - 강조색3 57" xfId="912"/>
    <cellStyle name="40% - 강조색3 58" xfId="913"/>
    <cellStyle name="40% - 강조색3 59" xfId="914"/>
    <cellStyle name="40% - 강조색3 6" xfId="915"/>
    <cellStyle name="40% - 강조색3 60" xfId="916"/>
    <cellStyle name="40% - 강조색3 61" xfId="917"/>
    <cellStyle name="40% - 강조색3 62" xfId="918"/>
    <cellStyle name="40% - 강조색3 63" xfId="919"/>
    <cellStyle name="40% - 강조색3 64" xfId="920"/>
    <cellStyle name="40% - 강조색3 65" xfId="921"/>
    <cellStyle name="40% - 강조색3 66" xfId="922"/>
    <cellStyle name="40% - 강조색3 67" xfId="923"/>
    <cellStyle name="40% - 강조색3 67 2" xfId="924"/>
    <cellStyle name="40% - 강조색3 67 3" xfId="925"/>
    <cellStyle name="40% - 강조색3 68" xfId="926"/>
    <cellStyle name="40% - 강조색3 69" xfId="927"/>
    <cellStyle name="40% - 강조색3 7" xfId="928"/>
    <cellStyle name="40% - 강조색3 70" xfId="929"/>
    <cellStyle name="40% - 강조색3 71" xfId="930"/>
    <cellStyle name="40% - 강조색3 71 2" xfId="931"/>
    <cellStyle name="40% - 강조색3 71 3" xfId="932"/>
    <cellStyle name="40% - 강조색3 72" xfId="933"/>
    <cellStyle name="40% - 강조색3 72 2" xfId="934"/>
    <cellStyle name="40% - 강조색3 72 3" xfId="935"/>
    <cellStyle name="40% - 강조색3 73" xfId="936"/>
    <cellStyle name="40% - 강조색3 73 2" xfId="937"/>
    <cellStyle name="40% - 강조색3 73 3" xfId="938"/>
    <cellStyle name="40% - 강조색3 74" xfId="939"/>
    <cellStyle name="40% - 강조색3 75" xfId="940"/>
    <cellStyle name="40% - 강조색3 76" xfId="941"/>
    <cellStyle name="40% - 강조색3 77" xfId="942"/>
    <cellStyle name="40% - 강조색3 78" xfId="943"/>
    <cellStyle name="40% - 강조색3 79" xfId="944"/>
    <cellStyle name="40% - 강조색3 8" xfId="945"/>
    <cellStyle name="40% - 강조색3 80" xfId="946"/>
    <cellStyle name="40% - 강조색3 81" xfId="947"/>
    <cellStyle name="40% - 강조색3 9" xfId="948"/>
    <cellStyle name="40% - 강조색4 10" xfId="949"/>
    <cellStyle name="40% - 강조색4 11" xfId="950"/>
    <cellStyle name="40% - 강조색4 12" xfId="951"/>
    <cellStyle name="40% - 강조색4 13" xfId="952"/>
    <cellStyle name="40% - 강조색4 14" xfId="953"/>
    <cellStyle name="40% - 강조색4 15" xfId="954"/>
    <cellStyle name="40% - 강조색4 16" xfId="955"/>
    <cellStyle name="40% - 강조색4 17" xfId="956"/>
    <cellStyle name="40% - 강조색4 18" xfId="957"/>
    <cellStyle name="40% - 강조색4 19" xfId="958"/>
    <cellStyle name="40% - 강조색4 2" xfId="959"/>
    <cellStyle name="40% - 강조색4 2 2" xfId="960"/>
    <cellStyle name="40% - 강조색4 2 2 2" xfId="961"/>
    <cellStyle name="40% - 강조색4 2 2 3" xfId="962"/>
    <cellStyle name="40% - 강조색4 2 3" xfId="963"/>
    <cellStyle name="40% - 강조색4 20" xfId="964"/>
    <cellStyle name="40% - 강조색4 21" xfId="965"/>
    <cellStyle name="40% - 강조색4 22" xfId="966"/>
    <cellStyle name="40% - 강조색4 23" xfId="967"/>
    <cellStyle name="40% - 강조색4 24" xfId="968"/>
    <cellStyle name="40% - 강조색4 25" xfId="969"/>
    <cellStyle name="40% - 강조색4 26" xfId="970"/>
    <cellStyle name="40% - 강조색4 27" xfId="971"/>
    <cellStyle name="40% - 강조색4 28" xfId="972"/>
    <cellStyle name="40% - 강조색4 29" xfId="973"/>
    <cellStyle name="40% - 강조색4 3" xfId="974"/>
    <cellStyle name="40% - 강조색4 30" xfId="975"/>
    <cellStyle name="40% - 강조색4 31" xfId="976"/>
    <cellStyle name="40% - 강조색4 32" xfId="977"/>
    <cellStyle name="40% - 강조색4 33" xfId="978"/>
    <cellStyle name="40% - 강조색4 34" xfId="979"/>
    <cellStyle name="40% - 강조색4 35" xfId="980"/>
    <cellStyle name="40% - 강조색4 36" xfId="981"/>
    <cellStyle name="40% - 강조색4 37" xfId="982"/>
    <cellStyle name="40% - 강조색4 38" xfId="983"/>
    <cellStyle name="40% - 강조색4 39" xfId="984"/>
    <cellStyle name="40% - 강조색4 4" xfId="985"/>
    <cellStyle name="40% - 강조색4 40" xfId="986"/>
    <cellStyle name="40% - 강조색4 41" xfId="987"/>
    <cellStyle name="40% - 강조색4 42" xfId="988"/>
    <cellStyle name="40% - 강조색4 43" xfId="989"/>
    <cellStyle name="40% - 강조색4 44" xfId="990"/>
    <cellStyle name="40% - 강조색4 45" xfId="991"/>
    <cellStyle name="40% - 강조색4 46" xfId="992"/>
    <cellStyle name="40% - 강조색4 47" xfId="993"/>
    <cellStyle name="40% - 강조색4 48" xfId="994"/>
    <cellStyle name="40% - 강조색4 49" xfId="995"/>
    <cellStyle name="40% - 강조색4 5" xfId="996"/>
    <cellStyle name="40% - 강조색4 50" xfId="997"/>
    <cellStyle name="40% - 강조색4 51" xfId="998"/>
    <cellStyle name="40% - 강조색4 52" xfId="999"/>
    <cellStyle name="40% - 강조색4 53" xfId="1000"/>
    <cellStyle name="40% - 강조색4 54" xfId="1001"/>
    <cellStyle name="40% - 강조색4 55" xfId="1002"/>
    <cellStyle name="40% - 강조색4 56" xfId="1003"/>
    <cellStyle name="40% - 강조색4 57" xfId="1004"/>
    <cellStyle name="40% - 강조색4 58" xfId="1005"/>
    <cellStyle name="40% - 강조색4 59" xfId="1006"/>
    <cellStyle name="40% - 강조색4 6" xfId="1007"/>
    <cellStyle name="40% - 강조색4 60" xfId="1008"/>
    <cellStyle name="40% - 강조색4 61" xfId="1009"/>
    <cellStyle name="40% - 강조색4 62" xfId="1010"/>
    <cellStyle name="40% - 강조색4 63" xfId="1011"/>
    <cellStyle name="40% - 강조색4 64" xfId="1012"/>
    <cellStyle name="40% - 강조색4 65" xfId="1013"/>
    <cellStyle name="40% - 강조색4 66" xfId="1014"/>
    <cellStyle name="40% - 강조색4 67" xfId="1015"/>
    <cellStyle name="40% - 강조색4 67 2" xfId="1016"/>
    <cellStyle name="40% - 강조색4 67 3" xfId="1017"/>
    <cellStyle name="40% - 강조색4 68" xfId="1018"/>
    <cellStyle name="40% - 강조색4 69" xfId="1019"/>
    <cellStyle name="40% - 강조색4 7" xfId="1020"/>
    <cellStyle name="40% - 강조색4 70" xfId="1021"/>
    <cellStyle name="40% - 강조색4 71" xfId="1022"/>
    <cellStyle name="40% - 강조색4 71 2" xfId="1023"/>
    <cellStyle name="40% - 강조색4 71 3" xfId="1024"/>
    <cellStyle name="40% - 강조색4 72" xfId="1025"/>
    <cellStyle name="40% - 강조색4 72 2" xfId="1026"/>
    <cellStyle name="40% - 강조색4 72 3" xfId="1027"/>
    <cellStyle name="40% - 강조색4 73" xfId="1028"/>
    <cellStyle name="40% - 강조색4 73 2" xfId="1029"/>
    <cellStyle name="40% - 강조색4 73 3" xfId="1030"/>
    <cellStyle name="40% - 강조색4 74" xfId="1031"/>
    <cellStyle name="40% - 강조색4 75" xfId="1032"/>
    <cellStyle name="40% - 강조색4 76" xfId="1033"/>
    <cellStyle name="40% - 강조색4 77" xfId="1034"/>
    <cellStyle name="40% - 강조색4 78" xfId="1035"/>
    <cellStyle name="40% - 강조색4 79" xfId="1036"/>
    <cellStyle name="40% - 강조색4 8" xfId="1037"/>
    <cellStyle name="40% - 강조색4 80" xfId="1038"/>
    <cellStyle name="40% - 강조색4 81" xfId="1039"/>
    <cellStyle name="40% - 강조색4 9" xfId="1040"/>
    <cellStyle name="40% - 강조색5 10" xfId="1041"/>
    <cellStyle name="40% - 강조색5 11" xfId="1042"/>
    <cellStyle name="40% - 강조색5 12" xfId="1043"/>
    <cellStyle name="40% - 강조색5 13" xfId="1044"/>
    <cellStyle name="40% - 강조색5 14" xfId="1045"/>
    <cellStyle name="40% - 강조색5 15" xfId="1046"/>
    <cellStyle name="40% - 강조색5 16" xfId="1047"/>
    <cellStyle name="40% - 강조색5 17" xfId="1048"/>
    <cellStyle name="40% - 강조색5 18" xfId="1049"/>
    <cellStyle name="40% - 강조색5 19" xfId="1050"/>
    <cellStyle name="40% - 강조색5 2" xfId="1051"/>
    <cellStyle name="40% - 강조색5 2 2" xfId="1052"/>
    <cellStyle name="40% - 강조색5 2 2 2" xfId="1053"/>
    <cellStyle name="40% - 강조색5 2 2 3" xfId="1054"/>
    <cellStyle name="40% - 강조색5 2 3" xfId="1055"/>
    <cellStyle name="40% - 강조색5 20" xfId="1056"/>
    <cellStyle name="40% - 강조색5 21" xfId="1057"/>
    <cellStyle name="40% - 강조색5 22" xfId="1058"/>
    <cellStyle name="40% - 강조색5 23" xfId="1059"/>
    <cellStyle name="40% - 강조색5 24" xfId="1060"/>
    <cellStyle name="40% - 강조색5 25" xfId="1061"/>
    <cellStyle name="40% - 강조색5 26" xfId="1062"/>
    <cellStyle name="40% - 강조색5 27" xfId="1063"/>
    <cellStyle name="40% - 강조색5 28" xfId="1064"/>
    <cellStyle name="40% - 강조색5 29" xfId="1065"/>
    <cellStyle name="40% - 강조색5 3" xfId="1066"/>
    <cellStyle name="40% - 강조색5 30" xfId="1067"/>
    <cellStyle name="40% - 강조색5 31" xfId="1068"/>
    <cellStyle name="40% - 강조색5 32" xfId="1069"/>
    <cellStyle name="40% - 강조색5 33" xfId="1070"/>
    <cellStyle name="40% - 강조색5 34" xfId="1071"/>
    <cellStyle name="40% - 강조색5 35" xfId="1072"/>
    <cellStyle name="40% - 강조색5 36" xfId="1073"/>
    <cellStyle name="40% - 강조색5 37" xfId="1074"/>
    <cellStyle name="40% - 강조색5 38" xfId="1075"/>
    <cellStyle name="40% - 강조색5 39" xfId="1076"/>
    <cellStyle name="40% - 강조색5 4" xfId="1077"/>
    <cellStyle name="40% - 강조색5 40" xfId="1078"/>
    <cellStyle name="40% - 강조색5 41" xfId="1079"/>
    <cellStyle name="40% - 강조색5 42" xfId="1080"/>
    <cellStyle name="40% - 강조색5 43" xfId="1081"/>
    <cellStyle name="40% - 강조색5 44" xfId="1082"/>
    <cellStyle name="40% - 강조색5 45" xfId="1083"/>
    <cellStyle name="40% - 강조색5 46" xfId="1084"/>
    <cellStyle name="40% - 강조색5 47" xfId="1085"/>
    <cellStyle name="40% - 강조색5 48" xfId="1086"/>
    <cellStyle name="40% - 강조색5 49" xfId="1087"/>
    <cellStyle name="40% - 강조색5 5" xfId="1088"/>
    <cellStyle name="40% - 강조색5 50" xfId="1089"/>
    <cellStyle name="40% - 강조색5 51" xfId="1090"/>
    <cellStyle name="40% - 강조색5 52" xfId="1091"/>
    <cellStyle name="40% - 강조색5 53" xfId="1092"/>
    <cellStyle name="40% - 강조색5 54" xfId="1093"/>
    <cellStyle name="40% - 강조색5 55" xfId="1094"/>
    <cellStyle name="40% - 강조색5 56" xfId="1095"/>
    <cellStyle name="40% - 강조색5 57" xfId="1096"/>
    <cellStyle name="40% - 강조색5 58" xfId="1097"/>
    <cellStyle name="40% - 강조색5 59" xfId="1098"/>
    <cellStyle name="40% - 강조색5 6" xfId="1099"/>
    <cellStyle name="40% - 강조색5 60" xfId="1100"/>
    <cellStyle name="40% - 강조색5 61" xfId="1101"/>
    <cellStyle name="40% - 강조색5 62" xfId="1102"/>
    <cellStyle name="40% - 강조색5 63" xfId="1103"/>
    <cellStyle name="40% - 강조색5 64" xfId="1104"/>
    <cellStyle name="40% - 강조색5 65" xfId="1105"/>
    <cellStyle name="40% - 강조색5 66" xfId="1106"/>
    <cellStyle name="40% - 강조색5 67" xfId="1107"/>
    <cellStyle name="40% - 강조색5 67 2" xfId="1108"/>
    <cellStyle name="40% - 강조색5 67 3" xfId="1109"/>
    <cellStyle name="40% - 강조색5 68" xfId="1110"/>
    <cellStyle name="40% - 강조색5 69" xfId="1111"/>
    <cellStyle name="40% - 강조색5 7" xfId="1112"/>
    <cellStyle name="40% - 강조색5 70" xfId="1113"/>
    <cellStyle name="40% - 강조색5 71" xfId="1114"/>
    <cellStyle name="40% - 강조색5 71 2" xfId="1115"/>
    <cellStyle name="40% - 강조색5 71 3" xfId="1116"/>
    <cellStyle name="40% - 강조색5 72" xfId="1117"/>
    <cellStyle name="40% - 강조색5 72 2" xfId="1118"/>
    <cellStyle name="40% - 강조색5 72 3" xfId="1119"/>
    <cellStyle name="40% - 강조색5 73" xfId="1120"/>
    <cellStyle name="40% - 강조색5 73 2" xfId="1121"/>
    <cellStyle name="40% - 강조색5 73 3" xfId="1122"/>
    <cellStyle name="40% - 강조색5 74" xfId="1123"/>
    <cellStyle name="40% - 강조색5 75" xfId="1124"/>
    <cellStyle name="40% - 강조색5 76" xfId="1125"/>
    <cellStyle name="40% - 강조색5 77" xfId="1126"/>
    <cellStyle name="40% - 강조색5 78" xfId="1127"/>
    <cellStyle name="40% - 강조색5 79" xfId="1128"/>
    <cellStyle name="40% - 강조색5 8" xfId="1129"/>
    <cellStyle name="40% - 강조색5 80" xfId="1130"/>
    <cellStyle name="40% - 강조색5 81" xfId="1131"/>
    <cellStyle name="40% - 강조색5 9" xfId="1132"/>
    <cellStyle name="40% - 강조색6 10" xfId="1133"/>
    <cellStyle name="40% - 강조색6 11" xfId="1134"/>
    <cellStyle name="40% - 강조색6 12" xfId="1135"/>
    <cellStyle name="40% - 강조색6 13" xfId="1136"/>
    <cellStyle name="40% - 강조색6 14" xfId="1137"/>
    <cellStyle name="40% - 강조색6 15" xfId="1138"/>
    <cellStyle name="40% - 강조색6 16" xfId="1139"/>
    <cellStyle name="40% - 강조색6 17" xfId="1140"/>
    <cellStyle name="40% - 강조색6 18" xfId="1141"/>
    <cellStyle name="40% - 강조색6 19" xfId="1142"/>
    <cellStyle name="40% - 강조색6 2" xfId="1143"/>
    <cellStyle name="40% - 강조색6 2 2" xfId="1144"/>
    <cellStyle name="40% - 강조색6 2 2 2" xfId="1145"/>
    <cellStyle name="40% - 강조색6 2 2 3" xfId="1146"/>
    <cellStyle name="40% - 강조색6 2 3" xfId="1147"/>
    <cellStyle name="40% - 강조색6 20" xfId="1148"/>
    <cellStyle name="40% - 강조색6 21" xfId="1149"/>
    <cellStyle name="40% - 강조색6 22" xfId="1150"/>
    <cellStyle name="40% - 강조색6 23" xfId="1151"/>
    <cellStyle name="40% - 강조색6 24" xfId="1152"/>
    <cellStyle name="40% - 강조색6 25" xfId="1153"/>
    <cellStyle name="40% - 강조색6 26" xfId="1154"/>
    <cellStyle name="40% - 강조색6 27" xfId="1155"/>
    <cellStyle name="40% - 강조색6 28" xfId="1156"/>
    <cellStyle name="40% - 강조색6 29" xfId="1157"/>
    <cellStyle name="40% - 강조색6 3" xfId="1158"/>
    <cellStyle name="40% - 강조색6 30" xfId="1159"/>
    <cellStyle name="40% - 강조색6 31" xfId="1160"/>
    <cellStyle name="40% - 강조색6 32" xfId="1161"/>
    <cellStyle name="40% - 강조색6 33" xfId="1162"/>
    <cellStyle name="40% - 강조색6 34" xfId="1163"/>
    <cellStyle name="40% - 강조색6 35" xfId="1164"/>
    <cellStyle name="40% - 강조색6 36" xfId="1165"/>
    <cellStyle name="40% - 강조색6 37" xfId="1166"/>
    <cellStyle name="40% - 강조색6 38" xfId="1167"/>
    <cellStyle name="40% - 강조색6 39" xfId="1168"/>
    <cellStyle name="40% - 강조색6 4" xfId="1169"/>
    <cellStyle name="40% - 강조색6 40" xfId="1170"/>
    <cellStyle name="40% - 강조색6 41" xfId="1171"/>
    <cellStyle name="40% - 강조색6 42" xfId="1172"/>
    <cellStyle name="40% - 강조색6 43" xfId="1173"/>
    <cellStyle name="40% - 강조색6 44" xfId="1174"/>
    <cellStyle name="40% - 강조색6 45" xfId="1175"/>
    <cellStyle name="40% - 강조색6 46" xfId="1176"/>
    <cellStyle name="40% - 강조색6 47" xfId="1177"/>
    <cellStyle name="40% - 강조색6 48" xfId="1178"/>
    <cellStyle name="40% - 강조색6 49" xfId="1179"/>
    <cellStyle name="40% - 강조색6 5" xfId="1180"/>
    <cellStyle name="40% - 강조색6 50" xfId="1181"/>
    <cellStyle name="40% - 강조색6 51" xfId="1182"/>
    <cellStyle name="40% - 강조색6 52" xfId="1183"/>
    <cellStyle name="40% - 강조색6 53" xfId="1184"/>
    <cellStyle name="40% - 강조색6 54" xfId="1185"/>
    <cellStyle name="40% - 강조색6 55" xfId="1186"/>
    <cellStyle name="40% - 강조색6 56" xfId="1187"/>
    <cellStyle name="40% - 강조색6 57" xfId="1188"/>
    <cellStyle name="40% - 강조색6 58" xfId="1189"/>
    <cellStyle name="40% - 강조색6 59" xfId="1190"/>
    <cellStyle name="40% - 강조색6 6" xfId="1191"/>
    <cellStyle name="40% - 강조색6 60" xfId="1192"/>
    <cellStyle name="40% - 강조색6 61" xfId="1193"/>
    <cellStyle name="40% - 강조색6 62" xfId="1194"/>
    <cellStyle name="40% - 강조색6 63" xfId="1195"/>
    <cellStyle name="40% - 강조색6 64" xfId="1196"/>
    <cellStyle name="40% - 강조색6 65" xfId="1197"/>
    <cellStyle name="40% - 강조색6 66" xfId="1198"/>
    <cellStyle name="40% - 강조색6 67" xfId="1199"/>
    <cellStyle name="40% - 강조색6 67 2" xfId="1200"/>
    <cellStyle name="40% - 강조색6 67 3" xfId="1201"/>
    <cellStyle name="40% - 강조색6 68" xfId="1202"/>
    <cellStyle name="40% - 강조색6 69" xfId="1203"/>
    <cellStyle name="40% - 강조색6 7" xfId="1204"/>
    <cellStyle name="40% - 강조색6 70" xfId="1205"/>
    <cellStyle name="40% - 강조색6 71" xfId="1206"/>
    <cellStyle name="40% - 강조색6 71 2" xfId="1207"/>
    <cellStyle name="40% - 강조색6 71 3" xfId="1208"/>
    <cellStyle name="40% - 강조색6 72" xfId="1209"/>
    <cellStyle name="40% - 강조색6 72 2" xfId="1210"/>
    <cellStyle name="40% - 강조색6 72 3" xfId="1211"/>
    <cellStyle name="40% - 강조색6 73" xfId="1212"/>
    <cellStyle name="40% - 강조색6 73 2" xfId="1213"/>
    <cellStyle name="40% - 강조색6 73 3" xfId="1214"/>
    <cellStyle name="40% - 강조색6 74" xfId="1215"/>
    <cellStyle name="40% - 강조색6 75" xfId="1216"/>
    <cellStyle name="40% - 강조색6 76" xfId="1217"/>
    <cellStyle name="40% - 강조색6 77" xfId="1218"/>
    <cellStyle name="40% - 강조색6 78" xfId="1219"/>
    <cellStyle name="40% - 강조색6 79" xfId="1220"/>
    <cellStyle name="40% - 강조색6 8" xfId="1221"/>
    <cellStyle name="40% - 강조색6 80" xfId="1222"/>
    <cellStyle name="40% - 강조색6 81" xfId="1223"/>
    <cellStyle name="40% - 강조색6 9" xfId="1224"/>
    <cellStyle name="60% - Accent1" xfId="1225"/>
    <cellStyle name="60% - Accent2" xfId="1226"/>
    <cellStyle name="60% - Accent3" xfId="1227"/>
    <cellStyle name="60% - Accent4" xfId="1228"/>
    <cellStyle name="60% - Accent5" xfId="1229"/>
    <cellStyle name="60% - Accent6" xfId="1230"/>
    <cellStyle name="60% - アクセント 1" xfId="1231"/>
    <cellStyle name="60% - アクセント 2" xfId="1232"/>
    <cellStyle name="60% - アクセント 3" xfId="1233"/>
    <cellStyle name="60% - アクセント 4" xfId="1234"/>
    <cellStyle name="60% - アクセント 5" xfId="1235"/>
    <cellStyle name="60% - アクセント 6" xfId="1236"/>
    <cellStyle name="60% - 강조색1 10" xfId="1237"/>
    <cellStyle name="60% - 강조색1 11" xfId="1238"/>
    <cellStyle name="60% - 강조색1 12" xfId="1239"/>
    <cellStyle name="60% - 강조색1 13" xfId="1240"/>
    <cellStyle name="60% - 강조색1 14" xfId="1241"/>
    <cellStyle name="60% - 강조색1 15" xfId="1242"/>
    <cellStyle name="60% - 강조색1 16" xfId="1243"/>
    <cellStyle name="60% - 강조색1 17" xfId="1244"/>
    <cellStyle name="60% - 강조색1 18" xfId="1245"/>
    <cellStyle name="60% - 강조색1 19" xfId="1246"/>
    <cellStyle name="60% - 강조색1 2" xfId="1247"/>
    <cellStyle name="60% - 강조색1 2 2" xfId="1248"/>
    <cellStyle name="60% - 강조색1 2 2 2" xfId="1249"/>
    <cellStyle name="60% - 강조색1 2 2 3" xfId="1250"/>
    <cellStyle name="60% - 강조색1 2 3" xfId="1251"/>
    <cellStyle name="60% - 강조색1 20" xfId="1252"/>
    <cellStyle name="60% - 강조색1 21" xfId="1253"/>
    <cellStyle name="60% - 강조색1 22" xfId="1254"/>
    <cellStyle name="60% - 강조색1 23" xfId="1255"/>
    <cellStyle name="60% - 강조색1 24" xfId="1256"/>
    <cellStyle name="60% - 강조색1 25" xfId="1257"/>
    <cellStyle name="60% - 강조색1 26" xfId="1258"/>
    <cellStyle name="60% - 강조색1 27" xfId="1259"/>
    <cellStyle name="60% - 강조색1 28" xfId="1260"/>
    <cellStyle name="60% - 강조색1 29" xfId="1261"/>
    <cellStyle name="60% - 강조색1 3" xfId="1262"/>
    <cellStyle name="60% - 강조색1 30" xfId="1263"/>
    <cellStyle name="60% - 강조색1 31" xfId="1264"/>
    <cellStyle name="60% - 강조색1 32" xfId="1265"/>
    <cellStyle name="60% - 강조색1 33" xfId="1266"/>
    <cellStyle name="60% - 강조색1 34" xfId="1267"/>
    <cellStyle name="60% - 강조색1 35" xfId="1268"/>
    <cellStyle name="60% - 강조색1 36" xfId="1269"/>
    <cellStyle name="60% - 강조색1 37" xfId="1270"/>
    <cellStyle name="60% - 강조색1 38" xfId="1271"/>
    <cellStyle name="60% - 강조색1 39" xfId="1272"/>
    <cellStyle name="60% - 강조색1 4" xfId="1273"/>
    <cellStyle name="60% - 강조색1 40" xfId="1274"/>
    <cellStyle name="60% - 강조색1 41" xfId="1275"/>
    <cellStyle name="60% - 강조색1 42" xfId="1276"/>
    <cellStyle name="60% - 강조색1 43" xfId="1277"/>
    <cellStyle name="60% - 강조색1 44" xfId="1278"/>
    <cellStyle name="60% - 강조색1 45" xfId="1279"/>
    <cellStyle name="60% - 강조색1 46" xfId="1280"/>
    <cellStyle name="60% - 강조색1 47" xfId="1281"/>
    <cellStyle name="60% - 강조색1 48" xfId="1282"/>
    <cellStyle name="60% - 강조색1 49" xfId="1283"/>
    <cellStyle name="60% - 강조색1 5" xfId="1284"/>
    <cellStyle name="60% - 강조색1 50" xfId="1285"/>
    <cellStyle name="60% - 강조색1 51" xfId="1286"/>
    <cellStyle name="60% - 강조색1 52" xfId="1287"/>
    <cellStyle name="60% - 강조색1 53" xfId="1288"/>
    <cellStyle name="60% - 강조색1 54" xfId="1289"/>
    <cellStyle name="60% - 강조색1 55" xfId="1290"/>
    <cellStyle name="60% - 강조색1 56" xfId="1291"/>
    <cellStyle name="60% - 강조색1 57" xfId="1292"/>
    <cellStyle name="60% - 강조색1 58" xfId="1293"/>
    <cellStyle name="60% - 강조색1 59" xfId="1294"/>
    <cellStyle name="60% - 강조색1 6" xfId="1295"/>
    <cellStyle name="60% - 강조색1 60" xfId="1296"/>
    <cellStyle name="60% - 강조색1 61" xfId="1297"/>
    <cellStyle name="60% - 강조색1 62" xfId="1298"/>
    <cellStyle name="60% - 강조색1 63" xfId="1299"/>
    <cellStyle name="60% - 강조색1 64" xfId="1300"/>
    <cellStyle name="60% - 강조색1 65" xfId="1301"/>
    <cellStyle name="60% - 강조색1 66" xfId="1302"/>
    <cellStyle name="60% - 강조색1 67" xfId="1303"/>
    <cellStyle name="60% - 강조색1 68" xfId="1304"/>
    <cellStyle name="60% - 강조색1 69" xfId="1305"/>
    <cellStyle name="60% - 강조색1 7" xfId="1306"/>
    <cellStyle name="60% - 강조색1 70" xfId="1307"/>
    <cellStyle name="60% - 강조색1 71" xfId="1308"/>
    <cellStyle name="60% - 강조색1 72" xfId="1309"/>
    <cellStyle name="60% - 강조색1 73" xfId="1310"/>
    <cellStyle name="60% - 강조색1 74" xfId="1311"/>
    <cellStyle name="60% - 강조색1 75" xfId="1312"/>
    <cellStyle name="60% - 강조색1 76" xfId="1313"/>
    <cellStyle name="60% - 강조색1 8" xfId="1314"/>
    <cellStyle name="60% - 강조색1 9" xfId="1315"/>
    <cellStyle name="60% - 강조색2 10" xfId="1316"/>
    <cellStyle name="60% - 강조색2 11" xfId="1317"/>
    <cellStyle name="60% - 강조색2 12" xfId="1318"/>
    <cellStyle name="60% - 강조색2 13" xfId="1319"/>
    <cellStyle name="60% - 강조색2 14" xfId="1320"/>
    <cellStyle name="60% - 강조색2 15" xfId="1321"/>
    <cellStyle name="60% - 강조색2 16" xfId="1322"/>
    <cellStyle name="60% - 강조색2 17" xfId="1323"/>
    <cellStyle name="60% - 강조색2 18" xfId="1324"/>
    <cellStyle name="60% - 강조색2 19" xfId="1325"/>
    <cellStyle name="60% - 강조색2 2" xfId="1326"/>
    <cellStyle name="60% - 강조색2 2 2" xfId="1327"/>
    <cellStyle name="60% - 강조색2 2 2 2" xfId="1328"/>
    <cellStyle name="60% - 강조색2 2 2 3" xfId="1329"/>
    <cellStyle name="60% - 강조색2 2 3" xfId="1330"/>
    <cellStyle name="60% - 강조색2 20" xfId="1331"/>
    <cellStyle name="60% - 강조색2 21" xfId="1332"/>
    <cellStyle name="60% - 강조색2 22" xfId="1333"/>
    <cellStyle name="60% - 강조색2 23" xfId="1334"/>
    <cellStyle name="60% - 강조색2 24" xfId="1335"/>
    <cellStyle name="60% - 강조색2 25" xfId="1336"/>
    <cellStyle name="60% - 강조색2 26" xfId="1337"/>
    <cellStyle name="60% - 강조색2 27" xfId="1338"/>
    <cellStyle name="60% - 강조색2 28" xfId="1339"/>
    <cellStyle name="60% - 강조색2 29" xfId="1340"/>
    <cellStyle name="60% - 강조색2 3" xfId="1341"/>
    <cellStyle name="60% - 강조색2 30" xfId="1342"/>
    <cellStyle name="60% - 강조색2 31" xfId="1343"/>
    <cellStyle name="60% - 강조색2 32" xfId="1344"/>
    <cellStyle name="60% - 강조색2 33" xfId="1345"/>
    <cellStyle name="60% - 강조색2 34" xfId="1346"/>
    <cellStyle name="60% - 강조색2 35" xfId="1347"/>
    <cellStyle name="60% - 강조색2 36" xfId="1348"/>
    <cellStyle name="60% - 강조색2 37" xfId="1349"/>
    <cellStyle name="60% - 강조색2 38" xfId="1350"/>
    <cellStyle name="60% - 강조색2 39" xfId="1351"/>
    <cellStyle name="60% - 강조색2 4" xfId="1352"/>
    <cellStyle name="60% - 강조색2 40" xfId="1353"/>
    <cellStyle name="60% - 강조색2 41" xfId="1354"/>
    <cellStyle name="60% - 강조색2 42" xfId="1355"/>
    <cellStyle name="60% - 강조색2 43" xfId="1356"/>
    <cellStyle name="60% - 강조색2 44" xfId="1357"/>
    <cellStyle name="60% - 강조색2 45" xfId="1358"/>
    <cellStyle name="60% - 강조색2 46" xfId="1359"/>
    <cellStyle name="60% - 강조색2 47" xfId="1360"/>
    <cellStyle name="60% - 강조색2 48" xfId="1361"/>
    <cellStyle name="60% - 강조색2 49" xfId="1362"/>
    <cellStyle name="60% - 강조색2 5" xfId="1363"/>
    <cellStyle name="60% - 강조색2 50" xfId="1364"/>
    <cellStyle name="60% - 강조색2 51" xfId="1365"/>
    <cellStyle name="60% - 강조색2 52" xfId="1366"/>
    <cellStyle name="60% - 강조색2 53" xfId="1367"/>
    <cellStyle name="60% - 강조색2 54" xfId="1368"/>
    <cellStyle name="60% - 강조색2 55" xfId="1369"/>
    <cellStyle name="60% - 강조색2 56" xfId="1370"/>
    <cellStyle name="60% - 강조색2 57" xfId="1371"/>
    <cellStyle name="60% - 강조색2 58" xfId="1372"/>
    <cellStyle name="60% - 강조색2 59" xfId="1373"/>
    <cellStyle name="60% - 강조색2 6" xfId="1374"/>
    <cellStyle name="60% - 강조색2 60" xfId="1375"/>
    <cellStyle name="60% - 강조색2 61" xfId="1376"/>
    <cellStyle name="60% - 강조색2 62" xfId="1377"/>
    <cellStyle name="60% - 강조색2 63" xfId="1378"/>
    <cellStyle name="60% - 강조색2 64" xfId="1379"/>
    <cellStyle name="60% - 강조색2 65" xfId="1380"/>
    <cellStyle name="60% - 강조색2 66" xfId="1381"/>
    <cellStyle name="60% - 강조색2 67" xfId="1382"/>
    <cellStyle name="60% - 강조색2 68" xfId="1383"/>
    <cellStyle name="60% - 강조색2 69" xfId="1384"/>
    <cellStyle name="60% - 강조색2 7" xfId="1385"/>
    <cellStyle name="60% - 강조색2 70" xfId="1386"/>
    <cellStyle name="60% - 강조색2 71" xfId="1387"/>
    <cellStyle name="60% - 강조색2 72" xfId="1388"/>
    <cellStyle name="60% - 강조색2 73" xfId="1389"/>
    <cellStyle name="60% - 강조색2 74" xfId="1390"/>
    <cellStyle name="60% - 강조색2 75" xfId="1391"/>
    <cellStyle name="60% - 강조색2 76" xfId="1392"/>
    <cellStyle name="60% - 강조색2 8" xfId="1393"/>
    <cellStyle name="60% - 강조색2 9" xfId="1394"/>
    <cellStyle name="60% - 강조색3 10" xfId="1395"/>
    <cellStyle name="60% - 강조색3 11" xfId="1396"/>
    <cellStyle name="60% - 강조색3 12" xfId="1397"/>
    <cellStyle name="60% - 강조색3 13" xfId="1398"/>
    <cellStyle name="60% - 강조색3 14" xfId="1399"/>
    <cellStyle name="60% - 강조색3 15" xfId="1400"/>
    <cellStyle name="60% - 강조색3 16" xfId="1401"/>
    <cellStyle name="60% - 강조색3 17" xfId="1402"/>
    <cellStyle name="60% - 강조색3 18" xfId="1403"/>
    <cellStyle name="60% - 강조색3 19" xfId="1404"/>
    <cellStyle name="60% - 강조색3 2" xfId="1405"/>
    <cellStyle name="60% - 강조색3 2 2" xfId="1406"/>
    <cellStyle name="60% - 강조색3 2 2 2" xfId="1407"/>
    <cellStyle name="60% - 강조색3 2 2 3" xfId="1408"/>
    <cellStyle name="60% - 강조색3 2 3" xfId="1409"/>
    <cellStyle name="60% - 강조색3 20" xfId="1410"/>
    <cellStyle name="60% - 강조색3 21" xfId="1411"/>
    <cellStyle name="60% - 강조색3 22" xfId="1412"/>
    <cellStyle name="60% - 강조색3 23" xfId="1413"/>
    <cellStyle name="60% - 강조색3 24" xfId="1414"/>
    <cellStyle name="60% - 강조색3 25" xfId="1415"/>
    <cellStyle name="60% - 강조색3 26" xfId="1416"/>
    <cellStyle name="60% - 강조색3 27" xfId="1417"/>
    <cellStyle name="60% - 강조색3 28" xfId="1418"/>
    <cellStyle name="60% - 강조색3 29" xfId="1419"/>
    <cellStyle name="60% - 강조색3 3" xfId="1420"/>
    <cellStyle name="60% - 강조색3 30" xfId="1421"/>
    <cellStyle name="60% - 강조색3 31" xfId="1422"/>
    <cellStyle name="60% - 강조색3 32" xfId="1423"/>
    <cellStyle name="60% - 강조색3 33" xfId="1424"/>
    <cellStyle name="60% - 강조색3 34" xfId="1425"/>
    <cellStyle name="60% - 강조색3 35" xfId="1426"/>
    <cellStyle name="60% - 강조색3 36" xfId="1427"/>
    <cellStyle name="60% - 강조색3 37" xfId="1428"/>
    <cellStyle name="60% - 강조색3 38" xfId="1429"/>
    <cellStyle name="60% - 강조색3 39" xfId="1430"/>
    <cellStyle name="60% - 강조색3 4" xfId="1431"/>
    <cellStyle name="60% - 강조색3 40" xfId="1432"/>
    <cellStyle name="60% - 강조색3 41" xfId="1433"/>
    <cellStyle name="60% - 강조색3 42" xfId="1434"/>
    <cellStyle name="60% - 강조색3 43" xfId="1435"/>
    <cellStyle name="60% - 강조색3 44" xfId="1436"/>
    <cellStyle name="60% - 강조색3 45" xfId="1437"/>
    <cellStyle name="60% - 강조색3 46" xfId="1438"/>
    <cellStyle name="60% - 강조색3 47" xfId="1439"/>
    <cellStyle name="60% - 강조색3 48" xfId="1440"/>
    <cellStyle name="60% - 강조색3 49" xfId="1441"/>
    <cellStyle name="60% - 강조색3 5" xfId="1442"/>
    <cellStyle name="60% - 강조색3 50" xfId="1443"/>
    <cellStyle name="60% - 강조색3 51" xfId="1444"/>
    <cellStyle name="60% - 강조색3 52" xfId="1445"/>
    <cellStyle name="60% - 강조색3 53" xfId="1446"/>
    <cellStyle name="60% - 강조색3 54" xfId="1447"/>
    <cellStyle name="60% - 강조색3 55" xfId="1448"/>
    <cellStyle name="60% - 강조색3 56" xfId="1449"/>
    <cellStyle name="60% - 강조색3 57" xfId="1450"/>
    <cellStyle name="60% - 강조색3 58" xfId="1451"/>
    <cellStyle name="60% - 강조색3 59" xfId="1452"/>
    <cellStyle name="60% - 강조색3 6" xfId="1453"/>
    <cellStyle name="60% - 강조색3 60" xfId="1454"/>
    <cellStyle name="60% - 강조색3 61" xfId="1455"/>
    <cellStyle name="60% - 강조색3 62" xfId="1456"/>
    <cellStyle name="60% - 강조색3 63" xfId="1457"/>
    <cellStyle name="60% - 강조색3 64" xfId="1458"/>
    <cellStyle name="60% - 강조색3 65" xfId="1459"/>
    <cellStyle name="60% - 강조색3 66" xfId="1460"/>
    <cellStyle name="60% - 강조색3 67" xfId="1461"/>
    <cellStyle name="60% - 강조색3 68" xfId="1462"/>
    <cellStyle name="60% - 강조색3 69" xfId="1463"/>
    <cellStyle name="60% - 강조색3 7" xfId="1464"/>
    <cellStyle name="60% - 강조색3 70" xfId="1465"/>
    <cellStyle name="60% - 강조색3 71" xfId="1466"/>
    <cellStyle name="60% - 강조색3 72" xfId="1467"/>
    <cellStyle name="60% - 강조색3 73" xfId="1468"/>
    <cellStyle name="60% - 강조색3 74" xfId="1469"/>
    <cellStyle name="60% - 강조색3 75" xfId="1470"/>
    <cellStyle name="60% - 강조색3 76" xfId="1471"/>
    <cellStyle name="60% - 강조색3 8" xfId="1472"/>
    <cellStyle name="60% - 강조색3 9" xfId="1473"/>
    <cellStyle name="60% - 강조색4 10" xfId="1474"/>
    <cellStyle name="60% - 강조색4 11" xfId="1475"/>
    <cellStyle name="60% - 강조색4 12" xfId="1476"/>
    <cellStyle name="60% - 강조색4 13" xfId="1477"/>
    <cellStyle name="60% - 강조색4 14" xfId="1478"/>
    <cellStyle name="60% - 강조색4 15" xfId="1479"/>
    <cellStyle name="60% - 강조색4 16" xfId="1480"/>
    <cellStyle name="60% - 강조색4 17" xfId="1481"/>
    <cellStyle name="60% - 강조색4 18" xfId="1482"/>
    <cellStyle name="60% - 강조색4 19" xfId="1483"/>
    <cellStyle name="60% - 강조색4 2" xfId="1484"/>
    <cellStyle name="60% - 강조색4 2 2" xfId="1485"/>
    <cellStyle name="60% - 강조색4 2 2 2" xfId="1486"/>
    <cellStyle name="60% - 강조색4 2 2 3" xfId="1487"/>
    <cellStyle name="60% - 강조색4 2 3" xfId="1488"/>
    <cellStyle name="60% - 강조색4 20" xfId="1489"/>
    <cellStyle name="60% - 강조색4 21" xfId="1490"/>
    <cellStyle name="60% - 강조색4 22" xfId="1491"/>
    <cellStyle name="60% - 강조색4 23" xfId="1492"/>
    <cellStyle name="60% - 강조색4 24" xfId="1493"/>
    <cellStyle name="60% - 강조색4 25" xfId="1494"/>
    <cellStyle name="60% - 강조색4 26" xfId="1495"/>
    <cellStyle name="60% - 강조색4 27" xfId="1496"/>
    <cellStyle name="60% - 강조색4 28" xfId="1497"/>
    <cellStyle name="60% - 강조색4 29" xfId="1498"/>
    <cellStyle name="60% - 강조색4 3" xfId="1499"/>
    <cellStyle name="60% - 강조색4 30" xfId="1500"/>
    <cellStyle name="60% - 강조색4 31" xfId="1501"/>
    <cellStyle name="60% - 강조색4 32" xfId="1502"/>
    <cellStyle name="60% - 강조색4 33" xfId="1503"/>
    <cellStyle name="60% - 강조색4 34" xfId="1504"/>
    <cellStyle name="60% - 강조색4 35" xfId="1505"/>
    <cellStyle name="60% - 강조색4 36" xfId="1506"/>
    <cellStyle name="60% - 강조색4 37" xfId="1507"/>
    <cellStyle name="60% - 강조색4 38" xfId="1508"/>
    <cellStyle name="60% - 강조색4 39" xfId="1509"/>
    <cellStyle name="60% - 강조색4 4" xfId="1510"/>
    <cellStyle name="60% - 강조색4 40" xfId="1511"/>
    <cellStyle name="60% - 강조색4 41" xfId="1512"/>
    <cellStyle name="60% - 강조색4 42" xfId="1513"/>
    <cellStyle name="60% - 강조색4 43" xfId="1514"/>
    <cellStyle name="60% - 강조색4 44" xfId="1515"/>
    <cellStyle name="60% - 강조색4 45" xfId="1516"/>
    <cellStyle name="60% - 강조색4 46" xfId="1517"/>
    <cellStyle name="60% - 강조색4 47" xfId="1518"/>
    <cellStyle name="60% - 강조색4 48" xfId="1519"/>
    <cellStyle name="60% - 강조색4 49" xfId="1520"/>
    <cellStyle name="60% - 강조색4 5" xfId="1521"/>
    <cellStyle name="60% - 강조색4 50" xfId="1522"/>
    <cellStyle name="60% - 강조색4 51" xfId="1523"/>
    <cellStyle name="60% - 강조색4 52" xfId="1524"/>
    <cellStyle name="60% - 강조색4 53" xfId="1525"/>
    <cellStyle name="60% - 강조색4 54" xfId="1526"/>
    <cellStyle name="60% - 강조색4 55" xfId="1527"/>
    <cellStyle name="60% - 강조색4 56" xfId="1528"/>
    <cellStyle name="60% - 강조색4 57" xfId="1529"/>
    <cellStyle name="60% - 강조색4 58" xfId="1530"/>
    <cellStyle name="60% - 강조색4 59" xfId="1531"/>
    <cellStyle name="60% - 강조색4 6" xfId="1532"/>
    <cellStyle name="60% - 강조색4 60" xfId="1533"/>
    <cellStyle name="60% - 강조색4 61" xfId="1534"/>
    <cellStyle name="60% - 강조색4 62" xfId="1535"/>
    <cellStyle name="60% - 강조색4 63" xfId="1536"/>
    <cellStyle name="60% - 강조색4 64" xfId="1537"/>
    <cellStyle name="60% - 강조색4 65" xfId="1538"/>
    <cellStyle name="60% - 강조색4 66" xfId="1539"/>
    <cellStyle name="60% - 강조색4 67" xfId="1540"/>
    <cellStyle name="60% - 강조색4 68" xfId="1541"/>
    <cellStyle name="60% - 강조색4 69" xfId="1542"/>
    <cellStyle name="60% - 강조색4 7" xfId="1543"/>
    <cellStyle name="60% - 강조색4 70" xfId="1544"/>
    <cellStyle name="60% - 강조색4 71" xfId="1545"/>
    <cellStyle name="60% - 강조색4 72" xfId="1546"/>
    <cellStyle name="60% - 강조색4 73" xfId="1547"/>
    <cellStyle name="60% - 강조색4 74" xfId="1548"/>
    <cellStyle name="60% - 강조색4 75" xfId="1549"/>
    <cellStyle name="60% - 강조색4 76" xfId="1550"/>
    <cellStyle name="60% - 강조색4 8" xfId="1551"/>
    <cellStyle name="60% - 강조색4 9" xfId="1552"/>
    <cellStyle name="60% - 강조색5 10" xfId="1553"/>
    <cellStyle name="60% - 강조색5 11" xfId="1554"/>
    <cellStyle name="60% - 강조색5 12" xfId="1555"/>
    <cellStyle name="60% - 강조색5 13" xfId="1556"/>
    <cellStyle name="60% - 강조색5 14" xfId="1557"/>
    <cellStyle name="60% - 강조색5 15" xfId="1558"/>
    <cellStyle name="60% - 강조색5 16" xfId="1559"/>
    <cellStyle name="60% - 강조색5 17" xfId="1560"/>
    <cellStyle name="60% - 강조색5 18" xfId="1561"/>
    <cellStyle name="60% - 강조색5 19" xfId="1562"/>
    <cellStyle name="60% - 강조색5 2" xfId="1563"/>
    <cellStyle name="60% - 강조색5 2 2" xfId="1564"/>
    <cellStyle name="60% - 강조색5 2 2 2" xfId="1565"/>
    <cellStyle name="60% - 강조색5 2 2 3" xfId="1566"/>
    <cellStyle name="60% - 강조색5 2 3" xfId="1567"/>
    <cellStyle name="60% - 강조색5 20" xfId="1568"/>
    <cellStyle name="60% - 강조색5 21" xfId="1569"/>
    <cellStyle name="60% - 강조색5 22" xfId="1570"/>
    <cellStyle name="60% - 강조색5 23" xfId="1571"/>
    <cellStyle name="60% - 강조색5 24" xfId="1572"/>
    <cellStyle name="60% - 강조색5 25" xfId="1573"/>
    <cellStyle name="60% - 강조색5 26" xfId="1574"/>
    <cellStyle name="60% - 강조색5 27" xfId="1575"/>
    <cellStyle name="60% - 강조색5 28" xfId="1576"/>
    <cellStyle name="60% - 강조색5 29" xfId="1577"/>
    <cellStyle name="60% - 강조색5 3" xfId="1578"/>
    <cellStyle name="60% - 강조색5 30" xfId="1579"/>
    <cellStyle name="60% - 강조색5 31" xfId="1580"/>
    <cellStyle name="60% - 강조색5 32" xfId="1581"/>
    <cellStyle name="60% - 강조색5 33" xfId="1582"/>
    <cellStyle name="60% - 강조색5 34" xfId="1583"/>
    <cellStyle name="60% - 강조색5 35" xfId="1584"/>
    <cellStyle name="60% - 강조색5 36" xfId="1585"/>
    <cellStyle name="60% - 강조색5 37" xfId="1586"/>
    <cellStyle name="60% - 강조색5 38" xfId="1587"/>
    <cellStyle name="60% - 강조색5 39" xfId="1588"/>
    <cellStyle name="60% - 강조색5 4" xfId="1589"/>
    <cellStyle name="60% - 강조색5 40" xfId="1590"/>
    <cellStyle name="60% - 강조색5 41" xfId="1591"/>
    <cellStyle name="60% - 강조색5 42" xfId="1592"/>
    <cellStyle name="60% - 강조색5 43" xfId="1593"/>
    <cellStyle name="60% - 강조색5 44" xfId="1594"/>
    <cellStyle name="60% - 강조색5 45" xfId="1595"/>
    <cellStyle name="60% - 강조색5 46" xfId="1596"/>
    <cellStyle name="60% - 강조색5 47" xfId="1597"/>
    <cellStyle name="60% - 강조색5 48" xfId="1598"/>
    <cellStyle name="60% - 강조색5 49" xfId="1599"/>
    <cellStyle name="60% - 강조색5 5" xfId="1600"/>
    <cellStyle name="60% - 강조색5 50" xfId="1601"/>
    <cellStyle name="60% - 강조색5 51" xfId="1602"/>
    <cellStyle name="60% - 강조색5 52" xfId="1603"/>
    <cellStyle name="60% - 강조색5 53" xfId="1604"/>
    <cellStyle name="60% - 강조색5 54" xfId="1605"/>
    <cellStyle name="60% - 강조색5 55" xfId="1606"/>
    <cellStyle name="60% - 강조색5 56" xfId="1607"/>
    <cellStyle name="60% - 강조색5 57" xfId="1608"/>
    <cellStyle name="60% - 강조색5 58" xfId="1609"/>
    <cellStyle name="60% - 강조색5 59" xfId="1610"/>
    <cellStyle name="60% - 강조색5 6" xfId="1611"/>
    <cellStyle name="60% - 강조색5 60" xfId="1612"/>
    <cellStyle name="60% - 강조색5 61" xfId="1613"/>
    <cellStyle name="60% - 강조색5 62" xfId="1614"/>
    <cellStyle name="60% - 강조색5 63" xfId="1615"/>
    <cellStyle name="60% - 강조색5 64" xfId="1616"/>
    <cellStyle name="60% - 강조색5 65" xfId="1617"/>
    <cellStyle name="60% - 강조색5 66" xfId="1618"/>
    <cellStyle name="60% - 강조색5 67" xfId="1619"/>
    <cellStyle name="60% - 강조색5 68" xfId="1620"/>
    <cellStyle name="60% - 강조색5 69" xfId="1621"/>
    <cellStyle name="60% - 강조색5 7" xfId="1622"/>
    <cellStyle name="60% - 강조색5 70" xfId="1623"/>
    <cellStyle name="60% - 강조색5 71" xfId="1624"/>
    <cellStyle name="60% - 강조색5 72" xfId="1625"/>
    <cellStyle name="60% - 강조색5 73" xfId="1626"/>
    <cellStyle name="60% - 강조색5 74" xfId="1627"/>
    <cellStyle name="60% - 강조색5 75" xfId="1628"/>
    <cellStyle name="60% - 강조색5 76" xfId="1629"/>
    <cellStyle name="60% - 강조색5 8" xfId="1630"/>
    <cellStyle name="60% - 강조색5 9" xfId="1631"/>
    <cellStyle name="60% - 강조색6 10" xfId="1632"/>
    <cellStyle name="60% - 강조색6 11" xfId="1633"/>
    <cellStyle name="60% - 강조색6 12" xfId="1634"/>
    <cellStyle name="60% - 강조색6 13" xfId="1635"/>
    <cellStyle name="60% - 강조색6 14" xfId="1636"/>
    <cellStyle name="60% - 강조색6 15" xfId="1637"/>
    <cellStyle name="60% - 강조색6 16" xfId="1638"/>
    <cellStyle name="60% - 강조색6 17" xfId="1639"/>
    <cellStyle name="60% - 강조색6 18" xfId="1640"/>
    <cellStyle name="60% - 강조색6 19" xfId="1641"/>
    <cellStyle name="60% - 강조색6 2" xfId="1642"/>
    <cellStyle name="60% - 강조색6 2 2" xfId="1643"/>
    <cellStyle name="60% - 강조색6 2 2 2" xfId="1644"/>
    <cellStyle name="60% - 강조색6 2 2 3" xfId="1645"/>
    <cellStyle name="60% - 강조색6 2 3" xfId="1646"/>
    <cellStyle name="60% - 강조색6 20" xfId="1647"/>
    <cellStyle name="60% - 강조색6 21" xfId="1648"/>
    <cellStyle name="60% - 강조색6 22" xfId="1649"/>
    <cellStyle name="60% - 강조색6 23" xfId="1650"/>
    <cellStyle name="60% - 강조색6 24" xfId="1651"/>
    <cellStyle name="60% - 강조색6 25" xfId="1652"/>
    <cellStyle name="60% - 강조색6 26" xfId="1653"/>
    <cellStyle name="60% - 강조색6 27" xfId="1654"/>
    <cellStyle name="60% - 강조색6 28" xfId="1655"/>
    <cellStyle name="60% - 강조색6 29" xfId="1656"/>
    <cellStyle name="60% - 강조색6 3" xfId="1657"/>
    <cellStyle name="60% - 강조색6 30" xfId="1658"/>
    <cellStyle name="60% - 강조색6 31" xfId="1659"/>
    <cellStyle name="60% - 강조색6 32" xfId="1660"/>
    <cellStyle name="60% - 강조색6 33" xfId="1661"/>
    <cellStyle name="60% - 강조색6 34" xfId="1662"/>
    <cellStyle name="60% - 강조색6 35" xfId="1663"/>
    <cellStyle name="60% - 강조색6 36" xfId="1664"/>
    <cellStyle name="60% - 강조색6 37" xfId="1665"/>
    <cellStyle name="60% - 강조색6 38" xfId="1666"/>
    <cellStyle name="60% - 강조색6 39" xfId="1667"/>
    <cellStyle name="60% - 강조색6 4" xfId="1668"/>
    <cellStyle name="60% - 강조색6 40" xfId="1669"/>
    <cellStyle name="60% - 강조색6 41" xfId="1670"/>
    <cellStyle name="60% - 강조색6 42" xfId="1671"/>
    <cellStyle name="60% - 강조색6 43" xfId="1672"/>
    <cellStyle name="60% - 강조색6 44" xfId="1673"/>
    <cellStyle name="60% - 강조색6 45" xfId="1674"/>
    <cellStyle name="60% - 강조색6 46" xfId="1675"/>
    <cellStyle name="60% - 강조색6 47" xfId="1676"/>
    <cellStyle name="60% - 강조색6 48" xfId="1677"/>
    <cellStyle name="60% - 강조색6 49" xfId="1678"/>
    <cellStyle name="60% - 강조색6 5" xfId="1679"/>
    <cellStyle name="60% - 강조색6 50" xfId="1680"/>
    <cellStyle name="60% - 강조색6 51" xfId="1681"/>
    <cellStyle name="60% - 강조색6 52" xfId="1682"/>
    <cellStyle name="60% - 강조색6 53" xfId="1683"/>
    <cellStyle name="60% - 강조색6 54" xfId="1684"/>
    <cellStyle name="60% - 강조색6 55" xfId="1685"/>
    <cellStyle name="60% - 강조색6 56" xfId="1686"/>
    <cellStyle name="60% - 강조색6 57" xfId="1687"/>
    <cellStyle name="60% - 강조색6 58" xfId="1688"/>
    <cellStyle name="60% - 강조색6 59" xfId="1689"/>
    <cellStyle name="60% - 강조색6 6" xfId="1690"/>
    <cellStyle name="60% - 강조색6 60" xfId="1691"/>
    <cellStyle name="60% - 강조색6 61" xfId="1692"/>
    <cellStyle name="60% - 강조색6 62" xfId="1693"/>
    <cellStyle name="60% - 강조색6 63" xfId="1694"/>
    <cellStyle name="60% - 강조색6 64" xfId="1695"/>
    <cellStyle name="60% - 강조색6 65" xfId="1696"/>
    <cellStyle name="60% - 강조색6 66" xfId="1697"/>
    <cellStyle name="60% - 강조색6 67" xfId="1698"/>
    <cellStyle name="60% - 강조색6 68" xfId="1699"/>
    <cellStyle name="60% - 강조색6 69" xfId="1700"/>
    <cellStyle name="60% - 강조색6 7" xfId="1701"/>
    <cellStyle name="60% - 강조색6 70" xfId="1702"/>
    <cellStyle name="60% - 강조색6 71" xfId="1703"/>
    <cellStyle name="60% - 강조색6 72" xfId="1704"/>
    <cellStyle name="60% - 강조색6 73" xfId="1705"/>
    <cellStyle name="60% - 강조색6 74" xfId="1706"/>
    <cellStyle name="60% - 강조색6 75" xfId="1707"/>
    <cellStyle name="60% - 강조색6 76" xfId="1708"/>
    <cellStyle name="60% - 강조색6 8" xfId="1709"/>
    <cellStyle name="60% - 강조색6 9" xfId="1710"/>
    <cellStyle name="7_??" xfId="1711"/>
    <cellStyle name="7_매출" xfId="1712"/>
    <cellStyle name="Ä?¸¶ [0]_´ëÇü±¸ " xfId="1713"/>
    <cellStyle name="Ä?¸¶_´ëÇü±¸ " xfId="1714"/>
    <cellStyle name="A?E­ [0]_´???±¸ " xfId="1715"/>
    <cellStyle name="A?E­_´???±¸ " xfId="1716"/>
    <cellStyle name="A¡§¡ⓒ¡E¡þ¡EO [0]_SP ¨Io￠R¨¡¡Ii¡E?¨Io￠R￠? ¡E?UAO " xfId="1717"/>
    <cellStyle name="A¡§¡ⓒ¡E¡þ¡EO_SP ¨Io￠R¨¡¡Ii¡E?¨Io￠R￠? ¡E?UAO " xfId="1718"/>
    <cellStyle name="A¨­￠￢￠O [0]_SP ⓒo¡Æ￥i￠?ⓒo¡¿ ￠?UAO " xfId="1719"/>
    <cellStyle name="A¨­￠￢￠O_SP ⓒo¡Æ￥i￠?ⓒo¡¿ ￠?UAO " xfId="1720"/>
    <cellStyle name="Accent1" xfId="1721"/>
    <cellStyle name="Accent2" xfId="1722"/>
    <cellStyle name="Accent3" xfId="1723"/>
    <cellStyle name="Accent4" xfId="1724"/>
    <cellStyle name="Accent5" xfId="1725"/>
    <cellStyle name="Accent6" xfId="1726"/>
    <cellStyle name="AëE­ [0]_´ëÇü±¸ " xfId="1727"/>
    <cellStyle name="ÅëÈ­ [0]_´ëÇü±¸ " xfId="1728"/>
    <cellStyle name="AeE­ [0]_¸AAa(¿ø) " xfId="1729"/>
    <cellStyle name="AëE­ [0]_°ü¸®Ç×¸n_3÷Á3o° " xfId="1730"/>
    <cellStyle name="ÅëÈ­ [0]_½ÇÀû " xfId="1731"/>
    <cellStyle name="AëE­ [0]_1ÇAu " xfId="1732"/>
    <cellStyle name="AeE­ [0]_2A÷Ac¹≪¾aA¤º°A·AU·a1209" xfId="1733"/>
    <cellStyle name="ÅëÈ­ [0]_Á¦Á¶1ºÎ1°ú ÇöÈ² " xfId="1734"/>
    <cellStyle name="AeE­ [0]_Ac°i°u¸® " xfId="1735"/>
    <cellStyle name="AëE­ [0]_Aç°í°ü¸® " xfId="1736"/>
    <cellStyle name="ÅëÈ­ [0]_Àç°í°ü¸® " xfId="1737"/>
    <cellStyle name="AeE­ [0]_Book2" xfId="1738"/>
    <cellStyle name="AëE­ [0]_SP 1°µ?1× ?ÜÁÖ " xfId="1739"/>
    <cellStyle name="ÅëÈ­ [0]_SP ¹°µ¿¹× ¿ÜÁÖ " xfId="1740"/>
    <cellStyle name="AeE­ [0]_SP ¹°μ¿¹× ¿UAO " xfId="1741"/>
    <cellStyle name="AëE­_´ëÇü±¸ " xfId="1742"/>
    <cellStyle name="ÅëÈ­_´ëÇü±¸ " xfId="1743"/>
    <cellStyle name="AeE­_¸AAa(¿ø) " xfId="1744"/>
    <cellStyle name="AëE­_°ü¸®Ç×¸n_3÷Á3o° " xfId="1745"/>
    <cellStyle name="ÅëÈ­_½ÇÀû " xfId="1746"/>
    <cellStyle name="AëE­_1ÇAu " xfId="1747"/>
    <cellStyle name="AeE­_2A÷Ac¹≪¾aA¤º°A·AU·a1209" xfId="1748"/>
    <cellStyle name="ÅëÈ­_Á¦Á¶1ºÎ1°ú ÇöÈ² " xfId="1749"/>
    <cellStyle name="AeE­_Ac°i°u¸® " xfId="1750"/>
    <cellStyle name="AëE­_Aç°í°ü¸® " xfId="1751"/>
    <cellStyle name="ÅëÈ­_Àç°í°ü¸® " xfId="1752"/>
    <cellStyle name="AeE­_Book2" xfId="1753"/>
    <cellStyle name="AëE­_SP 1°µ?1× ?ÜÁÖ " xfId="1754"/>
    <cellStyle name="ÅëÈ­_SP ¹°µ¿¹× ¿ÜÁÖ " xfId="1755"/>
    <cellStyle name="AeE­_SP ¹°μ¿¹× ¿UAO " xfId="1756"/>
    <cellStyle name="AeE¡ⓒ [0]_SP ⓒo¡Æ￥i￠?ⓒo¡¿ ￠?UAO " xfId="1757"/>
    <cellStyle name="AeE¡ⓒ_SP ⓒo¡Æ￥i￠?ⓒo¡¿ ￠?UAO " xfId="1758"/>
    <cellStyle name="AeE￠R¨I [0]_SP ¨Io￠R¨¡¡Ii¡E?¨Io￠R￠? ¡E?UAO " xfId="1759"/>
    <cellStyle name="AeE￠R¨I_SP ¨Io￠R¨¡¡Ii¡E?¨Io￠R￠? ¡E?UAO " xfId="1760"/>
    <cellStyle name="ÄÞ¸¶ [0]_´ëÇü±¸ " xfId="1761"/>
    <cellStyle name="AÞ¸¶ [0]_¸AAa(¿ø) " xfId="1762"/>
    <cellStyle name="ÄÞ¸¶ [0]_°ü¸®BS('98) " xfId="1763"/>
    <cellStyle name="AÞ¸¶ [0]_Ac°i°u¸® " xfId="1764"/>
    <cellStyle name="ÄÞ¸¶ [0]_Àç°í°ü¸® " xfId="1765"/>
    <cellStyle name="AÞ¸¶ [0]_Book2" xfId="1766"/>
    <cellStyle name="ÄÞ¸¶_´ëÇü±¸ " xfId="1767"/>
    <cellStyle name="AÞ¸¶_¸AAa(¿ø) " xfId="1768"/>
    <cellStyle name="ÄÞ¸¶_Àç°í°ü¸® " xfId="1769"/>
    <cellStyle name="AÞ¸¶_Book2" xfId="1770"/>
    <cellStyle name="Bad" xfId="1771"/>
    <cellStyle name="C¡IA¨ª_¨uOAIA¡AAI ￠?ⓒªAI " xfId="1772"/>
    <cellStyle name="C￠RIA¡§¨￡_¡§uOAIA￠RAAI ¡E?¨I¨￡AI " xfId="1773"/>
    <cellStyle name="C￥AØ_  FAB AIA¤  " xfId="1774"/>
    <cellStyle name="Ç¥ÁØ_¿¹»ê¿äÃ» " xfId="1775"/>
    <cellStyle name="C￥AØ_¿¹≫e¿aA≫ " xfId="1776"/>
    <cellStyle name="Ç¥ÁØ_°ü¸®BS('98) " xfId="1777"/>
    <cellStyle name="C￥AØ_¼OAIA÷AI ¿øAI " xfId="1778"/>
    <cellStyle name="Ç¥ÁØ_¼ÕÀÍÂ÷ÀÌ ¿øÀÎ " xfId="1779"/>
    <cellStyle name="C￥AØ_12¿u " xfId="1780"/>
    <cellStyle name="Ç¥ÁØ_12¿ù " xfId="1781"/>
    <cellStyle name="C￥AØ_243NET_tt (3)" xfId="1782"/>
    <cellStyle name="Ç¥ÁØ_Àç°í°ü¸® " xfId="1783"/>
    <cellStyle name="C￥AØ_Ao¹e±¸A¶" xfId="1784"/>
    <cellStyle name="Ç¥ÁØ_CD-ROM " xfId="1785"/>
    <cellStyle name="Calc Currency (0)" xfId="1786"/>
    <cellStyle name="Calculation" xfId="1787"/>
    <cellStyle name="category" xfId="1788"/>
    <cellStyle name="Check Cell" xfId="1789"/>
    <cellStyle name="Comma" xfId="1790"/>
    <cellStyle name="Comma [0]" xfId="1791"/>
    <cellStyle name="comma zerodec" xfId="1792"/>
    <cellStyle name="Comma_ SG&amp;A Bridge " xfId="1793"/>
    <cellStyle name="Currency" xfId="1794"/>
    <cellStyle name="Currency [0]" xfId="1795"/>
    <cellStyle name="Currency_ SG&amp;A Bridge " xfId="1796"/>
    <cellStyle name="Currency1" xfId="1797"/>
    <cellStyle name="ÇYÁO_?1»e?äA» " xfId="1798"/>
    <cellStyle name="Date" xfId="1799"/>
    <cellStyle name="Dezimal [0]_laroux" xfId="1800"/>
    <cellStyle name="Dezimal_laroux" xfId="1801"/>
    <cellStyle name="Dollar (zero dec)" xfId="1802"/>
    <cellStyle name="entry" xfId="1803"/>
    <cellStyle name="Explanatory Text" xfId="1804"/>
    <cellStyle name="Fixed" xfId="1805"/>
    <cellStyle name="Followed Hyperlink" xfId="1806"/>
    <cellStyle name="Followed Hyperlink 2" xfId="1807"/>
    <cellStyle name="Followed Hyperlink 2 2" xfId="1808"/>
    <cellStyle name="Good" xfId="1809"/>
    <cellStyle name="Grey" xfId="1810"/>
    <cellStyle name="HEADER" xfId="1811"/>
    <cellStyle name="Header1" xfId="1812"/>
    <cellStyle name="Header2" xfId="1813"/>
    <cellStyle name="Header2 2" xfId="1814"/>
    <cellStyle name="Header2 3" xfId="1815"/>
    <cellStyle name="Heading 1" xfId="1816"/>
    <cellStyle name="Heading 2" xfId="1817"/>
    <cellStyle name="Heading 3" xfId="1818"/>
    <cellStyle name="Heading 4" xfId="1819"/>
    <cellStyle name="Heading1" xfId="1820"/>
    <cellStyle name="Heading2" xfId="1821"/>
    <cellStyle name="Hyperlink" xfId="1822"/>
    <cellStyle name="Hyperlink 2" xfId="1823"/>
    <cellStyle name="Hyperlink 2 2" xfId="1824"/>
    <cellStyle name="Input" xfId="1825"/>
    <cellStyle name="Input [yellow]" xfId="1826"/>
    <cellStyle name="Input [yellow] 2" xfId="1827"/>
    <cellStyle name="Input [yellow] 3" xfId="1828"/>
    <cellStyle name="Linked Cell" xfId="1829"/>
    <cellStyle name="mhcha" xfId="1830"/>
    <cellStyle name="Model" xfId="1831"/>
    <cellStyle name="Neutral" xfId="1832"/>
    <cellStyle name="no dec" xfId="1833"/>
    <cellStyle name="Normal - Style1" xfId="1834"/>
    <cellStyle name="Normal - Style2" xfId="1835"/>
    <cellStyle name="Normal - Style3" xfId="1836"/>
    <cellStyle name="Normal - Style4" xfId="1837"/>
    <cellStyle name="Normal - Style5" xfId="1838"/>
    <cellStyle name="Normal - Style6" xfId="1839"/>
    <cellStyle name="Normal - Style7" xfId="1840"/>
    <cellStyle name="Normal - Style8" xfId="1841"/>
    <cellStyle name="Normal_ SG&amp;A Bridge " xfId="1842"/>
    <cellStyle name="Normal1" xfId="1843"/>
    <cellStyle name="Normal2" xfId="1844"/>
    <cellStyle name="Normal3" xfId="1845"/>
    <cellStyle name="Normal4" xfId="1846"/>
    <cellStyle name="Note" xfId="1847"/>
    <cellStyle name="_x000f_O" xfId="1848"/>
    <cellStyle name="Output" xfId="1849"/>
    <cellStyle name="PE_1?" xfId="1850"/>
    <cellStyle name="Percent" xfId="1851"/>
    <cellStyle name="Percent [2]" xfId="1852"/>
    <cellStyle name="Percent_'04사업계획 보조양식(매출만)" xfId="1853"/>
    <cellStyle name="SAM" xfId="1854"/>
    <cellStyle name="SAPBEXaggData" xfId="1855"/>
    <cellStyle name="SAPBEXaggData 2" xfId="1856"/>
    <cellStyle name="SAPBEXaggData 3" xfId="1857"/>
    <cellStyle name="SAPBEXaggData_20070904_최길식_'08년 제조원가 계획(07포함)" xfId="1858"/>
    <cellStyle name="SAPBEXaggDataEmph" xfId="1859"/>
    <cellStyle name="SAPBEXaggDataEmph 2" xfId="1860"/>
    <cellStyle name="SAPBEXaggDataEmph 3" xfId="1861"/>
    <cellStyle name="SAPBEXaggDataEmph_20070904_최길식_'08년 제조원가 계획(07포함)" xfId="1862"/>
    <cellStyle name="SAPBEXaggItem" xfId="1863"/>
    <cellStyle name="SAPBEXaggItem 2" xfId="1864"/>
    <cellStyle name="SAPBEXaggItem 3" xfId="1865"/>
    <cellStyle name="SAPBEXaggItemX" xfId="1866"/>
    <cellStyle name="SAPBEXaggItemX 2" xfId="1867"/>
    <cellStyle name="SAPBEXaggItemX 3" xfId="1868"/>
    <cellStyle name="SAPBEXchaText" xfId="1869"/>
    <cellStyle name="SAPBEXexcBad7" xfId="1870"/>
    <cellStyle name="SAPBEXexcBad7 2" xfId="1871"/>
    <cellStyle name="SAPBEXexcBad7 3" xfId="1872"/>
    <cellStyle name="SAPBEXexcBad8" xfId="1873"/>
    <cellStyle name="SAPBEXexcBad8 2" xfId="1874"/>
    <cellStyle name="SAPBEXexcBad8 3" xfId="1875"/>
    <cellStyle name="SAPBEXexcBad9" xfId="1876"/>
    <cellStyle name="SAPBEXexcBad9 2" xfId="1877"/>
    <cellStyle name="SAPBEXexcBad9 3" xfId="1878"/>
    <cellStyle name="SAPBEXexcCritical4" xfId="1879"/>
    <cellStyle name="SAPBEXexcCritical4 2" xfId="1880"/>
    <cellStyle name="SAPBEXexcCritical4 3" xfId="1881"/>
    <cellStyle name="SAPBEXexcCritical5" xfId="1882"/>
    <cellStyle name="SAPBEXexcCritical5 2" xfId="1883"/>
    <cellStyle name="SAPBEXexcCritical5 3" xfId="1884"/>
    <cellStyle name="SAPBEXexcCritical6" xfId="1885"/>
    <cellStyle name="SAPBEXexcCritical6 2" xfId="1886"/>
    <cellStyle name="SAPBEXexcCritical6 3" xfId="1887"/>
    <cellStyle name="SAPBEXexcGood1" xfId="1888"/>
    <cellStyle name="SAPBEXexcGood1 2" xfId="1889"/>
    <cellStyle name="SAPBEXexcGood1 3" xfId="1890"/>
    <cellStyle name="SAPBEXexcGood2" xfId="1891"/>
    <cellStyle name="SAPBEXexcGood2 2" xfId="1892"/>
    <cellStyle name="SAPBEXexcGood2 3" xfId="1893"/>
    <cellStyle name="SAPBEXexcGood3" xfId="1894"/>
    <cellStyle name="SAPBEXexcGood3 2" xfId="1895"/>
    <cellStyle name="SAPBEXexcGood3 3" xfId="1896"/>
    <cellStyle name="SAPBEXfilterDrill" xfId="1897"/>
    <cellStyle name="SAPBEXfilterItem" xfId="1898"/>
    <cellStyle name="SAPBEXfilterText" xfId="1899"/>
    <cellStyle name="SAPBEXformats" xfId="1900"/>
    <cellStyle name="SAPBEXformats 2" xfId="1901"/>
    <cellStyle name="SAPBEXformats 3" xfId="1902"/>
    <cellStyle name="SAPBEXheaderItem" xfId="1903"/>
    <cellStyle name="SAPBEXheaderText" xfId="1904"/>
    <cellStyle name="SAPBEXHLevel0" xfId="1905"/>
    <cellStyle name="SAPBEXHLevel0 2" xfId="1906"/>
    <cellStyle name="SAPBEXHLevel0 3" xfId="1907"/>
    <cellStyle name="SAPBEXHLevel0X" xfId="1908"/>
    <cellStyle name="SAPBEXHLevel0X 2" xfId="1909"/>
    <cellStyle name="SAPBEXHLevel0X 3" xfId="1910"/>
    <cellStyle name="SAPBEXHLevel1" xfId="1911"/>
    <cellStyle name="SAPBEXHLevel1 2" xfId="1912"/>
    <cellStyle name="SAPBEXHLevel1 3" xfId="1913"/>
    <cellStyle name="SAPBEXHLevel1X" xfId="1914"/>
    <cellStyle name="SAPBEXHLevel1X 2" xfId="1915"/>
    <cellStyle name="SAPBEXHLevel1X 3" xfId="1916"/>
    <cellStyle name="SAPBEXHLevel2" xfId="1917"/>
    <cellStyle name="SAPBEXHLevel2 2" xfId="1918"/>
    <cellStyle name="SAPBEXHLevel2 3" xfId="1919"/>
    <cellStyle name="SAPBEXHLevel2X" xfId="1920"/>
    <cellStyle name="SAPBEXHLevel2X 2" xfId="1921"/>
    <cellStyle name="SAPBEXHLevel2X 3" xfId="1922"/>
    <cellStyle name="SAPBEXHLevel3" xfId="1923"/>
    <cellStyle name="SAPBEXHLevel3 2" xfId="1924"/>
    <cellStyle name="SAPBEXHLevel3 3" xfId="1925"/>
    <cellStyle name="SAPBEXHLevel3X" xfId="1926"/>
    <cellStyle name="SAPBEXHLevel3X 2" xfId="1927"/>
    <cellStyle name="SAPBEXHLevel3X 3" xfId="1928"/>
    <cellStyle name="SAPBEXresData" xfId="1929"/>
    <cellStyle name="SAPBEXresData 2" xfId="1930"/>
    <cellStyle name="SAPBEXresData 3" xfId="1931"/>
    <cellStyle name="SAPBEXresDataEmph" xfId="1932"/>
    <cellStyle name="SAPBEXresDataEmph 2" xfId="1933"/>
    <cellStyle name="SAPBEXresDataEmph 3" xfId="1934"/>
    <cellStyle name="SAPBEXresItem" xfId="1935"/>
    <cellStyle name="SAPBEXresItem 2" xfId="1936"/>
    <cellStyle name="SAPBEXresItem 3" xfId="1937"/>
    <cellStyle name="SAPBEXresItemX" xfId="1938"/>
    <cellStyle name="SAPBEXresItemX 2" xfId="1939"/>
    <cellStyle name="SAPBEXresItemX 3" xfId="1940"/>
    <cellStyle name="SAPBEXstdData" xfId="1941"/>
    <cellStyle name="SAPBEXstdData 2" xfId="1942"/>
    <cellStyle name="SAPBEXstdData 3" xfId="1943"/>
    <cellStyle name="SAPBEXstdData_20070904_최길식_'08년 제조원가 계획(07포함)" xfId="1944"/>
    <cellStyle name="SAPBEXstdDataEmph" xfId="1945"/>
    <cellStyle name="SAPBEXstdDataEmph 2" xfId="1946"/>
    <cellStyle name="SAPBEXstdDataEmph 3" xfId="1947"/>
    <cellStyle name="SAPBEXstdDataEmph_20070904_최길식_'08년 제조원가 계획(07포함)" xfId="1948"/>
    <cellStyle name="SAPBEXstdItem" xfId="1949"/>
    <cellStyle name="SAPBEXstdItem 2" xfId="1950"/>
    <cellStyle name="SAPBEXstdItem 3" xfId="1951"/>
    <cellStyle name="SAPBEXstdItem_20070904_최길식_'08년 제조원가 계획(07포함)" xfId="1952"/>
    <cellStyle name="SAPBEXstdItemX" xfId="1953"/>
    <cellStyle name="SAPBEXstdItemX 2" xfId="1954"/>
    <cellStyle name="SAPBEXstdItemX 3" xfId="1955"/>
    <cellStyle name="SAPBEXtitle" xfId="1956"/>
    <cellStyle name="SAPBEXtitle 2" xfId="1957"/>
    <cellStyle name="SAPBEXtitle 3" xfId="1958"/>
    <cellStyle name="SAPBEXundefined" xfId="1959"/>
    <cellStyle name="SAPBEXundefined 2" xfId="1960"/>
    <cellStyle name="SAPBEXundefined 3" xfId="1961"/>
    <cellStyle name="Standard_laroux" xfId="1962"/>
    <cellStyle name="STFRM" xfId="1963"/>
    <cellStyle name="subhead" xfId="1964"/>
    <cellStyle name="Title" xfId="1965"/>
    <cellStyle name="Total" xfId="1966"/>
    <cellStyle name="W?rung [0]_laroux" xfId="1967"/>
    <cellStyle name="W?rung_laroux" xfId="1968"/>
    <cellStyle name="Warning Text" xfId="1969"/>
    <cellStyle name="yyyyyyyyyyyyyyy" xfId="1970"/>
    <cellStyle name="yyyyyyyyyyyyyyyyyyyyyyyyyyy" xfId="1971"/>
    <cellStyle name="アクセント 1" xfId="1972"/>
    <cellStyle name="アクセント 2" xfId="1973"/>
    <cellStyle name="アクセント 3" xfId="1974"/>
    <cellStyle name="アクセント 4" xfId="1975"/>
    <cellStyle name="アクセント 5" xfId="1976"/>
    <cellStyle name="アクセント 6" xfId="1977"/>
    <cellStyle name="タイトル" xfId="1978"/>
    <cellStyle name="チェック セル" xfId="1979"/>
    <cellStyle name="どちらでもない" xfId="1980"/>
    <cellStyle name="メモ" xfId="1981"/>
    <cellStyle name="リンク セル" xfId="1982"/>
    <cellStyle name="遽_12錯 " xfId="1983"/>
    <cellStyle name="" xfId="1984"/>
    <cellStyle name="" xfId="1985"/>
    <cellStyle name="訶택?12월당월" xfId="1986"/>
    <cellStyle name="訶택?부문별" xfId="1987"/>
    <cellStyle name="강조색1 10" xfId="1988"/>
    <cellStyle name="강조색1 11" xfId="1989"/>
    <cellStyle name="강조색1 12" xfId="1990"/>
    <cellStyle name="강조색1 13" xfId="1991"/>
    <cellStyle name="강조색1 14" xfId="1992"/>
    <cellStyle name="강조색1 15" xfId="1993"/>
    <cellStyle name="강조색1 16" xfId="1994"/>
    <cellStyle name="강조색1 17" xfId="1995"/>
    <cellStyle name="강조색1 18" xfId="1996"/>
    <cellStyle name="강조색1 19" xfId="1997"/>
    <cellStyle name="강조색1 2" xfId="1998"/>
    <cellStyle name="강조색1 2 2" xfId="1999"/>
    <cellStyle name="강조색1 2 2 2" xfId="2000"/>
    <cellStyle name="강조색1 2 2 3" xfId="2001"/>
    <cellStyle name="강조색1 2 3" xfId="2002"/>
    <cellStyle name="강조색1 20" xfId="2003"/>
    <cellStyle name="강조색1 21" xfId="2004"/>
    <cellStyle name="강조색1 22" xfId="2005"/>
    <cellStyle name="강조색1 23" xfId="2006"/>
    <cellStyle name="강조색1 24" xfId="2007"/>
    <cellStyle name="강조색1 25" xfId="2008"/>
    <cellStyle name="강조색1 26" xfId="2009"/>
    <cellStyle name="강조색1 27" xfId="2010"/>
    <cellStyle name="강조색1 28" xfId="2011"/>
    <cellStyle name="강조색1 29" xfId="2012"/>
    <cellStyle name="강조색1 3" xfId="2013"/>
    <cellStyle name="강조색1 30" xfId="2014"/>
    <cellStyle name="강조색1 31" xfId="2015"/>
    <cellStyle name="강조색1 32" xfId="2016"/>
    <cellStyle name="강조색1 33" xfId="2017"/>
    <cellStyle name="강조색1 34" xfId="2018"/>
    <cellStyle name="강조색1 35" xfId="2019"/>
    <cellStyle name="강조색1 36" xfId="2020"/>
    <cellStyle name="강조색1 37" xfId="2021"/>
    <cellStyle name="강조색1 38" xfId="2022"/>
    <cellStyle name="강조색1 39" xfId="2023"/>
    <cellStyle name="강조색1 4" xfId="2024"/>
    <cellStyle name="강조색1 40" xfId="2025"/>
    <cellStyle name="강조색1 41" xfId="2026"/>
    <cellStyle name="강조색1 42" xfId="2027"/>
    <cellStyle name="강조색1 43" xfId="2028"/>
    <cellStyle name="강조색1 44" xfId="2029"/>
    <cellStyle name="강조색1 45" xfId="2030"/>
    <cellStyle name="강조색1 46" xfId="2031"/>
    <cellStyle name="강조색1 47" xfId="2032"/>
    <cellStyle name="강조색1 48" xfId="2033"/>
    <cellStyle name="강조색1 49" xfId="2034"/>
    <cellStyle name="강조색1 5" xfId="2035"/>
    <cellStyle name="강조색1 50" xfId="2036"/>
    <cellStyle name="강조색1 51" xfId="2037"/>
    <cellStyle name="강조색1 52" xfId="2038"/>
    <cellStyle name="강조색1 53" xfId="2039"/>
    <cellStyle name="강조색1 54" xfId="2040"/>
    <cellStyle name="강조색1 55" xfId="2041"/>
    <cellStyle name="강조색1 56" xfId="2042"/>
    <cellStyle name="강조색1 57" xfId="2043"/>
    <cellStyle name="강조색1 58" xfId="2044"/>
    <cellStyle name="강조색1 59" xfId="2045"/>
    <cellStyle name="강조색1 6" xfId="2046"/>
    <cellStyle name="강조색1 60" xfId="2047"/>
    <cellStyle name="강조색1 61" xfId="2048"/>
    <cellStyle name="강조색1 62" xfId="2049"/>
    <cellStyle name="강조색1 63" xfId="2050"/>
    <cellStyle name="강조색1 64" xfId="2051"/>
    <cellStyle name="강조색1 65" xfId="2052"/>
    <cellStyle name="강조색1 66" xfId="2053"/>
    <cellStyle name="강조색1 67" xfId="2054"/>
    <cellStyle name="강조색1 68" xfId="2055"/>
    <cellStyle name="강조색1 69" xfId="2056"/>
    <cellStyle name="강조색1 7" xfId="2057"/>
    <cellStyle name="강조색1 70" xfId="2058"/>
    <cellStyle name="강조색1 71" xfId="2059"/>
    <cellStyle name="강조색1 72" xfId="2060"/>
    <cellStyle name="강조색1 73" xfId="2061"/>
    <cellStyle name="강조색1 74" xfId="2062"/>
    <cellStyle name="강조색1 75" xfId="2063"/>
    <cellStyle name="강조색1 76" xfId="2064"/>
    <cellStyle name="강조색1 8" xfId="2065"/>
    <cellStyle name="강조색1 9" xfId="2066"/>
    <cellStyle name="강조색2 10" xfId="2067"/>
    <cellStyle name="강조색2 11" xfId="2068"/>
    <cellStyle name="강조색2 12" xfId="2069"/>
    <cellStyle name="강조색2 13" xfId="2070"/>
    <cellStyle name="강조색2 14" xfId="2071"/>
    <cellStyle name="강조색2 15" xfId="2072"/>
    <cellStyle name="강조색2 16" xfId="2073"/>
    <cellStyle name="강조색2 17" xfId="2074"/>
    <cellStyle name="강조색2 18" xfId="2075"/>
    <cellStyle name="강조색2 19" xfId="2076"/>
    <cellStyle name="강조색2 2" xfId="2077"/>
    <cellStyle name="강조색2 2 2" xfId="2078"/>
    <cellStyle name="강조색2 2 2 2" xfId="2079"/>
    <cellStyle name="강조색2 2 2 3" xfId="2080"/>
    <cellStyle name="강조색2 2 3" xfId="2081"/>
    <cellStyle name="강조색2 20" xfId="2082"/>
    <cellStyle name="강조색2 21" xfId="2083"/>
    <cellStyle name="강조색2 22" xfId="2084"/>
    <cellStyle name="강조색2 23" xfId="2085"/>
    <cellStyle name="강조색2 24" xfId="2086"/>
    <cellStyle name="강조색2 25" xfId="2087"/>
    <cellStyle name="강조색2 26" xfId="2088"/>
    <cellStyle name="강조색2 27" xfId="2089"/>
    <cellStyle name="강조색2 28" xfId="2090"/>
    <cellStyle name="강조색2 29" xfId="2091"/>
    <cellStyle name="강조색2 3" xfId="2092"/>
    <cellStyle name="강조색2 30" xfId="2093"/>
    <cellStyle name="강조색2 31" xfId="2094"/>
    <cellStyle name="강조색2 32" xfId="2095"/>
    <cellStyle name="강조색2 33" xfId="2096"/>
    <cellStyle name="강조색2 34" xfId="2097"/>
    <cellStyle name="강조색2 35" xfId="2098"/>
    <cellStyle name="강조색2 36" xfId="2099"/>
    <cellStyle name="강조색2 37" xfId="2100"/>
    <cellStyle name="강조색2 38" xfId="2101"/>
    <cellStyle name="강조색2 39" xfId="2102"/>
    <cellStyle name="강조색2 4" xfId="2103"/>
    <cellStyle name="강조색2 40" xfId="2104"/>
    <cellStyle name="강조색2 41" xfId="2105"/>
    <cellStyle name="강조색2 42" xfId="2106"/>
    <cellStyle name="강조색2 43" xfId="2107"/>
    <cellStyle name="강조색2 44" xfId="2108"/>
    <cellStyle name="강조색2 45" xfId="2109"/>
    <cellStyle name="강조색2 46" xfId="2110"/>
    <cellStyle name="강조색2 47" xfId="2111"/>
    <cellStyle name="강조색2 48" xfId="2112"/>
    <cellStyle name="강조색2 49" xfId="2113"/>
    <cellStyle name="강조색2 5" xfId="2114"/>
    <cellStyle name="강조색2 50" xfId="2115"/>
    <cellStyle name="강조색2 51" xfId="2116"/>
    <cellStyle name="강조색2 52" xfId="2117"/>
    <cellStyle name="강조색2 53" xfId="2118"/>
    <cellStyle name="강조색2 54" xfId="2119"/>
    <cellStyle name="강조색2 55" xfId="2120"/>
    <cellStyle name="강조색2 56" xfId="2121"/>
    <cellStyle name="강조색2 57" xfId="2122"/>
    <cellStyle name="강조색2 58" xfId="2123"/>
    <cellStyle name="강조색2 59" xfId="2124"/>
    <cellStyle name="강조색2 6" xfId="2125"/>
    <cellStyle name="강조색2 60" xfId="2126"/>
    <cellStyle name="강조색2 61" xfId="2127"/>
    <cellStyle name="강조색2 62" xfId="2128"/>
    <cellStyle name="강조색2 63" xfId="2129"/>
    <cellStyle name="강조색2 64" xfId="2130"/>
    <cellStyle name="강조색2 65" xfId="2131"/>
    <cellStyle name="강조색2 66" xfId="2132"/>
    <cellStyle name="강조색2 67" xfId="2133"/>
    <cellStyle name="강조색2 68" xfId="2134"/>
    <cellStyle name="강조색2 69" xfId="2135"/>
    <cellStyle name="강조색2 7" xfId="2136"/>
    <cellStyle name="강조색2 70" xfId="2137"/>
    <cellStyle name="강조색2 71" xfId="2138"/>
    <cellStyle name="강조색2 72" xfId="2139"/>
    <cellStyle name="강조색2 73" xfId="2140"/>
    <cellStyle name="강조색2 74" xfId="2141"/>
    <cellStyle name="강조색2 75" xfId="2142"/>
    <cellStyle name="강조색2 76" xfId="2143"/>
    <cellStyle name="강조색2 8" xfId="2144"/>
    <cellStyle name="강조색2 9" xfId="2145"/>
    <cellStyle name="강조색3 10" xfId="2146"/>
    <cellStyle name="강조색3 11" xfId="2147"/>
    <cellStyle name="강조색3 12" xfId="2148"/>
    <cellStyle name="강조색3 13" xfId="2149"/>
    <cellStyle name="강조색3 14" xfId="2150"/>
    <cellStyle name="강조색3 15" xfId="2151"/>
    <cellStyle name="강조색3 16" xfId="2152"/>
    <cellStyle name="강조색3 17" xfId="2153"/>
    <cellStyle name="강조색3 18" xfId="2154"/>
    <cellStyle name="강조색3 19" xfId="2155"/>
    <cellStyle name="강조색3 2" xfId="2156"/>
    <cellStyle name="강조색3 2 2" xfId="2157"/>
    <cellStyle name="강조색3 2 2 2" xfId="2158"/>
    <cellStyle name="강조색3 2 2 3" xfId="2159"/>
    <cellStyle name="강조색3 2 3" xfId="2160"/>
    <cellStyle name="강조색3 20" xfId="2161"/>
    <cellStyle name="강조색3 21" xfId="2162"/>
    <cellStyle name="강조색3 22" xfId="2163"/>
    <cellStyle name="강조색3 23" xfId="2164"/>
    <cellStyle name="강조색3 24" xfId="2165"/>
    <cellStyle name="강조색3 25" xfId="2166"/>
    <cellStyle name="강조색3 26" xfId="2167"/>
    <cellStyle name="강조색3 27" xfId="2168"/>
    <cellStyle name="강조색3 28" xfId="2169"/>
    <cellStyle name="강조색3 29" xfId="2170"/>
    <cellStyle name="강조색3 3" xfId="2171"/>
    <cellStyle name="강조색3 30" xfId="2172"/>
    <cellStyle name="강조색3 31" xfId="2173"/>
    <cellStyle name="강조색3 32" xfId="2174"/>
    <cellStyle name="강조색3 33" xfId="2175"/>
    <cellStyle name="강조색3 34" xfId="2176"/>
    <cellStyle name="강조색3 35" xfId="2177"/>
    <cellStyle name="강조색3 36" xfId="2178"/>
    <cellStyle name="강조색3 37" xfId="2179"/>
    <cellStyle name="강조색3 38" xfId="2180"/>
    <cellStyle name="강조색3 39" xfId="2181"/>
    <cellStyle name="강조색3 4" xfId="2182"/>
    <cellStyle name="강조색3 40" xfId="2183"/>
    <cellStyle name="강조색3 41" xfId="2184"/>
    <cellStyle name="강조색3 42" xfId="2185"/>
    <cellStyle name="강조색3 43" xfId="2186"/>
    <cellStyle name="강조색3 44" xfId="2187"/>
    <cellStyle name="강조색3 45" xfId="2188"/>
    <cellStyle name="강조색3 46" xfId="2189"/>
    <cellStyle name="강조색3 47" xfId="2190"/>
    <cellStyle name="강조색3 48" xfId="2191"/>
    <cellStyle name="강조색3 49" xfId="2192"/>
    <cellStyle name="강조색3 5" xfId="2193"/>
    <cellStyle name="강조색3 50" xfId="2194"/>
    <cellStyle name="강조색3 51" xfId="2195"/>
    <cellStyle name="강조색3 52" xfId="2196"/>
    <cellStyle name="강조색3 53" xfId="2197"/>
    <cellStyle name="강조색3 54" xfId="2198"/>
    <cellStyle name="강조색3 55" xfId="2199"/>
    <cellStyle name="강조색3 56" xfId="2200"/>
    <cellStyle name="강조색3 57" xfId="2201"/>
    <cellStyle name="강조색3 58" xfId="2202"/>
    <cellStyle name="강조색3 59" xfId="2203"/>
    <cellStyle name="강조색3 6" xfId="2204"/>
    <cellStyle name="강조색3 60" xfId="2205"/>
    <cellStyle name="강조색3 61" xfId="2206"/>
    <cellStyle name="강조색3 62" xfId="2207"/>
    <cellStyle name="강조색3 63" xfId="2208"/>
    <cellStyle name="강조색3 64" xfId="2209"/>
    <cellStyle name="강조색3 65" xfId="2210"/>
    <cellStyle name="강조색3 66" xfId="2211"/>
    <cellStyle name="강조색3 67" xfId="2212"/>
    <cellStyle name="강조색3 68" xfId="2213"/>
    <cellStyle name="강조색3 69" xfId="2214"/>
    <cellStyle name="강조색3 7" xfId="2215"/>
    <cellStyle name="강조색3 70" xfId="2216"/>
    <cellStyle name="강조색3 71" xfId="2217"/>
    <cellStyle name="강조색3 72" xfId="2218"/>
    <cellStyle name="강조색3 73" xfId="2219"/>
    <cellStyle name="강조색3 74" xfId="2220"/>
    <cellStyle name="강조색3 75" xfId="2221"/>
    <cellStyle name="강조색3 76" xfId="2222"/>
    <cellStyle name="강조색3 8" xfId="2223"/>
    <cellStyle name="강조색3 9" xfId="2224"/>
    <cellStyle name="강조색4 10" xfId="2225"/>
    <cellStyle name="강조색4 11" xfId="2226"/>
    <cellStyle name="강조색4 12" xfId="2227"/>
    <cellStyle name="강조색4 13" xfId="2228"/>
    <cellStyle name="강조색4 14" xfId="2229"/>
    <cellStyle name="강조색4 15" xfId="2230"/>
    <cellStyle name="강조색4 16" xfId="2231"/>
    <cellStyle name="강조색4 17" xfId="2232"/>
    <cellStyle name="강조색4 18" xfId="2233"/>
    <cellStyle name="강조색4 19" xfId="2234"/>
    <cellStyle name="강조색4 2" xfId="2235"/>
    <cellStyle name="강조색4 2 2" xfId="2236"/>
    <cellStyle name="강조색4 2 2 2" xfId="2237"/>
    <cellStyle name="강조색4 2 2 3" xfId="2238"/>
    <cellStyle name="강조색4 2 3" xfId="2239"/>
    <cellStyle name="강조색4 20" xfId="2240"/>
    <cellStyle name="강조색4 21" xfId="2241"/>
    <cellStyle name="강조색4 22" xfId="2242"/>
    <cellStyle name="강조색4 23" xfId="2243"/>
    <cellStyle name="강조색4 24" xfId="2244"/>
    <cellStyle name="강조색4 25" xfId="2245"/>
    <cellStyle name="강조색4 26" xfId="2246"/>
    <cellStyle name="강조색4 27" xfId="2247"/>
    <cellStyle name="강조색4 28" xfId="2248"/>
    <cellStyle name="강조색4 29" xfId="2249"/>
    <cellStyle name="강조색4 3" xfId="2250"/>
    <cellStyle name="강조색4 30" xfId="2251"/>
    <cellStyle name="강조색4 31" xfId="2252"/>
    <cellStyle name="강조색4 32" xfId="2253"/>
    <cellStyle name="강조색4 33" xfId="2254"/>
    <cellStyle name="강조색4 34" xfId="2255"/>
    <cellStyle name="강조색4 35" xfId="2256"/>
    <cellStyle name="강조색4 36" xfId="2257"/>
    <cellStyle name="강조색4 37" xfId="2258"/>
    <cellStyle name="강조색4 38" xfId="2259"/>
    <cellStyle name="강조색4 39" xfId="2260"/>
    <cellStyle name="강조색4 4" xfId="2261"/>
    <cellStyle name="강조색4 40" xfId="2262"/>
    <cellStyle name="강조색4 41" xfId="2263"/>
    <cellStyle name="강조색4 42" xfId="2264"/>
    <cellStyle name="강조색4 43" xfId="2265"/>
    <cellStyle name="강조색4 44" xfId="2266"/>
    <cellStyle name="강조색4 45" xfId="2267"/>
    <cellStyle name="강조색4 46" xfId="2268"/>
    <cellStyle name="강조색4 47" xfId="2269"/>
    <cellStyle name="강조색4 48" xfId="2270"/>
    <cellStyle name="강조색4 49" xfId="2271"/>
    <cellStyle name="강조색4 5" xfId="2272"/>
    <cellStyle name="강조색4 50" xfId="2273"/>
    <cellStyle name="강조색4 51" xfId="2274"/>
    <cellStyle name="강조색4 52" xfId="2275"/>
    <cellStyle name="강조색4 53" xfId="2276"/>
    <cellStyle name="강조색4 54" xfId="2277"/>
    <cellStyle name="강조색4 55" xfId="2278"/>
    <cellStyle name="강조색4 56" xfId="2279"/>
    <cellStyle name="강조색4 57" xfId="2280"/>
    <cellStyle name="강조색4 58" xfId="2281"/>
    <cellStyle name="강조색4 59" xfId="2282"/>
    <cellStyle name="강조색4 6" xfId="2283"/>
    <cellStyle name="강조색4 60" xfId="2284"/>
    <cellStyle name="강조색4 61" xfId="2285"/>
    <cellStyle name="강조색4 62" xfId="2286"/>
    <cellStyle name="강조색4 63" xfId="2287"/>
    <cellStyle name="강조색4 64" xfId="2288"/>
    <cellStyle name="강조색4 65" xfId="2289"/>
    <cellStyle name="강조색4 66" xfId="2290"/>
    <cellStyle name="강조색4 67" xfId="2291"/>
    <cellStyle name="강조색4 68" xfId="2292"/>
    <cellStyle name="강조색4 69" xfId="2293"/>
    <cellStyle name="강조색4 7" xfId="2294"/>
    <cellStyle name="강조색4 70" xfId="2295"/>
    <cellStyle name="강조색4 71" xfId="2296"/>
    <cellStyle name="강조색4 72" xfId="2297"/>
    <cellStyle name="강조색4 73" xfId="2298"/>
    <cellStyle name="강조색4 74" xfId="2299"/>
    <cellStyle name="강조색4 75" xfId="2300"/>
    <cellStyle name="강조색4 76" xfId="2301"/>
    <cellStyle name="강조색4 8" xfId="2302"/>
    <cellStyle name="강조색4 9" xfId="2303"/>
    <cellStyle name="강조색5 10" xfId="2304"/>
    <cellStyle name="강조색5 11" xfId="2305"/>
    <cellStyle name="강조색5 12" xfId="2306"/>
    <cellStyle name="강조색5 13" xfId="2307"/>
    <cellStyle name="강조색5 14" xfId="2308"/>
    <cellStyle name="강조색5 15" xfId="2309"/>
    <cellStyle name="강조색5 16" xfId="2310"/>
    <cellStyle name="강조색5 17" xfId="2311"/>
    <cellStyle name="강조색5 18" xfId="2312"/>
    <cellStyle name="강조색5 19" xfId="2313"/>
    <cellStyle name="강조색5 2" xfId="2314"/>
    <cellStyle name="강조색5 2 2" xfId="2315"/>
    <cellStyle name="강조색5 2 2 2" xfId="2316"/>
    <cellStyle name="강조색5 2 2 3" xfId="2317"/>
    <cellStyle name="강조색5 2 3" xfId="2318"/>
    <cellStyle name="강조색5 20" xfId="2319"/>
    <cellStyle name="강조색5 21" xfId="2320"/>
    <cellStyle name="강조색5 22" xfId="2321"/>
    <cellStyle name="강조색5 23" xfId="2322"/>
    <cellStyle name="강조색5 24" xfId="2323"/>
    <cellStyle name="강조색5 25" xfId="2324"/>
    <cellStyle name="강조색5 26" xfId="2325"/>
    <cellStyle name="강조색5 27" xfId="2326"/>
    <cellStyle name="강조색5 28" xfId="2327"/>
    <cellStyle name="강조색5 29" xfId="2328"/>
    <cellStyle name="강조색5 3" xfId="2329"/>
    <cellStyle name="강조색5 30" xfId="2330"/>
    <cellStyle name="강조색5 31" xfId="2331"/>
    <cellStyle name="강조색5 32" xfId="2332"/>
    <cellStyle name="강조색5 33" xfId="2333"/>
    <cellStyle name="강조색5 34" xfId="2334"/>
    <cellStyle name="강조색5 35" xfId="2335"/>
    <cellStyle name="강조색5 36" xfId="2336"/>
    <cellStyle name="강조색5 37" xfId="2337"/>
    <cellStyle name="강조색5 38" xfId="2338"/>
    <cellStyle name="강조색5 39" xfId="2339"/>
    <cellStyle name="강조색5 4" xfId="2340"/>
    <cellStyle name="강조색5 40" xfId="2341"/>
    <cellStyle name="강조색5 41" xfId="2342"/>
    <cellStyle name="강조색5 42" xfId="2343"/>
    <cellStyle name="강조색5 43" xfId="2344"/>
    <cellStyle name="강조색5 44" xfId="2345"/>
    <cellStyle name="강조색5 45" xfId="2346"/>
    <cellStyle name="강조색5 46" xfId="2347"/>
    <cellStyle name="강조색5 47" xfId="2348"/>
    <cellStyle name="강조색5 48" xfId="2349"/>
    <cellStyle name="강조색5 49" xfId="2350"/>
    <cellStyle name="강조색5 5" xfId="2351"/>
    <cellStyle name="강조색5 50" xfId="2352"/>
    <cellStyle name="강조색5 51" xfId="2353"/>
    <cellStyle name="강조색5 52" xfId="2354"/>
    <cellStyle name="강조색5 53" xfId="2355"/>
    <cellStyle name="강조색5 54" xfId="2356"/>
    <cellStyle name="강조색5 55" xfId="2357"/>
    <cellStyle name="강조색5 56" xfId="2358"/>
    <cellStyle name="강조색5 57" xfId="2359"/>
    <cellStyle name="강조색5 58" xfId="2360"/>
    <cellStyle name="강조색5 59" xfId="2361"/>
    <cellStyle name="강조색5 6" xfId="2362"/>
    <cellStyle name="강조색5 60" xfId="2363"/>
    <cellStyle name="강조색5 61" xfId="2364"/>
    <cellStyle name="강조색5 62" xfId="2365"/>
    <cellStyle name="강조색5 63" xfId="2366"/>
    <cellStyle name="강조색5 64" xfId="2367"/>
    <cellStyle name="강조색5 65" xfId="2368"/>
    <cellStyle name="강조색5 66" xfId="2369"/>
    <cellStyle name="강조색5 67" xfId="2370"/>
    <cellStyle name="강조색5 68" xfId="2371"/>
    <cellStyle name="강조색5 69" xfId="2372"/>
    <cellStyle name="강조색5 7" xfId="2373"/>
    <cellStyle name="강조색5 70" xfId="2374"/>
    <cellStyle name="강조색5 71" xfId="2375"/>
    <cellStyle name="강조색5 72" xfId="2376"/>
    <cellStyle name="강조색5 73" xfId="2377"/>
    <cellStyle name="강조색5 74" xfId="2378"/>
    <cellStyle name="강조색5 75" xfId="2379"/>
    <cellStyle name="강조색5 76" xfId="2380"/>
    <cellStyle name="강조색5 8" xfId="2381"/>
    <cellStyle name="강조색5 9" xfId="2382"/>
    <cellStyle name="강조색6 10" xfId="2383"/>
    <cellStyle name="강조색6 11" xfId="2384"/>
    <cellStyle name="강조색6 12" xfId="2385"/>
    <cellStyle name="강조색6 13" xfId="2386"/>
    <cellStyle name="강조색6 14" xfId="2387"/>
    <cellStyle name="강조색6 15" xfId="2388"/>
    <cellStyle name="강조색6 16" xfId="2389"/>
    <cellStyle name="강조색6 17" xfId="2390"/>
    <cellStyle name="강조색6 18" xfId="2391"/>
    <cellStyle name="강조색6 19" xfId="2392"/>
    <cellStyle name="강조색6 2" xfId="2393"/>
    <cellStyle name="강조색6 2 2" xfId="2394"/>
    <cellStyle name="강조색6 2 2 2" xfId="2395"/>
    <cellStyle name="강조색6 2 2 3" xfId="2396"/>
    <cellStyle name="강조색6 2 3" xfId="2397"/>
    <cellStyle name="강조색6 20" xfId="2398"/>
    <cellStyle name="강조색6 21" xfId="2399"/>
    <cellStyle name="강조색6 22" xfId="2400"/>
    <cellStyle name="강조색6 23" xfId="2401"/>
    <cellStyle name="강조색6 24" xfId="2402"/>
    <cellStyle name="강조색6 25" xfId="2403"/>
    <cellStyle name="강조색6 26" xfId="2404"/>
    <cellStyle name="강조색6 27" xfId="2405"/>
    <cellStyle name="강조색6 28" xfId="2406"/>
    <cellStyle name="강조색6 29" xfId="2407"/>
    <cellStyle name="강조색6 3" xfId="2408"/>
    <cellStyle name="강조색6 30" xfId="2409"/>
    <cellStyle name="강조색6 31" xfId="2410"/>
    <cellStyle name="강조색6 32" xfId="2411"/>
    <cellStyle name="강조색6 33" xfId="2412"/>
    <cellStyle name="강조색6 34" xfId="2413"/>
    <cellStyle name="강조색6 35" xfId="2414"/>
    <cellStyle name="강조색6 36" xfId="2415"/>
    <cellStyle name="강조색6 37" xfId="2416"/>
    <cellStyle name="강조색6 38" xfId="2417"/>
    <cellStyle name="강조색6 39" xfId="2418"/>
    <cellStyle name="강조색6 4" xfId="2419"/>
    <cellStyle name="강조색6 40" xfId="2420"/>
    <cellStyle name="강조색6 41" xfId="2421"/>
    <cellStyle name="강조색6 42" xfId="2422"/>
    <cellStyle name="강조색6 43" xfId="2423"/>
    <cellStyle name="강조색6 44" xfId="2424"/>
    <cellStyle name="강조색6 45" xfId="2425"/>
    <cellStyle name="강조색6 46" xfId="2426"/>
    <cellStyle name="강조색6 47" xfId="2427"/>
    <cellStyle name="강조색6 48" xfId="2428"/>
    <cellStyle name="강조색6 49" xfId="2429"/>
    <cellStyle name="강조색6 5" xfId="2430"/>
    <cellStyle name="강조색6 50" xfId="2431"/>
    <cellStyle name="강조색6 51" xfId="2432"/>
    <cellStyle name="강조색6 52" xfId="2433"/>
    <cellStyle name="강조색6 53" xfId="2434"/>
    <cellStyle name="강조색6 54" xfId="2435"/>
    <cellStyle name="강조색6 55" xfId="2436"/>
    <cellStyle name="강조색6 56" xfId="2437"/>
    <cellStyle name="강조색6 57" xfId="2438"/>
    <cellStyle name="강조색6 58" xfId="2439"/>
    <cellStyle name="강조색6 59" xfId="2440"/>
    <cellStyle name="강조색6 6" xfId="2441"/>
    <cellStyle name="강조색6 60" xfId="2442"/>
    <cellStyle name="강조색6 61" xfId="2443"/>
    <cellStyle name="강조색6 62" xfId="2444"/>
    <cellStyle name="강조색6 63" xfId="2445"/>
    <cellStyle name="강조색6 64" xfId="2446"/>
    <cellStyle name="강조색6 65" xfId="2447"/>
    <cellStyle name="강조색6 66" xfId="2448"/>
    <cellStyle name="강조색6 67" xfId="2449"/>
    <cellStyle name="강조색6 68" xfId="2450"/>
    <cellStyle name="강조색6 69" xfId="2451"/>
    <cellStyle name="강조색6 7" xfId="2452"/>
    <cellStyle name="강조색6 70" xfId="2453"/>
    <cellStyle name="강조색6 71" xfId="2454"/>
    <cellStyle name="강조색6 72" xfId="2455"/>
    <cellStyle name="강조색6 73" xfId="2456"/>
    <cellStyle name="강조색6 74" xfId="2457"/>
    <cellStyle name="강조색6 75" xfId="2458"/>
    <cellStyle name="강조색6 76" xfId="2459"/>
    <cellStyle name="강조색6 8" xfId="2460"/>
    <cellStyle name="강조색6 9" xfId="2461"/>
    <cellStyle name="見出し 1" xfId="2462"/>
    <cellStyle name="見出し 2" xfId="2463"/>
    <cellStyle name="見出し 3" xfId="2464"/>
    <cellStyle name="見出し 4" xfId="2465"/>
    <cellStyle name="警告文" xfId="2466"/>
    <cellStyle name="경고문 10" xfId="2467"/>
    <cellStyle name="경고문 11" xfId="2468"/>
    <cellStyle name="경고문 12" xfId="2469"/>
    <cellStyle name="경고문 13" xfId="2470"/>
    <cellStyle name="경고문 14" xfId="2471"/>
    <cellStyle name="경고문 15" xfId="2472"/>
    <cellStyle name="경고문 16" xfId="2473"/>
    <cellStyle name="경고문 17" xfId="2474"/>
    <cellStyle name="경고문 18" xfId="2475"/>
    <cellStyle name="경고문 19" xfId="2476"/>
    <cellStyle name="경고문 2" xfId="2477"/>
    <cellStyle name="경고문 2 2" xfId="2478"/>
    <cellStyle name="경고문 2 2 2" xfId="2479"/>
    <cellStyle name="경고문 2 2 3" xfId="2480"/>
    <cellStyle name="경고문 2 3" xfId="2481"/>
    <cellStyle name="경고문 20" xfId="2482"/>
    <cellStyle name="경고문 21" xfId="2483"/>
    <cellStyle name="경고문 22" xfId="2484"/>
    <cellStyle name="경고문 23" xfId="2485"/>
    <cellStyle name="경고문 24" xfId="2486"/>
    <cellStyle name="경고문 25" xfId="2487"/>
    <cellStyle name="경고문 26" xfId="2488"/>
    <cellStyle name="경고문 27" xfId="2489"/>
    <cellStyle name="경고문 28" xfId="2490"/>
    <cellStyle name="경고문 29" xfId="2491"/>
    <cellStyle name="경고문 3" xfId="2492"/>
    <cellStyle name="경고문 30" xfId="2493"/>
    <cellStyle name="경고문 31" xfId="2494"/>
    <cellStyle name="경고문 32" xfId="2495"/>
    <cellStyle name="경고문 33" xfId="2496"/>
    <cellStyle name="경고문 34" xfId="2497"/>
    <cellStyle name="경고문 35" xfId="2498"/>
    <cellStyle name="경고문 36" xfId="2499"/>
    <cellStyle name="경고문 37" xfId="2500"/>
    <cellStyle name="경고문 38" xfId="2501"/>
    <cellStyle name="경고문 39" xfId="2502"/>
    <cellStyle name="경고문 4" xfId="2503"/>
    <cellStyle name="경고문 40" xfId="2504"/>
    <cellStyle name="경고문 41" xfId="2505"/>
    <cellStyle name="경고문 42" xfId="2506"/>
    <cellStyle name="경고문 43" xfId="2507"/>
    <cellStyle name="경고문 44" xfId="2508"/>
    <cellStyle name="경고문 45" xfId="2509"/>
    <cellStyle name="경고문 46" xfId="2510"/>
    <cellStyle name="경고문 47" xfId="2511"/>
    <cellStyle name="경고문 48" xfId="2512"/>
    <cellStyle name="경고문 49" xfId="2513"/>
    <cellStyle name="경고문 5" xfId="2514"/>
    <cellStyle name="경고문 50" xfId="2515"/>
    <cellStyle name="경고문 51" xfId="2516"/>
    <cellStyle name="경고문 52" xfId="2517"/>
    <cellStyle name="경고문 53" xfId="2518"/>
    <cellStyle name="경고문 54" xfId="2519"/>
    <cellStyle name="경고문 55" xfId="2520"/>
    <cellStyle name="경고문 56" xfId="2521"/>
    <cellStyle name="경고문 57" xfId="2522"/>
    <cellStyle name="경고문 58" xfId="2523"/>
    <cellStyle name="경고문 59" xfId="2524"/>
    <cellStyle name="경고문 6" xfId="2525"/>
    <cellStyle name="경고문 60" xfId="2526"/>
    <cellStyle name="경고문 61" xfId="2527"/>
    <cellStyle name="경고문 62" xfId="2528"/>
    <cellStyle name="경고문 63" xfId="2529"/>
    <cellStyle name="경고문 64" xfId="2530"/>
    <cellStyle name="경고문 65" xfId="2531"/>
    <cellStyle name="경고문 66" xfId="2532"/>
    <cellStyle name="경고문 67" xfId="2533"/>
    <cellStyle name="경고문 68" xfId="2534"/>
    <cellStyle name="경고문 69" xfId="2535"/>
    <cellStyle name="경고문 7" xfId="2536"/>
    <cellStyle name="경고문 70" xfId="2537"/>
    <cellStyle name="경고문 71" xfId="2538"/>
    <cellStyle name="경고문 72" xfId="2539"/>
    <cellStyle name="경고문 73" xfId="2540"/>
    <cellStyle name="경고문 74" xfId="2541"/>
    <cellStyle name="경고문 75" xfId="2542"/>
    <cellStyle name="경고문 76" xfId="2543"/>
    <cellStyle name="경고문 77" xfId="2544"/>
    <cellStyle name="경고문 8" xfId="2545"/>
    <cellStyle name="경고문 9" xfId="2546"/>
    <cellStyle name="計算" xfId="2547"/>
    <cellStyle name="계산 10" xfId="2548"/>
    <cellStyle name="계산 11" xfId="2549"/>
    <cellStyle name="계산 12" xfId="2550"/>
    <cellStyle name="계산 13" xfId="2551"/>
    <cellStyle name="계산 14" xfId="2552"/>
    <cellStyle name="계산 15" xfId="2553"/>
    <cellStyle name="계산 16" xfId="2554"/>
    <cellStyle name="계산 17" xfId="2555"/>
    <cellStyle name="계산 18" xfId="2556"/>
    <cellStyle name="계산 19" xfId="2557"/>
    <cellStyle name="계산 2" xfId="2558"/>
    <cellStyle name="계산 2 2" xfId="2559"/>
    <cellStyle name="계산 2 2 2" xfId="2560"/>
    <cellStyle name="계산 2 2 3" xfId="2561"/>
    <cellStyle name="계산 2 3" xfId="2562"/>
    <cellStyle name="계산 20" xfId="2563"/>
    <cellStyle name="계산 21" xfId="2564"/>
    <cellStyle name="계산 22" xfId="2565"/>
    <cellStyle name="계산 23" xfId="2566"/>
    <cellStyle name="계산 24" xfId="2567"/>
    <cellStyle name="계산 25" xfId="2568"/>
    <cellStyle name="계산 26" xfId="2569"/>
    <cellStyle name="계산 27" xfId="2570"/>
    <cellStyle name="계산 28" xfId="2571"/>
    <cellStyle name="계산 29" xfId="2572"/>
    <cellStyle name="계산 3" xfId="2573"/>
    <cellStyle name="계산 30" xfId="2574"/>
    <cellStyle name="계산 31" xfId="2575"/>
    <cellStyle name="계산 32" xfId="2576"/>
    <cellStyle name="계산 33" xfId="2577"/>
    <cellStyle name="계산 34" xfId="2578"/>
    <cellStyle name="계산 35" xfId="2579"/>
    <cellStyle name="계산 36" xfId="2580"/>
    <cellStyle name="계산 37" xfId="2581"/>
    <cellStyle name="계산 38" xfId="2582"/>
    <cellStyle name="계산 39" xfId="2583"/>
    <cellStyle name="계산 4" xfId="2584"/>
    <cellStyle name="계산 40" xfId="2585"/>
    <cellStyle name="계산 41" xfId="2586"/>
    <cellStyle name="계산 42" xfId="2587"/>
    <cellStyle name="계산 43" xfId="2588"/>
    <cellStyle name="계산 44" xfId="2589"/>
    <cellStyle name="계산 45" xfId="2590"/>
    <cellStyle name="계산 46" xfId="2591"/>
    <cellStyle name="계산 47" xfId="2592"/>
    <cellStyle name="계산 48" xfId="2593"/>
    <cellStyle name="계산 49" xfId="2594"/>
    <cellStyle name="계산 5" xfId="2595"/>
    <cellStyle name="계산 50" xfId="2596"/>
    <cellStyle name="계산 51" xfId="2597"/>
    <cellStyle name="계산 52" xfId="2598"/>
    <cellStyle name="계산 53" xfId="2599"/>
    <cellStyle name="계산 54" xfId="2600"/>
    <cellStyle name="계산 55" xfId="2601"/>
    <cellStyle name="계산 56" xfId="2602"/>
    <cellStyle name="계산 57" xfId="2603"/>
    <cellStyle name="계산 58" xfId="2604"/>
    <cellStyle name="계산 59" xfId="2605"/>
    <cellStyle name="계산 6" xfId="2606"/>
    <cellStyle name="계산 60" xfId="2607"/>
    <cellStyle name="계산 61" xfId="2608"/>
    <cellStyle name="계산 62" xfId="2609"/>
    <cellStyle name="계산 63" xfId="2610"/>
    <cellStyle name="계산 64" xfId="2611"/>
    <cellStyle name="계산 65" xfId="2612"/>
    <cellStyle name="계산 66" xfId="2613"/>
    <cellStyle name="계산 67" xfId="2614"/>
    <cellStyle name="계산 68" xfId="2615"/>
    <cellStyle name="계산 69" xfId="2616"/>
    <cellStyle name="계산 7" xfId="2617"/>
    <cellStyle name="계산 70" xfId="2618"/>
    <cellStyle name="계산 71" xfId="2619"/>
    <cellStyle name="계산 72" xfId="2620"/>
    <cellStyle name="계산 73" xfId="2621"/>
    <cellStyle name="계산 74" xfId="2622"/>
    <cellStyle name="계산 75" xfId="2623"/>
    <cellStyle name="계산 76" xfId="2624"/>
    <cellStyle name="계산 77" xfId="2625"/>
    <cellStyle name="계산 8" xfId="2626"/>
    <cellStyle name="계산 9" xfId="2627"/>
    <cellStyle name="고목표" xfId="2628"/>
    <cellStyle name="고정소숫점" xfId="2629"/>
    <cellStyle name="고정출력1" xfId="2630"/>
    <cellStyle name="고정출력2" xfId="2631"/>
    <cellStyle name="괄(계정)" xfId="2632"/>
    <cellStyle name="금액" xfId="2633"/>
    <cellStyle name="금액 2" xfId="2634"/>
    <cellStyle name="금액 3" xfId="2635"/>
    <cellStyle name="나쁨 10" xfId="2636"/>
    <cellStyle name="나쁨 11" xfId="2637"/>
    <cellStyle name="나쁨 12" xfId="2638"/>
    <cellStyle name="나쁨 13" xfId="2639"/>
    <cellStyle name="나쁨 14" xfId="2640"/>
    <cellStyle name="나쁨 15" xfId="2641"/>
    <cellStyle name="나쁨 16" xfId="2642"/>
    <cellStyle name="나쁨 17" xfId="2643"/>
    <cellStyle name="나쁨 18" xfId="2644"/>
    <cellStyle name="나쁨 19" xfId="2645"/>
    <cellStyle name="나쁨 2" xfId="2646"/>
    <cellStyle name="나쁨 2 2" xfId="2647"/>
    <cellStyle name="나쁨 2 2 2" xfId="2648"/>
    <cellStyle name="나쁨 2 2 3" xfId="2649"/>
    <cellStyle name="나쁨 2 3" xfId="2650"/>
    <cellStyle name="나쁨 20" xfId="2651"/>
    <cellStyle name="나쁨 21" xfId="2652"/>
    <cellStyle name="나쁨 22" xfId="2653"/>
    <cellStyle name="나쁨 23" xfId="2654"/>
    <cellStyle name="나쁨 24" xfId="2655"/>
    <cellStyle name="나쁨 25" xfId="2656"/>
    <cellStyle name="나쁨 26" xfId="2657"/>
    <cellStyle name="나쁨 27" xfId="2658"/>
    <cellStyle name="나쁨 28" xfId="2659"/>
    <cellStyle name="나쁨 29" xfId="2660"/>
    <cellStyle name="나쁨 3" xfId="2661"/>
    <cellStyle name="나쁨 30" xfId="2662"/>
    <cellStyle name="나쁨 31" xfId="2663"/>
    <cellStyle name="나쁨 32" xfId="2664"/>
    <cellStyle name="나쁨 33" xfId="2665"/>
    <cellStyle name="나쁨 34" xfId="2666"/>
    <cellStyle name="나쁨 35" xfId="2667"/>
    <cellStyle name="나쁨 36" xfId="2668"/>
    <cellStyle name="나쁨 37" xfId="2669"/>
    <cellStyle name="나쁨 38" xfId="2670"/>
    <cellStyle name="나쁨 39" xfId="2671"/>
    <cellStyle name="나쁨 4" xfId="2672"/>
    <cellStyle name="나쁨 40" xfId="2673"/>
    <cellStyle name="나쁨 41" xfId="2674"/>
    <cellStyle name="나쁨 42" xfId="2675"/>
    <cellStyle name="나쁨 43" xfId="2676"/>
    <cellStyle name="나쁨 44" xfId="2677"/>
    <cellStyle name="나쁨 45" xfId="2678"/>
    <cellStyle name="나쁨 46" xfId="2679"/>
    <cellStyle name="나쁨 47" xfId="2680"/>
    <cellStyle name="나쁨 48" xfId="2681"/>
    <cellStyle name="나쁨 49" xfId="2682"/>
    <cellStyle name="나쁨 5" xfId="2683"/>
    <cellStyle name="나쁨 50" xfId="2684"/>
    <cellStyle name="나쁨 51" xfId="2685"/>
    <cellStyle name="나쁨 52" xfId="2686"/>
    <cellStyle name="나쁨 53" xfId="2687"/>
    <cellStyle name="나쁨 54" xfId="2688"/>
    <cellStyle name="나쁨 55" xfId="2689"/>
    <cellStyle name="나쁨 56" xfId="2690"/>
    <cellStyle name="나쁨 57" xfId="2691"/>
    <cellStyle name="나쁨 58" xfId="2692"/>
    <cellStyle name="나쁨 59" xfId="2693"/>
    <cellStyle name="나쁨 6" xfId="2694"/>
    <cellStyle name="나쁨 60" xfId="2695"/>
    <cellStyle name="나쁨 61" xfId="2696"/>
    <cellStyle name="나쁨 62" xfId="2697"/>
    <cellStyle name="나쁨 63" xfId="2698"/>
    <cellStyle name="나쁨 64" xfId="2699"/>
    <cellStyle name="나쁨 65" xfId="2700"/>
    <cellStyle name="나쁨 66" xfId="2701"/>
    <cellStyle name="나쁨 67" xfId="2702"/>
    <cellStyle name="나쁨 68" xfId="2703"/>
    <cellStyle name="나쁨 69" xfId="2704"/>
    <cellStyle name="나쁨 7" xfId="2705"/>
    <cellStyle name="나쁨 70" xfId="2706"/>
    <cellStyle name="나쁨 71" xfId="2707"/>
    <cellStyle name="나쁨 72" xfId="2708"/>
    <cellStyle name="나쁨 73" xfId="2709"/>
    <cellStyle name="나쁨 74" xfId="2710"/>
    <cellStyle name="나쁨 75" xfId="2711"/>
    <cellStyle name="나쁨 76" xfId="2712"/>
    <cellStyle name="나쁨 8" xfId="2713"/>
    <cellStyle name="나쁨 9" xfId="2714"/>
    <cellStyle name="날짜" xfId="2715"/>
    <cellStyle name="달러" xfId="2716"/>
    <cellStyle name="뒤에 오는 하이퍼링크" xfId="2717"/>
    <cellStyle name="똿뗦먛귟 [0.00]_laroux_1g?n " xfId="2718"/>
    <cellStyle name="똿뗦먛귟_laroux" xfId="2719"/>
    <cellStyle name="良い" xfId="2720"/>
    <cellStyle name="메모 10" xfId="2721"/>
    <cellStyle name="메모 11" xfId="2722"/>
    <cellStyle name="메모 12" xfId="2723"/>
    <cellStyle name="메모 13" xfId="2724"/>
    <cellStyle name="메모 14" xfId="2725"/>
    <cellStyle name="메모 15" xfId="2726"/>
    <cellStyle name="메모 16" xfId="2727"/>
    <cellStyle name="메모 17" xfId="2728"/>
    <cellStyle name="메모 18" xfId="2729"/>
    <cellStyle name="메모 19" xfId="2730"/>
    <cellStyle name="메모 2" xfId="2731"/>
    <cellStyle name="메모 20" xfId="2732"/>
    <cellStyle name="메모 21" xfId="2733"/>
    <cellStyle name="메모 22" xfId="2734"/>
    <cellStyle name="메모 23" xfId="2735"/>
    <cellStyle name="메모 24" xfId="2736"/>
    <cellStyle name="메모 25" xfId="2737"/>
    <cellStyle name="메모 26" xfId="2738"/>
    <cellStyle name="메모 27" xfId="2739"/>
    <cellStyle name="메모 28" xfId="2740"/>
    <cellStyle name="메모 29" xfId="2741"/>
    <cellStyle name="메모 3" xfId="2742"/>
    <cellStyle name="메모 30" xfId="2743"/>
    <cellStyle name="메모 31" xfId="2744"/>
    <cellStyle name="메모 32" xfId="2745"/>
    <cellStyle name="메모 33" xfId="2746"/>
    <cellStyle name="메모 34" xfId="2747"/>
    <cellStyle name="메모 35" xfId="2748"/>
    <cellStyle name="메모 36" xfId="2749"/>
    <cellStyle name="메모 37" xfId="2750"/>
    <cellStyle name="메모 38" xfId="2751"/>
    <cellStyle name="메모 39" xfId="2752"/>
    <cellStyle name="메모 4" xfId="2753"/>
    <cellStyle name="메모 40" xfId="2754"/>
    <cellStyle name="메모 41" xfId="2755"/>
    <cellStyle name="메모 42" xfId="2756"/>
    <cellStyle name="메모 43" xfId="2757"/>
    <cellStyle name="메모 44" xfId="2758"/>
    <cellStyle name="메모 45" xfId="2759"/>
    <cellStyle name="메모 46" xfId="2760"/>
    <cellStyle name="메모 47" xfId="2761"/>
    <cellStyle name="메모 48" xfId="2762"/>
    <cellStyle name="메모 49" xfId="2763"/>
    <cellStyle name="메모 5" xfId="2764"/>
    <cellStyle name="메모 50" xfId="2765"/>
    <cellStyle name="메모 51" xfId="2766"/>
    <cellStyle name="메모 52" xfId="2767"/>
    <cellStyle name="메모 53" xfId="2768"/>
    <cellStyle name="메모 54" xfId="2769"/>
    <cellStyle name="메모 55" xfId="2770"/>
    <cellStyle name="메모 56" xfId="2771"/>
    <cellStyle name="메모 57" xfId="2772"/>
    <cellStyle name="메모 58" xfId="2773"/>
    <cellStyle name="메모 59" xfId="2774"/>
    <cellStyle name="메모 6" xfId="2775"/>
    <cellStyle name="메모 60" xfId="2776"/>
    <cellStyle name="메모 61" xfId="2777"/>
    <cellStyle name="메모 62" xfId="2778"/>
    <cellStyle name="메모 63" xfId="2779"/>
    <cellStyle name="메모 64" xfId="2780"/>
    <cellStyle name="메모 65" xfId="2781"/>
    <cellStyle name="메모 66" xfId="2782"/>
    <cellStyle name="메모 67" xfId="2783"/>
    <cellStyle name="메모 68" xfId="2784"/>
    <cellStyle name="메모 68 2" xfId="2785"/>
    <cellStyle name="메모 68 3" xfId="2786"/>
    <cellStyle name="메모 69" xfId="2787"/>
    <cellStyle name="메모 69 2" xfId="2788"/>
    <cellStyle name="메모 69 3" xfId="2789"/>
    <cellStyle name="메모 7" xfId="2790"/>
    <cellStyle name="메모 70" xfId="2791"/>
    <cellStyle name="메모 70 2" xfId="2792"/>
    <cellStyle name="메모 70 3" xfId="2793"/>
    <cellStyle name="메모 71" xfId="2794"/>
    <cellStyle name="메모 71 2" xfId="2795"/>
    <cellStyle name="메모 71 3" xfId="2796"/>
    <cellStyle name="메모 72" xfId="2797"/>
    <cellStyle name="메모 72 2" xfId="2798"/>
    <cellStyle name="메모 72 3" xfId="2799"/>
    <cellStyle name="메모 73" xfId="2800"/>
    <cellStyle name="메모 73 2" xfId="2801"/>
    <cellStyle name="메모 73 3" xfId="2802"/>
    <cellStyle name="메모 74" xfId="2803"/>
    <cellStyle name="메모 74 2" xfId="2804"/>
    <cellStyle name="메모 74 3" xfId="2805"/>
    <cellStyle name="메모 75" xfId="2806"/>
    <cellStyle name="메모 75 2" xfId="2807"/>
    <cellStyle name="메모 75 3" xfId="2808"/>
    <cellStyle name="메모 76" xfId="2809"/>
    <cellStyle name="메모 76 2" xfId="2810"/>
    <cellStyle name="메모 76 3" xfId="2811"/>
    <cellStyle name="메모 77" xfId="2812"/>
    <cellStyle name="메모 77 2" xfId="2813"/>
    <cellStyle name="메모 77 3" xfId="2814"/>
    <cellStyle name="메모 78" xfId="2815"/>
    <cellStyle name="메모 78 2" xfId="2816"/>
    <cellStyle name="메모 78 3" xfId="2817"/>
    <cellStyle name="메모 79" xfId="2818"/>
    <cellStyle name="메모 79 2" xfId="2819"/>
    <cellStyle name="메모 79 3" xfId="2820"/>
    <cellStyle name="메모 8" xfId="2821"/>
    <cellStyle name="메모 80" xfId="2822"/>
    <cellStyle name="메모 80 2" xfId="2823"/>
    <cellStyle name="메모 80 3" xfId="2824"/>
    <cellStyle name="메모 81" xfId="2825"/>
    <cellStyle name="메모 81 2" xfId="2826"/>
    <cellStyle name="메모 81 3" xfId="2827"/>
    <cellStyle name="메모 82" xfId="2828"/>
    <cellStyle name="메모 82 2" xfId="2829"/>
    <cellStyle name="메모 82 3" xfId="2830"/>
    <cellStyle name="메모 83" xfId="2831"/>
    <cellStyle name="메모 83 2" xfId="2832"/>
    <cellStyle name="메모 83 3" xfId="2833"/>
    <cellStyle name="메모 84" xfId="2834"/>
    <cellStyle name="메모 85" xfId="2835"/>
    <cellStyle name="메모 86" xfId="2836"/>
    <cellStyle name="메모 87" xfId="2837"/>
    <cellStyle name="메모 87 2" xfId="2838"/>
    <cellStyle name="메모 87 3" xfId="2839"/>
    <cellStyle name="메모 88" xfId="2840"/>
    <cellStyle name="메모 88 2" xfId="2841"/>
    <cellStyle name="메모 88 3" xfId="2842"/>
    <cellStyle name="메모 89" xfId="2843"/>
    <cellStyle name="메모 89 2" xfId="2844"/>
    <cellStyle name="메모 89 3" xfId="2845"/>
    <cellStyle name="메모 9" xfId="2846"/>
    <cellStyle name="메모 90" xfId="2847"/>
    <cellStyle name="메모 91" xfId="2848"/>
    <cellStyle name="메모 92" xfId="2849"/>
    <cellStyle name="메모 93" xfId="2850"/>
    <cellStyle name="메모 94" xfId="2851"/>
    <cellStyle name="메모 95" xfId="2852"/>
    <cellStyle name="메모 96" xfId="2853"/>
    <cellStyle name="메모 97" xfId="2854"/>
    <cellStyle name="믅됞 [0.00]_laroux" xfId="2855"/>
    <cellStyle name="믅됞_laroux" xfId="2856"/>
    <cellStyle name="백분율" xfId="1" builtinId="5"/>
    <cellStyle name="백분율 2" xfId="2857"/>
    <cellStyle name="백분율 2 2" xfId="2858"/>
    <cellStyle name="백분율 3" xfId="2859"/>
    <cellStyle name="백분율 3 2" xfId="2860"/>
    <cellStyle name="백분율 4" xfId="2861"/>
    <cellStyle name="보통 10" xfId="2862"/>
    <cellStyle name="보통 11" xfId="2863"/>
    <cellStyle name="보통 12" xfId="2864"/>
    <cellStyle name="보통 13" xfId="2865"/>
    <cellStyle name="보통 14" xfId="2866"/>
    <cellStyle name="보통 15" xfId="2867"/>
    <cellStyle name="보통 16" xfId="2868"/>
    <cellStyle name="보통 17" xfId="2869"/>
    <cellStyle name="보통 18" xfId="2870"/>
    <cellStyle name="보통 19" xfId="2871"/>
    <cellStyle name="보통 2" xfId="2872"/>
    <cellStyle name="보통 2 2" xfId="2873"/>
    <cellStyle name="보통 2 2 2" xfId="2874"/>
    <cellStyle name="보통 2 2 3" xfId="2875"/>
    <cellStyle name="보통 2 3" xfId="2876"/>
    <cellStyle name="보통 20" xfId="2877"/>
    <cellStyle name="보통 21" xfId="2878"/>
    <cellStyle name="보통 22" xfId="2879"/>
    <cellStyle name="보통 23" xfId="2880"/>
    <cellStyle name="보통 24" xfId="2881"/>
    <cellStyle name="보통 25" xfId="2882"/>
    <cellStyle name="보통 26" xfId="2883"/>
    <cellStyle name="보통 27" xfId="2884"/>
    <cellStyle name="보통 28" xfId="2885"/>
    <cellStyle name="보통 29" xfId="2886"/>
    <cellStyle name="보통 3" xfId="2887"/>
    <cellStyle name="보통 30" xfId="2888"/>
    <cellStyle name="보통 31" xfId="2889"/>
    <cellStyle name="보통 32" xfId="2890"/>
    <cellStyle name="보통 33" xfId="2891"/>
    <cellStyle name="보통 34" xfId="2892"/>
    <cellStyle name="보통 35" xfId="2893"/>
    <cellStyle name="보통 36" xfId="2894"/>
    <cellStyle name="보통 37" xfId="2895"/>
    <cellStyle name="보통 38" xfId="2896"/>
    <cellStyle name="보통 39" xfId="2897"/>
    <cellStyle name="보통 4" xfId="2898"/>
    <cellStyle name="보통 40" xfId="2899"/>
    <cellStyle name="보통 41" xfId="2900"/>
    <cellStyle name="보통 42" xfId="2901"/>
    <cellStyle name="보통 43" xfId="2902"/>
    <cellStyle name="보통 44" xfId="2903"/>
    <cellStyle name="보통 45" xfId="2904"/>
    <cellStyle name="보통 46" xfId="2905"/>
    <cellStyle name="보통 47" xfId="2906"/>
    <cellStyle name="보통 48" xfId="2907"/>
    <cellStyle name="보통 49" xfId="2908"/>
    <cellStyle name="보통 5" xfId="2909"/>
    <cellStyle name="보통 50" xfId="2910"/>
    <cellStyle name="보통 51" xfId="2911"/>
    <cellStyle name="보통 52" xfId="2912"/>
    <cellStyle name="보통 53" xfId="2913"/>
    <cellStyle name="보통 54" xfId="2914"/>
    <cellStyle name="보통 55" xfId="2915"/>
    <cellStyle name="보통 56" xfId="2916"/>
    <cellStyle name="보통 57" xfId="2917"/>
    <cellStyle name="보통 58" xfId="2918"/>
    <cellStyle name="보통 59" xfId="2919"/>
    <cellStyle name="보통 6" xfId="2920"/>
    <cellStyle name="보통 60" xfId="2921"/>
    <cellStyle name="보통 61" xfId="2922"/>
    <cellStyle name="보통 62" xfId="2923"/>
    <cellStyle name="보통 63" xfId="2924"/>
    <cellStyle name="보통 64" xfId="2925"/>
    <cellStyle name="보통 65" xfId="2926"/>
    <cellStyle name="보통 66" xfId="2927"/>
    <cellStyle name="보통 67" xfId="2928"/>
    <cellStyle name="보통 68" xfId="2929"/>
    <cellStyle name="보통 69" xfId="2930"/>
    <cellStyle name="보통 7" xfId="2931"/>
    <cellStyle name="보통 70" xfId="2932"/>
    <cellStyle name="보통 71" xfId="2933"/>
    <cellStyle name="보통 72" xfId="2934"/>
    <cellStyle name="보통 73" xfId="2935"/>
    <cellStyle name="보통 74" xfId="2936"/>
    <cellStyle name="보통 75" xfId="2937"/>
    <cellStyle name="보통 76" xfId="2938"/>
    <cellStyle name="보통 8" xfId="2939"/>
    <cellStyle name="보통 9" xfId="2940"/>
    <cellStyle name="普通_格式 " xfId="2941"/>
    <cellStyle name="뷭?_BOOKSHIP" xfId="2942"/>
    <cellStyle name="常?_利?表" xfId="2943"/>
    <cellStyle name="常规_Memo" xfId="2944"/>
    <cellStyle name="새귑[0]_롤痰삠悧 " xfId="2945"/>
    <cellStyle name="새귑_롤痰삠悧 " xfId="2946"/>
    <cellStyle name="鱔 [0]_渠掘 " xfId="2947"/>
    <cellStyle name="鱔_渠掘 " xfId="2948"/>
    <cellStyle name="설명 텍스트 10" xfId="2949"/>
    <cellStyle name="설명 텍스트 11" xfId="2950"/>
    <cellStyle name="설명 텍스트 12" xfId="2951"/>
    <cellStyle name="설명 텍스트 13" xfId="2952"/>
    <cellStyle name="설명 텍스트 14" xfId="2953"/>
    <cellStyle name="설명 텍스트 15" xfId="2954"/>
    <cellStyle name="설명 텍스트 16" xfId="2955"/>
    <cellStyle name="설명 텍스트 17" xfId="2956"/>
    <cellStyle name="설명 텍스트 18" xfId="2957"/>
    <cellStyle name="설명 텍스트 19" xfId="2958"/>
    <cellStyle name="설명 텍스트 2" xfId="2959"/>
    <cellStyle name="설명 텍스트 2 2" xfId="2960"/>
    <cellStyle name="설명 텍스트 2 2 2" xfId="2961"/>
    <cellStyle name="설명 텍스트 2 2 3" xfId="2962"/>
    <cellStyle name="설명 텍스트 2 3" xfId="2963"/>
    <cellStyle name="설명 텍스트 20" xfId="2964"/>
    <cellStyle name="설명 텍스트 21" xfId="2965"/>
    <cellStyle name="설명 텍스트 22" xfId="2966"/>
    <cellStyle name="설명 텍스트 23" xfId="2967"/>
    <cellStyle name="설명 텍스트 24" xfId="2968"/>
    <cellStyle name="설명 텍스트 25" xfId="2969"/>
    <cellStyle name="설명 텍스트 26" xfId="2970"/>
    <cellStyle name="설명 텍스트 27" xfId="2971"/>
    <cellStyle name="설명 텍스트 28" xfId="2972"/>
    <cellStyle name="설명 텍스트 29" xfId="2973"/>
    <cellStyle name="설명 텍스트 3" xfId="2974"/>
    <cellStyle name="설명 텍스트 30" xfId="2975"/>
    <cellStyle name="설명 텍스트 31" xfId="2976"/>
    <cellStyle name="설명 텍스트 32" xfId="2977"/>
    <cellStyle name="설명 텍스트 33" xfId="2978"/>
    <cellStyle name="설명 텍스트 34" xfId="2979"/>
    <cellStyle name="설명 텍스트 35" xfId="2980"/>
    <cellStyle name="설명 텍스트 36" xfId="2981"/>
    <cellStyle name="설명 텍스트 37" xfId="2982"/>
    <cellStyle name="설명 텍스트 38" xfId="2983"/>
    <cellStyle name="설명 텍스트 39" xfId="2984"/>
    <cellStyle name="설명 텍스트 4" xfId="2985"/>
    <cellStyle name="설명 텍스트 40" xfId="2986"/>
    <cellStyle name="설명 텍스트 41" xfId="2987"/>
    <cellStyle name="설명 텍스트 42" xfId="2988"/>
    <cellStyle name="설명 텍스트 43" xfId="2989"/>
    <cellStyle name="설명 텍스트 44" xfId="2990"/>
    <cellStyle name="설명 텍스트 45" xfId="2991"/>
    <cellStyle name="설명 텍스트 46" xfId="2992"/>
    <cellStyle name="설명 텍스트 47" xfId="2993"/>
    <cellStyle name="설명 텍스트 48" xfId="2994"/>
    <cellStyle name="설명 텍스트 49" xfId="2995"/>
    <cellStyle name="설명 텍스트 5" xfId="2996"/>
    <cellStyle name="설명 텍스트 50" xfId="2997"/>
    <cellStyle name="설명 텍스트 51" xfId="2998"/>
    <cellStyle name="설명 텍스트 52" xfId="2999"/>
    <cellStyle name="설명 텍스트 53" xfId="3000"/>
    <cellStyle name="설명 텍스트 54" xfId="3001"/>
    <cellStyle name="설명 텍스트 55" xfId="3002"/>
    <cellStyle name="설명 텍스트 56" xfId="3003"/>
    <cellStyle name="설명 텍스트 57" xfId="3004"/>
    <cellStyle name="설명 텍스트 58" xfId="3005"/>
    <cellStyle name="설명 텍스트 59" xfId="3006"/>
    <cellStyle name="설명 텍스트 6" xfId="3007"/>
    <cellStyle name="설명 텍스트 60" xfId="3008"/>
    <cellStyle name="설명 텍스트 61" xfId="3009"/>
    <cellStyle name="설명 텍스트 62" xfId="3010"/>
    <cellStyle name="설명 텍스트 63" xfId="3011"/>
    <cellStyle name="설명 텍스트 64" xfId="3012"/>
    <cellStyle name="설명 텍스트 65" xfId="3013"/>
    <cellStyle name="설명 텍스트 66" xfId="3014"/>
    <cellStyle name="설명 텍스트 67" xfId="3015"/>
    <cellStyle name="설명 텍스트 68" xfId="3016"/>
    <cellStyle name="설명 텍스트 69" xfId="3017"/>
    <cellStyle name="설명 텍스트 7" xfId="3018"/>
    <cellStyle name="설명 텍스트 70" xfId="3019"/>
    <cellStyle name="설명 텍스트 71" xfId="3020"/>
    <cellStyle name="설명 텍스트 72" xfId="3021"/>
    <cellStyle name="설명 텍스트 73" xfId="3022"/>
    <cellStyle name="설명 텍스트 74" xfId="3023"/>
    <cellStyle name="설명 텍스트 75" xfId="3024"/>
    <cellStyle name="설명 텍스트 76" xfId="3025"/>
    <cellStyle name="설명 텍스트 8" xfId="3026"/>
    <cellStyle name="설명 텍스트 9" xfId="3027"/>
    <cellStyle name="説明文" xfId="3028"/>
    <cellStyle name="셀 확인 10" xfId="3029"/>
    <cellStyle name="셀 확인 11" xfId="3030"/>
    <cellStyle name="셀 확인 12" xfId="3031"/>
    <cellStyle name="셀 확인 13" xfId="3032"/>
    <cellStyle name="셀 확인 14" xfId="3033"/>
    <cellStyle name="셀 확인 15" xfId="3034"/>
    <cellStyle name="셀 확인 16" xfId="3035"/>
    <cellStyle name="셀 확인 17" xfId="3036"/>
    <cellStyle name="셀 확인 18" xfId="3037"/>
    <cellStyle name="셀 확인 19" xfId="3038"/>
    <cellStyle name="셀 확인 2" xfId="3039"/>
    <cellStyle name="셀 확인 2 2" xfId="3040"/>
    <cellStyle name="셀 확인 2 2 2" xfId="3041"/>
    <cellStyle name="셀 확인 2 2 3" xfId="3042"/>
    <cellStyle name="셀 확인 2 3" xfId="3043"/>
    <cellStyle name="셀 확인 20" xfId="3044"/>
    <cellStyle name="셀 확인 21" xfId="3045"/>
    <cellStyle name="셀 확인 22" xfId="3046"/>
    <cellStyle name="셀 확인 23" xfId="3047"/>
    <cellStyle name="셀 확인 24" xfId="3048"/>
    <cellStyle name="셀 확인 25" xfId="3049"/>
    <cellStyle name="셀 확인 26" xfId="3050"/>
    <cellStyle name="셀 확인 27" xfId="3051"/>
    <cellStyle name="셀 확인 28" xfId="3052"/>
    <cellStyle name="셀 확인 29" xfId="3053"/>
    <cellStyle name="셀 확인 3" xfId="3054"/>
    <cellStyle name="셀 확인 30" xfId="3055"/>
    <cellStyle name="셀 확인 31" xfId="3056"/>
    <cellStyle name="셀 확인 32" xfId="3057"/>
    <cellStyle name="셀 확인 33" xfId="3058"/>
    <cellStyle name="셀 확인 34" xfId="3059"/>
    <cellStyle name="셀 확인 35" xfId="3060"/>
    <cellStyle name="셀 확인 36" xfId="3061"/>
    <cellStyle name="셀 확인 37" xfId="3062"/>
    <cellStyle name="셀 확인 38" xfId="3063"/>
    <cellStyle name="셀 확인 39" xfId="3064"/>
    <cellStyle name="셀 확인 4" xfId="3065"/>
    <cellStyle name="셀 확인 40" xfId="3066"/>
    <cellStyle name="셀 확인 41" xfId="3067"/>
    <cellStyle name="셀 확인 42" xfId="3068"/>
    <cellStyle name="셀 확인 43" xfId="3069"/>
    <cellStyle name="셀 확인 44" xfId="3070"/>
    <cellStyle name="셀 확인 45" xfId="3071"/>
    <cellStyle name="셀 확인 46" xfId="3072"/>
    <cellStyle name="셀 확인 47" xfId="3073"/>
    <cellStyle name="셀 확인 48" xfId="3074"/>
    <cellStyle name="셀 확인 49" xfId="3075"/>
    <cellStyle name="셀 확인 5" xfId="3076"/>
    <cellStyle name="셀 확인 50" xfId="3077"/>
    <cellStyle name="셀 확인 51" xfId="3078"/>
    <cellStyle name="셀 확인 52" xfId="3079"/>
    <cellStyle name="셀 확인 53" xfId="3080"/>
    <cellStyle name="셀 확인 54" xfId="3081"/>
    <cellStyle name="셀 확인 55" xfId="3082"/>
    <cellStyle name="셀 확인 56" xfId="3083"/>
    <cellStyle name="셀 확인 57" xfId="3084"/>
    <cellStyle name="셀 확인 58" xfId="3085"/>
    <cellStyle name="셀 확인 59" xfId="3086"/>
    <cellStyle name="셀 확인 6" xfId="3087"/>
    <cellStyle name="셀 확인 60" xfId="3088"/>
    <cellStyle name="셀 확인 61" xfId="3089"/>
    <cellStyle name="셀 확인 62" xfId="3090"/>
    <cellStyle name="셀 확인 63" xfId="3091"/>
    <cellStyle name="셀 확인 64" xfId="3092"/>
    <cellStyle name="셀 확인 65" xfId="3093"/>
    <cellStyle name="셀 확인 66" xfId="3094"/>
    <cellStyle name="셀 확인 67" xfId="3095"/>
    <cellStyle name="셀 확인 68" xfId="3096"/>
    <cellStyle name="셀 확인 69" xfId="3097"/>
    <cellStyle name="셀 확인 7" xfId="3098"/>
    <cellStyle name="셀 확인 70" xfId="3099"/>
    <cellStyle name="셀 확인 71" xfId="3100"/>
    <cellStyle name="셀 확인 72" xfId="3101"/>
    <cellStyle name="셀 확인 73" xfId="3102"/>
    <cellStyle name="셀 확인 74" xfId="3103"/>
    <cellStyle name="셀 확인 75" xfId="3104"/>
    <cellStyle name="셀 확인 76" xfId="3105"/>
    <cellStyle name="셀 확인 8" xfId="3106"/>
    <cellStyle name="셀 확인 9" xfId="3107"/>
    <cellStyle name="숫자(R)" xfId="3108"/>
    <cellStyle name="쉼표 [0] 10" xfId="3109"/>
    <cellStyle name="쉼표 [0] 2" xfId="3110"/>
    <cellStyle name="쉼표 [0] 2 2" xfId="3111"/>
    <cellStyle name="쉼표 [0] 2 2 2" xfId="3112"/>
    <cellStyle name="쉼표 [0] 2 2 2 2" xfId="3113"/>
    <cellStyle name="쉼표 [0] 2 2 2 3" xfId="3114"/>
    <cellStyle name="쉼표 [0] 2 2 3" xfId="3115"/>
    <cellStyle name="쉼표 [0] 2 3" xfId="3116"/>
    <cellStyle name="쉼표 [0] 3" xfId="3117"/>
    <cellStyle name="쉼표 [0] 3 2" xfId="3118"/>
    <cellStyle name="쉼표 [0] 3 2 2" xfId="3119"/>
    <cellStyle name="쉼표 [0] 3 3" xfId="3120"/>
    <cellStyle name="쉼표 [0] 4" xfId="3121"/>
    <cellStyle name="쉼표 [0] 5" xfId="3122"/>
    <cellStyle name="스타일 1" xfId="3123"/>
    <cellStyle name="스타일 1 2" xfId="3124"/>
    <cellStyle name="스타일 10" xfId="3125"/>
    <cellStyle name="스타일 100" xfId="3126"/>
    <cellStyle name="스타일 101" xfId="3127"/>
    <cellStyle name="스타일 102" xfId="3128"/>
    <cellStyle name="스타일 103" xfId="3129"/>
    <cellStyle name="스타일 104" xfId="3130"/>
    <cellStyle name="스타일 105" xfId="3131"/>
    <cellStyle name="스타일 106" xfId="3132"/>
    <cellStyle name="스타일 107" xfId="3133"/>
    <cellStyle name="스타일 108" xfId="3134"/>
    <cellStyle name="스타일 109" xfId="3135"/>
    <cellStyle name="스타일 11" xfId="3136"/>
    <cellStyle name="스타일 110" xfId="3137"/>
    <cellStyle name="스타일 111" xfId="3138"/>
    <cellStyle name="스타일 112" xfId="3139"/>
    <cellStyle name="스타일 113" xfId="3140"/>
    <cellStyle name="스타일 114" xfId="3141"/>
    <cellStyle name="스타일 115" xfId="3142"/>
    <cellStyle name="스타일 116" xfId="3143"/>
    <cellStyle name="스타일 117" xfId="3144"/>
    <cellStyle name="스타일 118" xfId="3145"/>
    <cellStyle name="스타일 119" xfId="3146"/>
    <cellStyle name="스타일 12" xfId="3147"/>
    <cellStyle name="스타일 120" xfId="3148"/>
    <cellStyle name="스타일 121" xfId="3149"/>
    <cellStyle name="스타일 122" xfId="3150"/>
    <cellStyle name="스타일 123" xfId="3151"/>
    <cellStyle name="스타일 124" xfId="3152"/>
    <cellStyle name="스타일 125" xfId="3153"/>
    <cellStyle name="스타일 126" xfId="3154"/>
    <cellStyle name="스타일 127" xfId="3155"/>
    <cellStyle name="스타일 128" xfId="3156"/>
    <cellStyle name="스타일 129" xfId="3157"/>
    <cellStyle name="스타일 13" xfId="3158"/>
    <cellStyle name="스타일 130" xfId="3159"/>
    <cellStyle name="스타일 131" xfId="3160"/>
    <cellStyle name="스타일 132" xfId="3161"/>
    <cellStyle name="스타일 133" xfId="3162"/>
    <cellStyle name="스타일 134" xfId="3163"/>
    <cellStyle name="스타일 135" xfId="3164"/>
    <cellStyle name="스타일 136" xfId="3165"/>
    <cellStyle name="스타일 137" xfId="3166"/>
    <cellStyle name="스타일 138" xfId="3167"/>
    <cellStyle name="스타일 139" xfId="3168"/>
    <cellStyle name="스타일 14" xfId="3169"/>
    <cellStyle name="스타일 140" xfId="3170"/>
    <cellStyle name="스타일 141" xfId="3171"/>
    <cellStyle name="스타일 142" xfId="3172"/>
    <cellStyle name="스타일 143" xfId="3173"/>
    <cellStyle name="스타일 144" xfId="3174"/>
    <cellStyle name="스타일 145" xfId="3175"/>
    <cellStyle name="스타일 146" xfId="3176"/>
    <cellStyle name="스타일 147" xfId="3177"/>
    <cellStyle name="스타일 148" xfId="3178"/>
    <cellStyle name="스타일 149" xfId="3179"/>
    <cellStyle name="스타일 15" xfId="3180"/>
    <cellStyle name="스타일 150" xfId="3181"/>
    <cellStyle name="스타일 151" xfId="3182"/>
    <cellStyle name="스타일 152" xfId="3183"/>
    <cellStyle name="스타일 153" xfId="3184"/>
    <cellStyle name="스타일 154" xfId="3185"/>
    <cellStyle name="스타일 155" xfId="3186"/>
    <cellStyle name="스타일 156" xfId="3187"/>
    <cellStyle name="스타일 157" xfId="3188"/>
    <cellStyle name="스타일 158" xfId="3189"/>
    <cellStyle name="스타일 159" xfId="3190"/>
    <cellStyle name="스타일 16" xfId="3191"/>
    <cellStyle name="스타일 160" xfId="3192"/>
    <cellStyle name="스타일 161" xfId="3193"/>
    <cellStyle name="스타일 162" xfId="3194"/>
    <cellStyle name="스타일 163" xfId="3195"/>
    <cellStyle name="스타일 164" xfId="3196"/>
    <cellStyle name="스타일 165" xfId="3197"/>
    <cellStyle name="스타일 166" xfId="3198"/>
    <cellStyle name="스타일 167" xfId="3199"/>
    <cellStyle name="스타일 168" xfId="3200"/>
    <cellStyle name="스타일 169" xfId="3201"/>
    <cellStyle name="스타일 17" xfId="3202"/>
    <cellStyle name="스타일 170" xfId="3203"/>
    <cellStyle name="스타일 171" xfId="3204"/>
    <cellStyle name="스타일 172" xfId="3205"/>
    <cellStyle name="스타일 173" xfId="3206"/>
    <cellStyle name="스타일 174" xfId="3207"/>
    <cellStyle name="스타일 175" xfId="3208"/>
    <cellStyle name="스타일 176" xfId="3209"/>
    <cellStyle name="스타일 177" xfId="3210"/>
    <cellStyle name="스타일 178" xfId="3211"/>
    <cellStyle name="스타일 179" xfId="3212"/>
    <cellStyle name="스타일 18" xfId="3213"/>
    <cellStyle name="스타일 180" xfId="3214"/>
    <cellStyle name="스타일 181" xfId="3215"/>
    <cellStyle name="스타일 182" xfId="3216"/>
    <cellStyle name="스타일 183" xfId="3217"/>
    <cellStyle name="스타일 184" xfId="3218"/>
    <cellStyle name="스타일 185" xfId="3219"/>
    <cellStyle name="스타일 186" xfId="3220"/>
    <cellStyle name="스타일 187" xfId="3221"/>
    <cellStyle name="스타일 188" xfId="3222"/>
    <cellStyle name="스타일 189" xfId="3223"/>
    <cellStyle name="스타일 19" xfId="3224"/>
    <cellStyle name="스타일 190" xfId="3225"/>
    <cellStyle name="스타일 191" xfId="3226"/>
    <cellStyle name="스타일 192" xfId="3227"/>
    <cellStyle name="스타일 193" xfId="3228"/>
    <cellStyle name="스타일 194" xfId="3229"/>
    <cellStyle name="스타일 195" xfId="3230"/>
    <cellStyle name="스타일 196" xfId="3231"/>
    <cellStyle name="스타일 197" xfId="3232"/>
    <cellStyle name="스타일 198" xfId="3233"/>
    <cellStyle name="스타일 199" xfId="3234"/>
    <cellStyle name="스타일 2" xfId="3235"/>
    <cellStyle name="스타일 20" xfId="3236"/>
    <cellStyle name="스타일 200" xfId="3237"/>
    <cellStyle name="스타일 201" xfId="3238"/>
    <cellStyle name="스타일 202" xfId="3239"/>
    <cellStyle name="스타일 203" xfId="3240"/>
    <cellStyle name="스타일 204" xfId="3241"/>
    <cellStyle name="스타일 205" xfId="3242"/>
    <cellStyle name="스타일 206" xfId="3243"/>
    <cellStyle name="스타일 207" xfId="3244"/>
    <cellStyle name="스타일 208" xfId="3245"/>
    <cellStyle name="스타일 209" xfId="3246"/>
    <cellStyle name="스타일 21" xfId="3247"/>
    <cellStyle name="스타일 210" xfId="3248"/>
    <cellStyle name="스타일 211" xfId="3249"/>
    <cellStyle name="스타일 212" xfId="3250"/>
    <cellStyle name="스타일 213" xfId="3251"/>
    <cellStyle name="스타일 214" xfId="3252"/>
    <cellStyle name="스타일 215" xfId="3253"/>
    <cellStyle name="스타일 216" xfId="3254"/>
    <cellStyle name="스타일 217" xfId="3255"/>
    <cellStyle name="스타일 218" xfId="3256"/>
    <cellStyle name="스타일 219" xfId="3257"/>
    <cellStyle name="스타일 22" xfId="3258"/>
    <cellStyle name="스타일 220" xfId="3259"/>
    <cellStyle name="스타일 221" xfId="3260"/>
    <cellStyle name="스타일 222" xfId="3261"/>
    <cellStyle name="스타일 223" xfId="3262"/>
    <cellStyle name="스타일 224" xfId="3263"/>
    <cellStyle name="스타일 225" xfId="3264"/>
    <cellStyle name="스타일 226" xfId="3265"/>
    <cellStyle name="스타일 227" xfId="3266"/>
    <cellStyle name="스타일 228" xfId="3267"/>
    <cellStyle name="스타일 229" xfId="3268"/>
    <cellStyle name="스타일 23" xfId="3269"/>
    <cellStyle name="스타일 230" xfId="3270"/>
    <cellStyle name="스타일 231" xfId="3271"/>
    <cellStyle name="스타일 232" xfId="3272"/>
    <cellStyle name="스타일 233" xfId="3273"/>
    <cellStyle name="스타일 234" xfId="3274"/>
    <cellStyle name="스타일 235" xfId="3275"/>
    <cellStyle name="스타일 236" xfId="3276"/>
    <cellStyle name="스타일 237" xfId="3277"/>
    <cellStyle name="스타일 238" xfId="3278"/>
    <cellStyle name="스타일 239" xfId="3279"/>
    <cellStyle name="스타일 24" xfId="3280"/>
    <cellStyle name="스타일 240" xfId="3281"/>
    <cellStyle name="스타일 241" xfId="3282"/>
    <cellStyle name="스타일 242" xfId="3283"/>
    <cellStyle name="스타일 243" xfId="3284"/>
    <cellStyle name="스타일 244" xfId="3285"/>
    <cellStyle name="스타일 245" xfId="3286"/>
    <cellStyle name="스타일 246" xfId="3287"/>
    <cellStyle name="스타일 247" xfId="3288"/>
    <cellStyle name="스타일 248" xfId="3289"/>
    <cellStyle name="스타일 249" xfId="3290"/>
    <cellStyle name="스타일 25" xfId="3291"/>
    <cellStyle name="스타일 250" xfId="3292"/>
    <cellStyle name="스타일 251" xfId="3293"/>
    <cellStyle name="스타일 252" xfId="3294"/>
    <cellStyle name="스타일 253" xfId="3295"/>
    <cellStyle name="스타일 254" xfId="3296"/>
    <cellStyle name="스타일 255" xfId="3297"/>
    <cellStyle name="스타일 256" xfId="3298"/>
    <cellStyle name="스타일 257" xfId="3299"/>
    <cellStyle name="스타일 258" xfId="3300"/>
    <cellStyle name="스타일 259" xfId="3301"/>
    <cellStyle name="스타일 26" xfId="3302"/>
    <cellStyle name="스타일 260" xfId="3303"/>
    <cellStyle name="스타일 261" xfId="3304"/>
    <cellStyle name="스타일 262" xfId="3305"/>
    <cellStyle name="스타일 263" xfId="3306"/>
    <cellStyle name="스타일 264" xfId="3307"/>
    <cellStyle name="스타일 265" xfId="3308"/>
    <cellStyle name="스타일 266" xfId="3309"/>
    <cellStyle name="스타일 267" xfId="3310"/>
    <cellStyle name="스타일 268" xfId="3311"/>
    <cellStyle name="스타일 269" xfId="3312"/>
    <cellStyle name="스타일 27" xfId="3313"/>
    <cellStyle name="스타일 270" xfId="3314"/>
    <cellStyle name="스타일 271" xfId="3315"/>
    <cellStyle name="스타일 272" xfId="3316"/>
    <cellStyle name="스타일 273" xfId="3317"/>
    <cellStyle name="스타일 274" xfId="3318"/>
    <cellStyle name="스타일 275" xfId="3319"/>
    <cellStyle name="스타일 276" xfId="3320"/>
    <cellStyle name="스타일 277" xfId="3321"/>
    <cellStyle name="스타일 278" xfId="3322"/>
    <cellStyle name="스타일 279" xfId="3323"/>
    <cellStyle name="스타일 28" xfId="3324"/>
    <cellStyle name="스타일 280" xfId="3325"/>
    <cellStyle name="스타일 281" xfId="3326"/>
    <cellStyle name="스타일 282" xfId="3327"/>
    <cellStyle name="스타일 283" xfId="3328"/>
    <cellStyle name="스타일 284" xfId="3329"/>
    <cellStyle name="스타일 285" xfId="3330"/>
    <cellStyle name="스타일 286" xfId="3331"/>
    <cellStyle name="스타일 287" xfId="3332"/>
    <cellStyle name="스타일 288" xfId="3333"/>
    <cellStyle name="스타일 289" xfId="3334"/>
    <cellStyle name="스타일 29" xfId="3335"/>
    <cellStyle name="스타일 290" xfId="3336"/>
    <cellStyle name="스타일 291" xfId="3337"/>
    <cellStyle name="스타일 292" xfId="3338"/>
    <cellStyle name="스타일 293" xfId="3339"/>
    <cellStyle name="스타일 294" xfId="3340"/>
    <cellStyle name="스타일 295" xfId="3341"/>
    <cellStyle name="스타일 296" xfId="3342"/>
    <cellStyle name="스타일 297" xfId="3343"/>
    <cellStyle name="스타일 298" xfId="3344"/>
    <cellStyle name="스타일 299" xfId="3345"/>
    <cellStyle name="스타일 3" xfId="3346"/>
    <cellStyle name="스타일 30" xfId="3347"/>
    <cellStyle name="스타일 300" xfId="3348"/>
    <cellStyle name="스타일 301" xfId="3349"/>
    <cellStyle name="스타일 302" xfId="3350"/>
    <cellStyle name="스타일 303" xfId="3351"/>
    <cellStyle name="스타일 304" xfId="3352"/>
    <cellStyle name="스타일 305" xfId="3353"/>
    <cellStyle name="스타일 306" xfId="3354"/>
    <cellStyle name="스타일 307" xfId="3355"/>
    <cellStyle name="스타일 308" xfId="3356"/>
    <cellStyle name="스타일 309" xfId="3357"/>
    <cellStyle name="스타일 31" xfId="3358"/>
    <cellStyle name="스타일 310" xfId="3359"/>
    <cellStyle name="스타일 311" xfId="3360"/>
    <cellStyle name="스타일 312" xfId="3361"/>
    <cellStyle name="스타일 313" xfId="3362"/>
    <cellStyle name="스타일 314" xfId="3363"/>
    <cellStyle name="스타일 315" xfId="3364"/>
    <cellStyle name="스타일 316" xfId="3365"/>
    <cellStyle name="스타일 317" xfId="3366"/>
    <cellStyle name="스타일 318" xfId="3367"/>
    <cellStyle name="스타일 319" xfId="3368"/>
    <cellStyle name="스타일 32" xfId="3369"/>
    <cellStyle name="스타일 320" xfId="3370"/>
    <cellStyle name="스타일 321" xfId="3371"/>
    <cellStyle name="스타일 322" xfId="3372"/>
    <cellStyle name="스타일 323" xfId="3373"/>
    <cellStyle name="스타일 324" xfId="3374"/>
    <cellStyle name="스타일 325" xfId="3375"/>
    <cellStyle name="스타일 326" xfId="3376"/>
    <cellStyle name="스타일 327" xfId="3377"/>
    <cellStyle name="스타일 328" xfId="3378"/>
    <cellStyle name="스타일 329" xfId="3379"/>
    <cellStyle name="스타일 33" xfId="3380"/>
    <cellStyle name="스타일 330" xfId="3381"/>
    <cellStyle name="스타일 331" xfId="3382"/>
    <cellStyle name="스타일 332" xfId="3383"/>
    <cellStyle name="스타일 333" xfId="3384"/>
    <cellStyle name="스타일 334" xfId="3385"/>
    <cellStyle name="스타일 335" xfId="3386"/>
    <cellStyle name="스타일 336" xfId="3387"/>
    <cellStyle name="스타일 337" xfId="3388"/>
    <cellStyle name="스타일 338" xfId="3389"/>
    <cellStyle name="스타일 339" xfId="3390"/>
    <cellStyle name="스타일 34" xfId="3391"/>
    <cellStyle name="스타일 340" xfId="3392"/>
    <cellStyle name="스타일 341" xfId="3393"/>
    <cellStyle name="스타일 342" xfId="3394"/>
    <cellStyle name="스타일 343" xfId="3395"/>
    <cellStyle name="스타일 344" xfId="3396"/>
    <cellStyle name="스타일 345" xfId="3397"/>
    <cellStyle name="스타일 346" xfId="3398"/>
    <cellStyle name="스타일 347" xfId="3399"/>
    <cellStyle name="스타일 348" xfId="3400"/>
    <cellStyle name="스타일 349" xfId="3401"/>
    <cellStyle name="스타일 35" xfId="3402"/>
    <cellStyle name="스타일 350" xfId="3403"/>
    <cellStyle name="스타일 351" xfId="3404"/>
    <cellStyle name="스타일 352" xfId="3405"/>
    <cellStyle name="스타일 353" xfId="3406"/>
    <cellStyle name="스타일 354" xfId="3407"/>
    <cellStyle name="스타일 355" xfId="3408"/>
    <cellStyle name="스타일 356" xfId="3409"/>
    <cellStyle name="스타일 357" xfId="3410"/>
    <cellStyle name="스타일 358" xfId="3411"/>
    <cellStyle name="스타일 359" xfId="3412"/>
    <cellStyle name="스타일 36" xfId="3413"/>
    <cellStyle name="스타일 360" xfId="3414"/>
    <cellStyle name="스타일 361" xfId="3415"/>
    <cellStyle name="스타일 362" xfId="3416"/>
    <cellStyle name="스타일 363" xfId="3417"/>
    <cellStyle name="스타일 364" xfId="3418"/>
    <cellStyle name="스타일 365" xfId="3419"/>
    <cellStyle name="스타일 366" xfId="3420"/>
    <cellStyle name="스타일 367" xfId="3421"/>
    <cellStyle name="스타일 368" xfId="3422"/>
    <cellStyle name="스타일 369" xfId="3423"/>
    <cellStyle name="스타일 37" xfId="3424"/>
    <cellStyle name="스타일 370" xfId="3425"/>
    <cellStyle name="스타일 371" xfId="3426"/>
    <cellStyle name="스타일 372" xfId="3427"/>
    <cellStyle name="스타일 373" xfId="3428"/>
    <cellStyle name="스타일 374" xfId="3429"/>
    <cellStyle name="스타일 375" xfId="3430"/>
    <cellStyle name="스타일 376" xfId="3431"/>
    <cellStyle name="스타일 377" xfId="3432"/>
    <cellStyle name="스타일 378" xfId="3433"/>
    <cellStyle name="스타일 379" xfId="3434"/>
    <cellStyle name="스타일 38" xfId="3435"/>
    <cellStyle name="스타일 380" xfId="3436"/>
    <cellStyle name="스타일 381" xfId="3437"/>
    <cellStyle name="스타일 382" xfId="3438"/>
    <cellStyle name="스타일 383" xfId="3439"/>
    <cellStyle name="스타일 384" xfId="3440"/>
    <cellStyle name="스타일 385" xfId="3441"/>
    <cellStyle name="스타일 386" xfId="3442"/>
    <cellStyle name="스타일 387" xfId="3443"/>
    <cellStyle name="스타일 388" xfId="3444"/>
    <cellStyle name="스타일 389" xfId="3445"/>
    <cellStyle name="스타일 39" xfId="3446"/>
    <cellStyle name="스타일 390" xfId="3447"/>
    <cellStyle name="스타일 391" xfId="3448"/>
    <cellStyle name="스타일 392" xfId="3449"/>
    <cellStyle name="스타일 393" xfId="3450"/>
    <cellStyle name="스타일 394" xfId="3451"/>
    <cellStyle name="스타일 395" xfId="3452"/>
    <cellStyle name="스타일 396" xfId="3453"/>
    <cellStyle name="스타일 397" xfId="3454"/>
    <cellStyle name="스타일 398" xfId="3455"/>
    <cellStyle name="스타일 399" xfId="3456"/>
    <cellStyle name="스타일 4" xfId="3457"/>
    <cellStyle name="스타일 40" xfId="3458"/>
    <cellStyle name="스타일 400" xfId="3459"/>
    <cellStyle name="스타일 401" xfId="3460"/>
    <cellStyle name="스타일 402" xfId="3461"/>
    <cellStyle name="스타일 403" xfId="3462"/>
    <cellStyle name="스타일 404" xfId="3463"/>
    <cellStyle name="스타일 405" xfId="3464"/>
    <cellStyle name="스타일 406" xfId="3465"/>
    <cellStyle name="스타일 407" xfId="3466"/>
    <cellStyle name="스타일 408" xfId="3467"/>
    <cellStyle name="스타일 409" xfId="3468"/>
    <cellStyle name="스타일 41" xfId="3469"/>
    <cellStyle name="스타일 410" xfId="3470"/>
    <cellStyle name="스타일 411" xfId="3471"/>
    <cellStyle name="스타일 412" xfId="3472"/>
    <cellStyle name="스타일 413" xfId="3473"/>
    <cellStyle name="스타일 414" xfId="3474"/>
    <cellStyle name="스타일 415" xfId="3475"/>
    <cellStyle name="스타일 416" xfId="3476"/>
    <cellStyle name="스타일 417" xfId="3477"/>
    <cellStyle name="스타일 418" xfId="3478"/>
    <cellStyle name="스타일 419" xfId="3479"/>
    <cellStyle name="스타일 42" xfId="3480"/>
    <cellStyle name="스타일 420" xfId="3481"/>
    <cellStyle name="스타일 421" xfId="3482"/>
    <cellStyle name="스타일 422" xfId="3483"/>
    <cellStyle name="스타일 423" xfId="3484"/>
    <cellStyle name="스타일 424" xfId="3485"/>
    <cellStyle name="스타일 425" xfId="3486"/>
    <cellStyle name="스타일 426" xfId="3487"/>
    <cellStyle name="스타일 427" xfId="3488"/>
    <cellStyle name="스타일 428" xfId="3489"/>
    <cellStyle name="스타일 429" xfId="3490"/>
    <cellStyle name="스타일 43" xfId="3491"/>
    <cellStyle name="스타일 430" xfId="3492"/>
    <cellStyle name="스타일 431" xfId="3493"/>
    <cellStyle name="스타일 432" xfId="3494"/>
    <cellStyle name="스타일 433" xfId="3495"/>
    <cellStyle name="스타일 434" xfId="3496"/>
    <cellStyle name="스타일 435" xfId="3497"/>
    <cellStyle name="스타일 436" xfId="3498"/>
    <cellStyle name="스타일 437" xfId="3499"/>
    <cellStyle name="스타일 438" xfId="3500"/>
    <cellStyle name="스타일 439" xfId="3501"/>
    <cellStyle name="스타일 44" xfId="3502"/>
    <cellStyle name="스타일 440" xfId="3503"/>
    <cellStyle name="스타일 441" xfId="3504"/>
    <cellStyle name="스타일 442" xfId="3505"/>
    <cellStyle name="스타일 443" xfId="3506"/>
    <cellStyle name="스타일 444" xfId="3507"/>
    <cellStyle name="스타일 445" xfId="3508"/>
    <cellStyle name="스타일 446" xfId="3509"/>
    <cellStyle name="스타일 447" xfId="3510"/>
    <cellStyle name="스타일 448" xfId="3511"/>
    <cellStyle name="스타일 449" xfId="3512"/>
    <cellStyle name="스타일 45" xfId="3513"/>
    <cellStyle name="스타일 450" xfId="3514"/>
    <cellStyle name="스타일 451" xfId="3515"/>
    <cellStyle name="스타일 452" xfId="3516"/>
    <cellStyle name="스타일 453" xfId="3517"/>
    <cellStyle name="스타일 454" xfId="3518"/>
    <cellStyle name="스타일 455" xfId="3519"/>
    <cellStyle name="스타일 456" xfId="3520"/>
    <cellStyle name="스타일 457" xfId="3521"/>
    <cellStyle name="스타일 458" xfId="3522"/>
    <cellStyle name="스타일 459" xfId="3523"/>
    <cellStyle name="스타일 46" xfId="3524"/>
    <cellStyle name="스타일 460" xfId="3525"/>
    <cellStyle name="스타일 461" xfId="3526"/>
    <cellStyle name="스타일 462" xfId="3527"/>
    <cellStyle name="스타일 463" xfId="3528"/>
    <cellStyle name="스타일 464" xfId="3529"/>
    <cellStyle name="스타일 465" xfId="3530"/>
    <cellStyle name="스타일 466" xfId="3531"/>
    <cellStyle name="스타일 467" xfId="3532"/>
    <cellStyle name="스타일 468" xfId="3533"/>
    <cellStyle name="스타일 469" xfId="3534"/>
    <cellStyle name="스타일 47" xfId="3535"/>
    <cellStyle name="스타일 470" xfId="3536"/>
    <cellStyle name="스타일 471" xfId="3537"/>
    <cellStyle name="스타일 472" xfId="3538"/>
    <cellStyle name="스타일 473" xfId="3539"/>
    <cellStyle name="스타일 474" xfId="3540"/>
    <cellStyle name="스타일 475" xfId="3541"/>
    <cellStyle name="스타일 476" xfId="3542"/>
    <cellStyle name="스타일 477" xfId="3543"/>
    <cellStyle name="스타일 478" xfId="3544"/>
    <cellStyle name="스타일 479" xfId="3545"/>
    <cellStyle name="스타일 48" xfId="3546"/>
    <cellStyle name="스타일 480" xfId="3547"/>
    <cellStyle name="스타일 481" xfId="3548"/>
    <cellStyle name="스타일 482" xfId="3549"/>
    <cellStyle name="스타일 483" xfId="3550"/>
    <cellStyle name="스타일 484" xfId="3551"/>
    <cellStyle name="스타일 485" xfId="3552"/>
    <cellStyle name="스타일 486" xfId="3553"/>
    <cellStyle name="스타일 487" xfId="3554"/>
    <cellStyle name="스타일 488" xfId="3555"/>
    <cellStyle name="스타일 489" xfId="3556"/>
    <cellStyle name="스타일 49" xfId="3557"/>
    <cellStyle name="스타일 490" xfId="3558"/>
    <cellStyle name="스타일 491" xfId="3559"/>
    <cellStyle name="스타일 492" xfId="3560"/>
    <cellStyle name="스타일 493" xfId="3561"/>
    <cellStyle name="스타일 494" xfId="3562"/>
    <cellStyle name="스타일 495" xfId="3563"/>
    <cellStyle name="스타일 496" xfId="3564"/>
    <cellStyle name="스타일 497" xfId="3565"/>
    <cellStyle name="스타일 498" xfId="3566"/>
    <cellStyle name="스타일 499" xfId="3567"/>
    <cellStyle name="스타일 5" xfId="3568"/>
    <cellStyle name="스타일 50" xfId="3569"/>
    <cellStyle name="스타일 500" xfId="3570"/>
    <cellStyle name="스타일 501" xfId="3571"/>
    <cellStyle name="스타일 502" xfId="3572"/>
    <cellStyle name="스타일 503" xfId="3573"/>
    <cellStyle name="스타일 504" xfId="3574"/>
    <cellStyle name="스타일 505" xfId="3575"/>
    <cellStyle name="스타일 506" xfId="3576"/>
    <cellStyle name="스타일 507" xfId="3577"/>
    <cellStyle name="스타일 508" xfId="3578"/>
    <cellStyle name="스타일 509" xfId="3579"/>
    <cellStyle name="스타일 51" xfId="3580"/>
    <cellStyle name="스타일 510" xfId="3581"/>
    <cellStyle name="스타일 511" xfId="3582"/>
    <cellStyle name="스타일 512" xfId="3583"/>
    <cellStyle name="스타일 513" xfId="3584"/>
    <cellStyle name="스타일 514" xfId="3585"/>
    <cellStyle name="스타일 515" xfId="3586"/>
    <cellStyle name="스타일 516" xfId="3587"/>
    <cellStyle name="스타일 517" xfId="3588"/>
    <cellStyle name="스타일 518" xfId="3589"/>
    <cellStyle name="스타일 519" xfId="3590"/>
    <cellStyle name="스타일 52" xfId="3591"/>
    <cellStyle name="스타일 520" xfId="3592"/>
    <cellStyle name="스타일 521" xfId="3593"/>
    <cellStyle name="스타일 522" xfId="3594"/>
    <cellStyle name="스타일 523" xfId="3595"/>
    <cellStyle name="스타일 524" xfId="3596"/>
    <cellStyle name="스타일 525" xfId="3597"/>
    <cellStyle name="스타일 526" xfId="3598"/>
    <cellStyle name="스타일 527" xfId="3599"/>
    <cellStyle name="스타일 528" xfId="3600"/>
    <cellStyle name="스타일 529" xfId="3601"/>
    <cellStyle name="스타일 53" xfId="3602"/>
    <cellStyle name="스타일 530" xfId="3603"/>
    <cellStyle name="스타일 531" xfId="3604"/>
    <cellStyle name="스타일 532" xfId="3605"/>
    <cellStyle name="스타일 533" xfId="3606"/>
    <cellStyle name="스타일 534" xfId="3607"/>
    <cellStyle name="스타일 535" xfId="3608"/>
    <cellStyle name="스타일 536" xfId="3609"/>
    <cellStyle name="스타일 537" xfId="3610"/>
    <cellStyle name="스타일 538" xfId="3611"/>
    <cellStyle name="스타일 539" xfId="3612"/>
    <cellStyle name="스타일 54" xfId="3613"/>
    <cellStyle name="스타일 540" xfId="3614"/>
    <cellStyle name="스타일 541" xfId="3615"/>
    <cellStyle name="스타일 542" xfId="3616"/>
    <cellStyle name="스타일 543" xfId="3617"/>
    <cellStyle name="스타일 544" xfId="3618"/>
    <cellStyle name="스타일 545" xfId="3619"/>
    <cellStyle name="스타일 546" xfId="3620"/>
    <cellStyle name="스타일 547" xfId="3621"/>
    <cellStyle name="스타일 548" xfId="3622"/>
    <cellStyle name="스타일 549" xfId="3623"/>
    <cellStyle name="스타일 55" xfId="3624"/>
    <cellStyle name="스타일 550" xfId="3625"/>
    <cellStyle name="스타일 551" xfId="3626"/>
    <cellStyle name="스타일 552" xfId="3627"/>
    <cellStyle name="스타일 553" xfId="3628"/>
    <cellStyle name="스타일 554" xfId="3629"/>
    <cellStyle name="스타일 555" xfId="3630"/>
    <cellStyle name="스타일 556" xfId="3631"/>
    <cellStyle name="스타일 557" xfId="3632"/>
    <cellStyle name="스타일 558" xfId="3633"/>
    <cellStyle name="스타일 559" xfId="3634"/>
    <cellStyle name="스타일 56" xfId="3635"/>
    <cellStyle name="스타일 560" xfId="3636"/>
    <cellStyle name="스타일 561" xfId="3637"/>
    <cellStyle name="스타일 562" xfId="3638"/>
    <cellStyle name="스타일 563" xfId="3639"/>
    <cellStyle name="스타일 564" xfId="3640"/>
    <cellStyle name="스타일 565" xfId="3641"/>
    <cellStyle name="스타일 566" xfId="3642"/>
    <cellStyle name="스타일 567" xfId="3643"/>
    <cellStyle name="스타일 568" xfId="3644"/>
    <cellStyle name="스타일 569" xfId="3645"/>
    <cellStyle name="스타일 57" xfId="3646"/>
    <cellStyle name="스타일 570" xfId="3647"/>
    <cellStyle name="스타일 571" xfId="3648"/>
    <cellStyle name="스타일 572" xfId="3649"/>
    <cellStyle name="스타일 573" xfId="3650"/>
    <cellStyle name="스타일 574" xfId="3651"/>
    <cellStyle name="스타일 575" xfId="3652"/>
    <cellStyle name="스타일 576" xfId="3653"/>
    <cellStyle name="스타일 577" xfId="3654"/>
    <cellStyle name="스타일 578" xfId="3655"/>
    <cellStyle name="스타일 579" xfId="3656"/>
    <cellStyle name="스타일 58" xfId="3657"/>
    <cellStyle name="스타일 580" xfId="3658"/>
    <cellStyle name="스타일 581" xfId="3659"/>
    <cellStyle name="스타일 582" xfId="3660"/>
    <cellStyle name="스타일 583" xfId="3661"/>
    <cellStyle name="스타일 584" xfId="3662"/>
    <cellStyle name="스타일 585" xfId="3663"/>
    <cellStyle name="스타일 586" xfId="3664"/>
    <cellStyle name="스타일 587" xfId="3665"/>
    <cellStyle name="스타일 588" xfId="3666"/>
    <cellStyle name="스타일 589" xfId="3667"/>
    <cellStyle name="스타일 59" xfId="3668"/>
    <cellStyle name="스타일 590" xfId="3669"/>
    <cellStyle name="스타일 591" xfId="3670"/>
    <cellStyle name="스타일 592" xfId="3671"/>
    <cellStyle name="스타일 593" xfId="3672"/>
    <cellStyle name="스타일 594" xfId="3673"/>
    <cellStyle name="스타일 595" xfId="3674"/>
    <cellStyle name="스타일 596" xfId="3675"/>
    <cellStyle name="스타일 597" xfId="3676"/>
    <cellStyle name="스타일 598" xfId="3677"/>
    <cellStyle name="스타일 599" xfId="3678"/>
    <cellStyle name="스타일 6" xfId="3679"/>
    <cellStyle name="스타일 60" xfId="3680"/>
    <cellStyle name="스타일 600" xfId="3681"/>
    <cellStyle name="스타일 601" xfId="3682"/>
    <cellStyle name="스타일 602" xfId="3683"/>
    <cellStyle name="스타일 603" xfId="3684"/>
    <cellStyle name="스타일 604" xfId="3685"/>
    <cellStyle name="스타일 605" xfId="3686"/>
    <cellStyle name="스타일 606" xfId="3687"/>
    <cellStyle name="스타일 607" xfId="3688"/>
    <cellStyle name="스타일 608" xfId="3689"/>
    <cellStyle name="스타일 609" xfId="3690"/>
    <cellStyle name="스타일 61" xfId="3691"/>
    <cellStyle name="스타일 610" xfId="3692"/>
    <cellStyle name="스타일 611" xfId="3693"/>
    <cellStyle name="스타일 612" xfId="3694"/>
    <cellStyle name="스타일 613" xfId="3695"/>
    <cellStyle name="스타일 614" xfId="3696"/>
    <cellStyle name="스타일 615" xfId="3697"/>
    <cellStyle name="스타일 616" xfId="3698"/>
    <cellStyle name="스타일 617" xfId="3699"/>
    <cellStyle name="스타일 618" xfId="3700"/>
    <cellStyle name="스타일 619" xfId="3701"/>
    <cellStyle name="스타일 62" xfId="3702"/>
    <cellStyle name="스타일 620" xfId="3703"/>
    <cellStyle name="스타일 621" xfId="3704"/>
    <cellStyle name="스타일 622" xfId="3705"/>
    <cellStyle name="스타일 623" xfId="3706"/>
    <cellStyle name="스타일 624" xfId="3707"/>
    <cellStyle name="스타일 625" xfId="3708"/>
    <cellStyle name="스타일 626" xfId="3709"/>
    <cellStyle name="스타일 627" xfId="3710"/>
    <cellStyle name="스타일 628" xfId="3711"/>
    <cellStyle name="스타일 629" xfId="3712"/>
    <cellStyle name="스타일 63" xfId="3713"/>
    <cellStyle name="스타일 630" xfId="3714"/>
    <cellStyle name="스타일 631" xfId="3715"/>
    <cellStyle name="스타일 632" xfId="3716"/>
    <cellStyle name="스타일 633" xfId="3717"/>
    <cellStyle name="스타일 634" xfId="3718"/>
    <cellStyle name="스타일 635" xfId="3719"/>
    <cellStyle name="스타일 636" xfId="3720"/>
    <cellStyle name="스타일 637" xfId="3721"/>
    <cellStyle name="스타일 638" xfId="3722"/>
    <cellStyle name="스타일 639" xfId="3723"/>
    <cellStyle name="스타일 64" xfId="3724"/>
    <cellStyle name="스타일 640" xfId="3725"/>
    <cellStyle name="스타일 641" xfId="3726"/>
    <cellStyle name="스타일 642" xfId="3727"/>
    <cellStyle name="스타일 643" xfId="3728"/>
    <cellStyle name="스타일 644" xfId="3729"/>
    <cellStyle name="스타일 645" xfId="3730"/>
    <cellStyle name="스타일 646" xfId="3731"/>
    <cellStyle name="스타일 647" xfId="3732"/>
    <cellStyle name="스타일 648" xfId="3733"/>
    <cellStyle name="스타일 649" xfId="3734"/>
    <cellStyle name="스타일 65" xfId="3735"/>
    <cellStyle name="스타일 650" xfId="3736"/>
    <cellStyle name="스타일 651" xfId="3737"/>
    <cellStyle name="스타일 652" xfId="3738"/>
    <cellStyle name="스타일 653" xfId="3739"/>
    <cellStyle name="스타일 654" xfId="3740"/>
    <cellStyle name="스타일 655" xfId="3741"/>
    <cellStyle name="스타일 656" xfId="3742"/>
    <cellStyle name="스타일 657" xfId="3743"/>
    <cellStyle name="스타일 658" xfId="3744"/>
    <cellStyle name="스타일 659" xfId="3745"/>
    <cellStyle name="스타일 66" xfId="3746"/>
    <cellStyle name="스타일 660" xfId="3747"/>
    <cellStyle name="스타일 661" xfId="3748"/>
    <cellStyle name="스타일 662" xfId="3749"/>
    <cellStyle name="스타일 663" xfId="3750"/>
    <cellStyle name="스타일 664" xfId="3751"/>
    <cellStyle name="스타일 665" xfId="3752"/>
    <cellStyle name="스타일 666" xfId="3753"/>
    <cellStyle name="스타일 667" xfId="3754"/>
    <cellStyle name="스타일 668" xfId="3755"/>
    <cellStyle name="스타일 669" xfId="3756"/>
    <cellStyle name="스타일 67" xfId="3757"/>
    <cellStyle name="스타일 670" xfId="3758"/>
    <cellStyle name="스타일 671" xfId="3759"/>
    <cellStyle name="스타일 672" xfId="3760"/>
    <cellStyle name="스타일 673" xfId="3761"/>
    <cellStyle name="스타일 674" xfId="3762"/>
    <cellStyle name="스타일 675" xfId="3763"/>
    <cellStyle name="스타일 676" xfId="3764"/>
    <cellStyle name="스타일 677" xfId="3765"/>
    <cellStyle name="스타일 678" xfId="3766"/>
    <cellStyle name="스타일 679" xfId="3767"/>
    <cellStyle name="스타일 68" xfId="3768"/>
    <cellStyle name="스타일 680" xfId="3769"/>
    <cellStyle name="스타일 681" xfId="3770"/>
    <cellStyle name="스타일 682" xfId="3771"/>
    <cellStyle name="스타일 683" xfId="3772"/>
    <cellStyle name="스타일 684" xfId="3773"/>
    <cellStyle name="스타일 685" xfId="3774"/>
    <cellStyle name="스타일 686" xfId="3775"/>
    <cellStyle name="스타일 687" xfId="3776"/>
    <cellStyle name="스타일 688" xfId="3777"/>
    <cellStyle name="스타일 689" xfId="3778"/>
    <cellStyle name="스타일 69" xfId="3779"/>
    <cellStyle name="스타일 690" xfId="3780"/>
    <cellStyle name="스타일 691" xfId="3781"/>
    <cellStyle name="스타일 692" xfId="3782"/>
    <cellStyle name="스타일 693" xfId="3783"/>
    <cellStyle name="스타일 694" xfId="3784"/>
    <cellStyle name="스타일 695" xfId="3785"/>
    <cellStyle name="스타일 696" xfId="3786"/>
    <cellStyle name="스타일 697" xfId="3787"/>
    <cellStyle name="스타일 698" xfId="3788"/>
    <cellStyle name="스타일 699" xfId="3789"/>
    <cellStyle name="스타일 7" xfId="3790"/>
    <cellStyle name="스타일 70" xfId="3791"/>
    <cellStyle name="스타일 700" xfId="3792"/>
    <cellStyle name="스타일 701" xfId="3793"/>
    <cellStyle name="스타일 702" xfId="3794"/>
    <cellStyle name="스타일 703" xfId="3795"/>
    <cellStyle name="스타일 704" xfId="3796"/>
    <cellStyle name="스타일 705" xfId="3797"/>
    <cellStyle name="스타일 706" xfId="3798"/>
    <cellStyle name="스타일 707" xfId="3799"/>
    <cellStyle name="스타일 708" xfId="3800"/>
    <cellStyle name="스타일 709" xfId="3801"/>
    <cellStyle name="스타일 71" xfId="3802"/>
    <cellStyle name="스타일 710" xfId="3803"/>
    <cellStyle name="스타일 711" xfId="3804"/>
    <cellStyle name="스타일 712" xfId="3805"/>
    <cellStyle name="스타일 713" xfId="3806"/>
    <cellStyle name="스타일 714" xfId="3807"/>
    <cellStyle name="스타일 715" xfId="3808"/>
    <cellStyle name="스타일 716" xfId="3809"/>
    <cellStyle name="스타일 717" xfId="3810"/>
    <cellStyle name="스타일 718" xfId="3811"/>
    <cellStyle name="스타일 719" xfId="3812"/>
    <cellStyle name="스타일 72" xfId="3813"/>
    <cellStyle name="스타일 720" xfId="3814"/>
    <cellStyle name="스타일 721" xfId="3815"/>
    <cellStyle name="스타일 722" xfId="3816"/>
    <cellStyle name="스타일 723" xfId="3817"/>
    <cellStyle name="스타일 724" xfId="3818"/>
    <cellStyle name="스타일 725" xfId="3819"/>
    <cellStyle name="스타일 726" xfId="3820"/>
    <cellStyle name="스타일 727" xfId="3821"/>
    <cellStyle name="스타일 728" xfId="3822"/>
    <cellStyle name="스타일 729" xfId="3823"/>
    <cellStyle name="스타일 73" xfId="3824"/>
    <cellStyle name="스타일 730" xfId="3825"/>
    <cellStyle name="스타일 731" xfId="3826"/>
    <cellStyle name="스타일 732" xfId="3827"/>
    <cellStyle name="스타일 733" xfId="3828"/>
    <cellStyle name="스타일 734" xfId="3829"/>
    <cellStyle name="스타일 735" xfId="3830"/>
    <cellStyle name="스타일 736" xfId="3831"/>
    <cellStyle name="스타일 737" xfId="3832"/>
    <cellStyle name="스타일 738" xfId="3833"/>
    <cellStyle name="스타일 739" xfId="3834"/>
    <cellStyle name="스타일 74" xfId="3835"/>
    <cellStyle name="스타일 740" xfId="3836"/>
    <cellStyle name="스타일 741" xfId="3837"/>
    <cellStyle name="스타일 742" xfId="3838"/>
    <cellStyle name="스타일 743" xfId="3839"/>
    <cellStyle name="스타일 744" xfId="3840"/>
    <cellStyle name="스타일 745" xfId="3841"/>
    <cellStyle name="스타일 746" xfId="3842"/>
    <cellStyle name="스타일 747" xfId="3843"/>
    <cellStyle name="스타일 748" xfId="3844"/>
    <cellStyle name="스타일 749" xfId="3845"/>
    <cellStyle name="스타일 75" xfId="3846"/>
    <cellStyle name="스타일 750" xfId="3847"/>
    <cellStyle name="스타일 751" xfId="3848"/>
    <cellStyle name="스타일 752" xfId="3849"/>
    <cellStyle name="스타일 753" xfId="3850"/>
    <cellStyle name="스타일 754" xfId="3851"/>
    <cellStyle name="스타일 755" xfId="3852"/>
    <cellStyle name="스타일 756" xfId="3853"/>
    <cellStyle name="스타일 757" xfId="3854"/>
    <cellStyle name="스타일 758" xfId="3855"/>
    <cellStyle name="스타일 759" xfId="3856"/>
    <cellStyle name="스타일 76" xfId="3857"/>
    <cellStyle name="스타일 760" xfId="3858"/>
    <cellStyle name="스타일 761" xfId="3859"/>
    <cellStyle name="스타일 762" xfId="3860"/>
    <cellStyle name="스타일 763" xfId="3861"/>
    <cellStyle name="스타일 764" xfId="3862"/>
    <cellStyle name="스타일 765" xfId="3863"/>
    <cellStyle name="스타일 766" xfId="3864"/>
    <cellStyle name="스타일 767" xfId="3865"/>
    <cellStyle name="스타일 768" xfId="3866"/>
    <cellStyle name="스타일 769" xfId="3867"/>
    <cellStyle name="스타일 77" xfId="3868"/>
    <cellStyle name="스타일 770" xfId="3869"/>
    <cellStyle name="스타일 771" xfId="3870"/>
    <cellStyle name="스타일 772" xfId="3871"/>
    <cellStyle name="스타일 773" xfId="3872"/>
    <cellStyle name="스타일 774" xfId="3873"/>
    <cellStyle name="스타일 775" xfId="3874"/>
    <cellStyle name="스타일 776" xfId="3875"/>
    <cellStyle name="스타일 777" xfId="3876"/>
    <cellStyle name="스타일 778" xfId="3877"/>
    <cellStyle name="스타일 779" xfId="3878"/>
    <cellStyle name="스타일 78" xfId="3879"/>
    <cellStyle name="스타일 780" xfId="3880"/>
    <cellStyle name="스타일 781" xfId="3881"/>
    <cellStyle name="스타일 782" xfId="3882"/>
    <cellStyle name="스타일 783" xfId="3883"/>
    <cellStyle name="스타일 784" xfId="3884"/>
    <cellStyle name="스타일 785" xfId="3885"/>
    <cellStyle name="스타일 786" xfId="3886"/>
    <cellStyle name="스타일 787" xfId="3887"/>
    <cellStyle name="스타일 788" xfId="3888"/>
    <cellStyle name="스타일 789" xfId="3889"/>
    <cellStyle name="스타일 79" xfId="3890"/>
    <cellStyle name="스타일 790" xfId="3891"/>
    <cellStyle name="스타일 791" xfId="3892"/>
    <cellStyle name="스타일 792" xfId="3893"/>
    <cellStyle name="스타일 793" xfId="3894"/>
    <cellStyle name="스타일 794" xfId="3895"/>
    <cellStyle name="스타일 795" xfId="3896"/>
    <cellStyle name="스타일 796" xfId="3897"/>
    <cellStyle name="스타일 797" xfId="3898"/>
    <cellStyle name="스타일 798" xfId="3899"/>
    <cellStyle name="스타일 799" xfId="3900"/>
    <cellStyle name="스타일 8" xfId="3901"/>
    <cellStyle name="스타일 80" xfId="3902"/>
    <cellStyle name="스타일 800" xfId="3903"/>
    <cellStyle name="스타일 801" xfId="3904"/>
    <cellStyle name="스타일 802" xfId="3905"/>
    <cellStyle name="스타일 803" xfId="3906"/>
    <cellStyle name="스타일 804" xfId="3907"/>
    <cellStyle name="스타일 805" xfId="3908"/>
    <cellStyle name="스타일 806" xfId="3909"/>
    <cellStyle name="스타일 807" xfId="3910"/>
    <cellStyle name="스타일 808" xfId="3911"/>
    <cellStyle name="스타일 809" xfId="3912"/>
    <cellStyle name="스타일 81" xfId="3913"/>
    <cellStyle name="스타일 810" xfId="3914"/>
    <cellStyle name="스타일 811" xfId="3915"/>
    <cellStyle name="스타일 812" xfId="3916"/>
    <cellStyle name="스타일 813" xfId="3917"/>
    <cellStyle name="스타일 814" xfId="3918"/>
    <cellStyle name="스타일 815" xfId="3919"/>
    <cellStyle name="스타일 816" xfId="3920"/>
    <cellStyle name="스타일 817" xfId="3921"/>
    <cellStyle name="스타일 818" xfId="3922"/>
    <cellStyle name="스타일 819" xfId="3923"/>
    <cellStyle name="스타일 82" xfId="3924"/>
    <cellStyle name="스타일 820" xfId="3925"/>
    <cellStyle name="스타일 821" xfId="3926"/>
    <cellStyle name="스타일 822" xfId="3927"/>
    <cellStyle name="스타일 823" xfId="3928"/>
    <cellStyle name="스타일 824" xfId="3929"/>
    <cellStyle name="스타일 825" xfId="3930"/>
    <cellStyle name="스타일 826" xfId="3931"/>
    <cellStyle name="스타일 827" xfId="3932"/>
    <cellStyle name="스타일 828" xfId="3933"/>
    <cellStyle name="스타일 829" xfId="3934"/>
    <cellStyle name="스타일 83" xfId="3935"/>
    <cellStyle name="스타일 830" xfId="3936"/>
    <cellStyle name="스타일 831" xfId="3937"/>
    <cellStyle name="스타일 832" xfId="3938"/>
    <cellStyle name="스타일 833" xfId="3939"/>
    <cellStyle name="스타일 834" xfId="3940"/>
    <cellStyle name="스타일 835" xfId="3941"/>
    <cellStyle name="스타일 836" xfId="3942"/>
    <cellStyle name="스타일 837" xfId="3943"/>
    <cellStyle name="스타일 838" xfId="3944"/>
    <cellStyle name="스타일 839" xfId="3945"/>
    <cellStyle name="스타일 84" xfId="3946"/>
    <cellStyle name="스타일 840" xfId="3947"/>
    <cellStyle name="스타일 841" xfId="3948"/>
    <cellStyle name="스타일 842" xfId="3949"/>
    <cellStyle name="스타일 843" xfId="3950"/>
    <cellStyle name="스타일 844" xfId="3951"/>
    <cellStyle name="스타일 845" xfId="3952"/>
    <cellStyle name="스타일 846" xfId="3953"/>
    <cellStyle name="스타일 847" xfId="3954"/>
    <cellStyle name="스타일 848" xfId="3955"/>
    <cellStyle name="스타일 849" xfId="3956"/>
    <cellStyle name="스타일 85" xfId="3957"/>
    <cellStyle name="스타일 850" xfId="3958"/>
    <cellStyle name="스타일 851" xfId="3959"/>
    <cellStyle name="스타일 852" xfId="3960"/>
    <cellStyle name="스타일 853" xfId="3961"/>
    <cellStyle name="스타일 854" xfId="3962"/>
    <cellStyle name="스타일 855" xfId="3963"/>
    <cellStyle name="스타일 856" xfId="3964"/>
    <cellStyle name="스타일 857" xfId="3965"/>
    <cellStyle name="스타일 858" xfId="3966"/>
    <cellStyle name="스타일 859" xfId="3967"/>
    <cellStyle name="스타일 86" xfId="3968"/>
    <cellStyle name="스타일 860" xfId="3969"/>
    <cellStyle name="스타일 861" xfId="3970"/>
    <cellStyle name="스타일 862" xfId="3971"/>
    <cellStyle name="스타일 863" xfId="3972"/>
    <cellStyle name="스타일 864" xfId="3973"/>
    <cellStyle name="스타일 865" xfId="3974"/>
    <cellStyle name="스타일 866" xfId="3975"/>
    <cellStyle name="스타일 867" xfId="3976"/>
    <cellStyle name="스타일 868" xfId="3977"/>
    <cellStyle name="스타일 869" xfId="3978"/>
    <cellStyle name="스타일 87" xfId="3979"/>
    <cellStyle name="스타일 870" xfId="3980"/>
    <cellStyle name="스타일 871" xfId="3981"/>
    <cellStyle name="스타일 872" xfId="3982"/>
    <cellStyle name="스타일 873" xfId="3983"/>
    <cellStyle name="스타일 874" xfId="3984"/>
    <cellStyle name="스타일 875" xfId="3985"/>
    <cellStyle name="스타일 876" xfId="3986"/>
    <cellStyle name="스타일 877" xfId="3987"/>
    <cellStyle name="스타일 878" xfId="3988"/>
    <cellStyle name="스타일 879" xfId="3989"/>
    <cellStyle name="스타일 88" xfId="3990"/>
    <cellStyle name="스타일 880" xfId="3991"/>
    <cellStyle name="스타일 89" xfId="3992"/>
    <cellStyle name="스타일 9" xfId="3993"/>
    <cellStyle name="스타일 90" xfId="3994"/>
    <cellStyle name="스타일 91" xfId="3995"/>
    <cellStyle name="스타일 92" xfId="3996"/>
    <cellStyle name="스타일 93" xfId="3997"/>
    <cellStyle name="스타일 94" xfId="3998"/>
    <cellStyle name="스타일 95" xfId="3999"/>
    <cellStyle name="스타일 96" xfId="4000"/>
    <cellStyle name="스타일 97" xfId="4001"/>
    <cellStyle name="스타일 98" xfId="4002"/>
    <cellStyle name="스타일 99" xfId="4003"/>
    <cellStyle name="悪い" xfId="4004"/>
    <cellStyle name="안건회계법인" xfId="4005"/>
    <cellStyle name="연결된 셀 10" xfId="4006"/>
    <cellStyle name="연결된 셀 11" xfId="4007"/>
    <cellStyle name="연결된 셀 12" xfId="4008"/>
    <cellStyle name="연결된 셀 13" xfId="4009"/>
    <cellStyle name="연결된 셀 14" xfId="4010"/>
    <cellStyle name="연결된 셀 15" xfId="4011"/>
    <cellStyle name="연결된 셀 16" xfId="4012"/>
    <cellStyle name="연결된 셀 17" xfId="4013"/>
    <cellStyle name="연결된 셀 18" xfId="4014"/>
    <cellStyle name="연결된 셀 19" xfId="4015"/>
    <cellStyle name="연결된 셀 2" xfId="4016"/>
    <cellStyle name="연결된 셀 2 2" xfId="4017"/>
    <cellStyle name="연결된 셀 2 2 2" xfId="4018"/>
    <cellStyle name="연결된 셀 2 2 3" xfId="4019"/>
    <cellStyle name="연결된 셀 2 3" xfId="4020"/>
    <cellStyle name="연결된 셀 20" xfId="4021"/>
    <cellStyle name="연결된 셀 21" xfId="4022"/>
    <cellStyle name="연결된 셀 22" xfId="4023"/>
    <cellStyle name="연결된 셀 23" xfId="4024"/>
    <cellStyle name="연결된 셀 24" xfId="4025"/>
    <cellStyle name="연결된 셀 25" xfId="4026"/>
    <cellStyle name="연결된 셀 26" xfId="4027"/>
    <cellStyle name="연결된 셀 27" xfId="4028"/>
    <cellStyle name="연결된 셀 28" xfId="4029"/>
    <cellStyle name="연결된 셀 29" xfId="4030"/>
    <cellStyle name="연결된 셀 3" xfId="4031"/>
    <cellStyle name="연결된 셀 30" xfId="4032"/>
    <cellStyle name="연결된 셀 31" xfId="4033"/>
    <cellStyle name="연결된 셀 32" xfId="4034"/>
    <cellStyle name="연결된 셀 33" xfId="4035"/>
    <cellStyle name="연결된 셀 34" xfId="4036"/>
    <cellStyle name="연결된 셀 35" xfId="4037"/>
    <cellStyle name="연결된 셀 36" xfId="4038"/>
    <cellStyle name="연결된 셀 37" xfId="4039"/>
    <cellStyle name="연결된 셀 38" xfId="4040"/>
    <cellStyle name="연결된 셀 39" xfId="4041"/>
    <cellStyle name="연결된 셀 4" xfId="4042"/>
    <cellStyle name="연결된 셀 40" xfId="4043"/>
    <cellStyle name="연결된 셀 41" xfId="4044"/>
    <cellStyle name="연결된 셀 42" xfId="4045"/>
    <cellStyle name="연결된 셀 43" xfId="4046"/>
    <cellStyle name="연결된 셀 44" xfId="4047"/>
    <cellStyle name="연결된 셀 45" xfId="4048"/>
    <cellStyle name="연결된 셀 46" xfId="4049"/>
    <cellStyle name="연결된 셀 47" xfId="4050"/>
    <cellStyle name="연결된 셀 48" xfId="4051"/>
    <cellStyle name="연결된 셀 49" xfId="4052"/>
    <cellStyle name="연결된 셀 5" xfId="4053"/>
    <cellStyle name="연결된 셀 50" xfId="4054"/>
    <cellStyle name="연결된 셀 51" xfId="4055"/>
    <cellStyle name="연결된 셀 52" xfId="4056"/>
    <cellStyle name="연결된 셀 53" xfId="4057"/>
    <cellStyle name="연결된 셀 54" xfId="4058"/>
    <cellStyle name="연결된 셀 55" xfId="4059"/>
    <cellStyle name="연결된 셀 56" xfId="4060"/>
    <cellStyle name="연결된 셀 57" xfId="4061"/>
    <cellStyle name="연결된 셀 58" xfId="4062"/>
    <cellStyle name="연결된 셀 59" xfId="4063"/>
    <cellStyle name="연결된 셀 6" xfId="4064"/>
    <cellStyle name="연결된 셀 60" xfId="4065"/>
    <cellStyle name="연결된 셀 61" xfId="4066"/>
    <cellStyle name="연결된 셀 62" xfId="4067"/>
    <cellStyle name="연결된 셀 63" xfId="4068"/>
    <cellStyle name="연결된 셀 64" xfId="4069"/>
    <cellStyle name="연결된 셀 65" xfId="4070"/>
    <cellStyle name="연결된 셀 66" xfId="4071"/>
    <cellStyle name="연결된 셀 67" xfId="4072"/>
    <cellStyle name="연결된 셀 68" xfId="4073"/>
    <cellStyle name="연결된 셀 69" xfId="4074"/>
    <cellStyle name="연결된 셀 7" xfId="4075"/>
    <cellStyle name="연결된 셀 70" xfId="4076"/>
    <cellStyle name="연결된 셀 71" xfId="4077"/>
    <cellStyle name="연결된 셀 72" xfId="4078"/>
    <cellStyle name="연결된 셀 73" xfId="4079"/>
    <cellStyle name="연결된 셀 74" xfId="4080"/>
    <cellStyle name="연결된 셀 75" xfId="4081"/>
    <cellStyle name="연결된 셀 76" xfId="4082"/>
    <cellStyle name="연결된 셀 8" xfId="4083"/>
    <cellStyle name="연결된 셀 9" xfId="4084"/>
    <cellStyle name="영표" xfId="4085"/>
    <cellStyle name="霓付 [0]_力?1何1苞 ?? " xfId="4086"/>
    <cellStyle name="霓付_力?1何1苞 ?? " xfId="4087"/>
    <cellStyle name="㿈준_97계획(총매출) " xfId="4088"/>
    <cellStyle name="巍? [0]_渠?掘 " xfId="4089"/>
    <cellStyle name="巍?_渠?掘 " xfId="4090"/>
    <cellStyle name="巍葆 [0]_渠掘 " xfId="4091"/>
    <cellStyle name="巍葆_渠掘 " xfId="4092"/>
    <cellStyle name="요약 10" xfId="4093"/>
    <cellStyle name="요약 11" xfId="4094"/>
    <cellStyle name="요약 12" xfId="4095"/>
    <cellStyle name="요약 13" xfId="4096"/>
    <cellStyle name="요약 14" xfId="4097"/>
    <cellStyle name="요약 15" xfId="4098"/>
    <cellStyle name="요약 16" xfId="4099"/>
    <cellStyle name="요약 17" xfId="4100"/>
    <cellStyle name="요약 18" xfId="4101"/>
    <cellStyle name="요약 19" xfId="4102"/>
    <cellStyle name="요약 2" xfId="4103"/>
    <cellStyle name="요약 2 2" xfId="4104"/>
    <cellStyle name="요약 2 2 2" xfId="4105"/>
    <cellStyle name="요약 2 2 3" xfId="4106"/>
    <cellStyle name="요약 2 3" xfId="4107"/>
    <cellStyle name="요약 20" xfId="4108"/>
    <cellStyle name="요약 21" xfId="4109"/>
    <cellStyle name="요약 22" xfId="4110"/>
    <cellStyle name="요약 23" xfId="4111"/>
    <cellStyle name="요약 24" xfId="4112"/>
    <cellStyle name="요약 25" xfId="4113"/>
    <cellStyle name="요약 26" xfId="4114"/>
    <cellStyle name="요약 27" xfId="4115"/>
    <cellStyle name="요약 28" xfId="4116"/>
    <cellStyle name="요약 29" xfId="4117"/>
    <cellStyle name="요약 3" xfId="4118"/>
    <cellStyle name="요약 30" xfId="4119"/>
    <cellStyle name="요약 31" xfId="4120"/>
    <cellStyle name="요약 32" xfId="4121"/>
    <cellStyle name="요약 33" xfId="4122"/>
    <cellStyle name="요약 34" xfId="4123"/>
    <cellStyle name="요약 35" xfId="4124"/>
    <cellStyle name="요약 36" xfId="4125"/>
    <cellStyle name="요약 37" xfId="4126"/>
    <cellStyle name="요약 38" xfId="4127"/>
    <cellStyle name="요약 39" xfId="4128"/>
    <cellStyle name="요약 4" xfId="4129"/>
    <cellStyle name="요약 40" xfId="4130"/>
    <cellStyle name="요약 41" xfId="4131"/>
    <cellStyle name="요약 42" xfId="4132"/>
    <cellStyle name="요약 43" xfId="4133"/>
    <cellStyle name="요약 44" xfId="4134"/>
    <cellStyle name="요약 45" xfId="4135"/>
    <cellStyle name="요약 46" xfId="4136"/>
    <cellStyle name="요약 47" xfId="4137"/>
    <cellStyle name="요약 48" xfId="4138"/>
    <cellStyle name="요약 49" xfId="4139"/>
    <cellStyle name="요약 5" xfId="4140"/>
    <cellStyle name="요약 50" xfId="4141"/>
    <cellStyle name="요약 51" xfId="4142"/>
    <cellStyle name="요약 52" xfId="4143"/>
    <cellStyle name="요약 53" xfId="4144"/>
    <cellStyle name="요약 54" xfId="4145"/>
    <cellStyle name="요약 55" xfId="4146"/>
    <cellStyle name="요약 56" xfId="4147"/>
    <cellStyle name="요약 57" xfId="4148"/>
    <cellStyle name="요약 58" xfId="4149"/>
    <cellStyle name="요약 59" xfId="4150"/>
    <cellStyle name="요약 6" xfId="4151"/>
    <cellStyle name="요약 60" xfId="4152"/>
    <cellStyle name="요약 61" xfId="4153"/>
    <cellStyle name="요약 62" xfId="4154"/>
    <cellStyle name="요약 63" xfId="4155"/>
    <cellStyle name="요약 64" xfId="4156"/>
    <cellStyle name="요약 65" xfId="4157"/>
    <cellStyle name="요약 66" xfId="4158"/>
    <cellStyle name="요약 67" xfId="4159"/>
    <cellStyle name="요약 68" xfId="4160"/>
    <cellStyle name="요약 69" xfId="4161"/>
    <cellStyle name="요약 7" xfId="4162"/>
    <cellStyle name="요약 70" xfId="4163"/>
    <cellStyle name="요약 71" xfId="4164"/>
    <cellStyle name="요약 72" xfId="4165"/>
    <cellStyle name="요약 73" xfId="4166"/>
    <cellStyle name="요약 74" xfId="4167"/>
    <cellStyle name="요약 75" xfId="4168"/>
    <cellStyle name="요약 76" xfId="4169"/>
    <cellStyle name="요약 8" xfId="4170"/>
    <cellStyle name="요약 9" xfId="4171"/>
    <cellStyle name="원" xfId="4172"/>
    <cellStyle name="월당월 (2)" xfId="4173"/>
    <cellStyle name="一般_071003_T_Cando_Modify (2)" xfId="4174"/>
    <cellStyle name="入力" xfId="4175"/>
    <cellStyle name="입력 10" xfId="4176"/>
    <cellStyle name="입력 11" xfId="4177"/>
    <cellStyle name="입력 12" xfId="4178"/>
    <cellStyle name="입력 13" xfId="4179"/>
    <cellStyle name="입력 14" xfId="4180"/>
    <cellStyle name="입력 15" xfId="4181"/>
    <cellStyle name="입력 16" xfId="4182"/>
    <cellStyle name="입력 17" xfId="4183"/>
    <cellStyle name="입력 18" xfId="4184"/>
    <cellStyle name="입력 19" xfId="4185"/>
    <cellStyle name="입력 2" xfId="4186"/>
    <cellStyle name="입력 2 2" xfId="4187"/>
    <cellStyle name="입력 2 2 2" xfId="4188"/>
    <cellStyle name="입력 2 2 3" xfId="4189"/>
    <cellStyle name="입력 2 3" xfId="4190"/>
    <cellStyle name="입력 20" xfId="4191"/>
    <cellStyle name="입력 21" xfId="4192"/>
    <cellStyle name="입력 22" xfId="4193"/>
    <cellStyle name="입력 23" xfId="4194"/>
    <cellStyle name="입력 24" xfId="4195"/>
    <cellStyle name="입력 25" xfId="4196"/>
    <cellStyle name="입력 26" xfId="4197"/>
    <cellStyle name="입력 27" xfId="4198"/>
    <cellStyle name="입력 28" xfId="4199"/>
    <cellStyle name="입력 29" xfId="4200"/>
    <cellStyle name="입력 3" xfId="4201"/>
    <cellStyle name="입력 30" xfId="4202"/>
    <cellStyle name="입력 31" xfId="4203"/>
    <cellStyle name="입력 32" xfId="4204"/>
    <cellStyle name="입력 33" xfId="4205"/>
    <cellStyle name="입력 34" xfId="4206"/>
    <cellStyle name="입력 35" xfId="4207"/>
    <cellStyle name="입력 36" xfId="4208"/>
    <cellStyle name="입력 37" xfId="4209"/>
    <cellStyle name="입력 38" xfId="4210"/>
    <cellStyle name="입력 39" xfId="4211"/>
    <cellStyle name="입력 4" xfId="4212"/>
    <cellStyle name="입력 40" xfId="4213"/>
    <cellStyle name="입력 41" xfId="4214"/>
    <cellStyle name="입력 42" xfId="4215"/>
    <cellStyle name="입력 43" xfId="4216"/>
    <cellStyle name="입력 44" xfId="4217"/>
    <cellStyle name="입력 45" xfId="4218"/>
    <cellStyle name="입력 46" xfId="4219"/>
    <cellStyle name="입력 47" xfId="4220"/>
    <cellStyle name="입력 48" xfId="4221"/>
    <cellStyle name="입력 49" xfId="4222"/>
    <cellStyle name="입력 5" xfId="4223"/>
    <cellStyle name="입력 50" xfId="4224"/>
    <cellStyle name="입력 51" xfId="4225"/>
    <cellStyle name="입력 52" xfId="4226"/>
    <cellStyle name="입력 53" xfId="4227"/>
    <cellStyle name="입력 54" xfId="4228"/>
    <cellStyle name="입력 55" xfId="4229"/>
    <cellStyle name="입력 56" xfId="4230"/>
    <cellStyle name="입력 57" xfId="4231"/>
    <cellStyle name="입력 58" xfId="4232"/>
    <cellStyle name="입력 59" xfId="4233"/>
    <cellStyle name="입력 6" xfId="4234"/>
    <cellStyle name="입력 60" xfId="4235"/>
    <cellStyle name="입력 61" xfId="4236"/>
    <cellStyle name="입력 62" xfId="4237"/>
    <cellStyle name="입력 63" xfId="4238"/>
    <cellStyle name="입력 64" xfId="4239"/>
    <cellStyle name="입력 65" xfId="4240"/>
    <cellStyle name="입력 66" xfId="4241"/>
    <cellStyle name="입력 67" xfId="4242"/>
    <cellStyle name="입력 68" xfId="4243"/>
    <cellStyle name="입력 69" xfId="4244"/>
    <cellStyle name="입력 7" xfId="4245"/>
    <cellStyle name="입력 70" xfId="4246"/>
    <cellStyle name="입력 71" xfId="4247"/>
    <cellStyle name="입력 72" xfId="4248"/>
    <cellStyle name="입력 73" xfId="4249"/>
    <cellStyle name="입력 74" xfId="4250"/>
    <cellStyle name="입력 75" xfId="4251"/>
    <cellStyle name="입력 76" xfId="4252"/>
    <cellStyle name="입력 77" xfId="4253"/>
    <cellStyle name="입력 8" xfId="4254"/>
    <cellStyle name="입력 9" xfId="4255"/>
    <cellStyle name="자리수" xfId="4256"/>
    <cellStyle name="자리수0" xfId="4257"/>
    <cellStyle name="제목 1 10" xfId="4258"/>
    <cellStyle name="제목 1 11" xfId="4259"/>
    <cellStyle name="제목 1 12" xfId="4260"/>
    <cellStyle name="제목 1 13" xfId="4261"/>
    <cellStyle name="제목 1 14" xfId="4262"/>
    <cellStyle name="제목 1 15" xfId="4263"/>
    <cellStyle name="제목 1 16" xfId="4264"/>
    <cellStyle name="제목 1 17" xfId="4265"/>
    <cellStyle name="제목 1 18" xfId="4266"/>
    <cellStyle name="제목 1 19" xfId="4267"/>
    <cellStyle name="제목 1 2" xfId="4268"/>
    <cellStyle name="제목 1 2 2" xfId="4269"/>
    <cellStyle name="제목 1 2 2 2" xfId="4270"/>
    <cellStyle name="제목 1 2 2 3" xfId="4271"/>
    <cellStyle name="제목 1 2 3" xfId="4272"/>
    <cellStyle name="제목 1 20" xfId="4273"/>
    <cellStyle name="제목 1 21" xfId="4274"/>
    <cellStyle name="제목 1 22" xfId="4275"/>
    <cellStyle name="제목 1 23" xfId="4276"/>
    <cellStyle name="제목 1 24" xfId="4277"/>
    <cellStyle name="제목 1 25" xfId="4278"/>
    <cellStyle name="제목 1 26" xfId="4279"/>
    <cellStyle name="제목 1 27" xfId="4280"/>
    <cellStyle name="제목 1 28" xfId="4281"/>
    <cellStyle name="제목 1 29" xfId="4282"/>
    <cellStyle name="제목 1 3" xfId="4283"/>
    <cellStyle name="제목 1 30" xfId="4284"/>
    <cellStyle name="제목 1 31" xfId="4285"/>
    <cellStyle name="제목 1 32" xfId="4286"/>
    <cellStyle name="제목 1 33" xfId="4287"/>
    <cellStyle name="제목 1 34" xfId="4288"/>
    <cellStyle name="제목 1 35" xfId="4289"/>
    <cellStyle name="제목 1 36" xfId="4290"/>
    <cellStyle name="제목 1 37" xfId="4291"/>
    <cellStyle name="제목 1 38" xfId="4292"/>
    <cellStyle name="제목 1 39" xfId="4293"/>
    <cellStyle name="제목 1 4" xfId="4294"/>
    <cellStyle name="제목 1 40" xfId="4295"/>
    <cellStyle name="제목 1 41" xfId="4296"/>
    <cellStyle name="제목 1 42" xfId="4297"/>
    <cellStyle name="제목 1 43" xfId="4298"/>
    <cellStyle name="제목 1 44" xfId="4299"/>
    <cellStyle name="제목 1 45" xfId="4300"/>
    <cellStyle name="제목 1 46" xfId="4301"/>
    <cellStyle name="제목 1 47" xfId="4302"/>
    <cellStyle name="제목 1 48" xfId="4303"/>
    <cellStyle name="제목 1 49" xfId="4304"/>
    <cellStyle name="제목 1 5" xfId="4305"/>
    <cellStyle name="제목 1 50" xfId="4306"/>
    <cellStyle name="제목 1 51" xfId="4307"/>
    <cellStyle name="제목 1 52" xfId="4308"/>
    <cellStyle name="제목 1 53" xfId="4309"/>
    <cellStyle name="제목 1 54" xfId="4310"/>
    <cellStyle name="제목 1 55" xfId="4311"/>
    <cellStyle name="제목 1 56" xfId="4312"/>
    <cellStyle name="제목 1 57" xfId="4313"/>
    <cellStyle name="제목 1 58" xfId="4314"/>
    <cellStyle name="제목 1 59" xfId="4315"/>
    <cellStyle name="제목 1 6" xfId="4316"/>
    <cellStyle name="제목 1 60" xfId="4317"/>
    <cellStyle name="제목 1 61" xfId="4318"/>
    <cellStyle name="제목 1 62" xfId="4319"/>
    <cellStyle name="제목 1 63" xfId="4320"/>
    <cellStyle name="제목 1 64" xfId="4321"/>
    <cellStyle name="제목 1 65" xfId="4322"/>
    <cellStyle name="제목 1 66" xfId="4323"/>
    <cellStyle name="제목 1 67" xfId="4324"/>
    <cellStyle name="제목 1 68" xfId="4325"/>
    <cellStyle name="제목 1 69" xfId="4326"/>
    <cellStyle name="제목 1 7" xfId="4327"/>
    <cellStyle name="제목 1 70" xfId="4328"/>
    <cellStyle name="제목 1 71" xfId="4329"/>
    <cellStyle name="제목 1 72" xfId="4330"/>
    <cellStyle name="제목 1 73" xfId="4331"/>
    <cellStyle name="제목 1 74" xfId="4332"/>
    <cellStyle name="제목 1 75" xfId="4333"/>
    <cellStyle name="제목 1 76" xfId="4334"/>
    <cellStyle name="제목 1 8" xfId="4335"/>
    <cellStyle name="제목 1 9" xfId="4336"/>
    <cellStyle name="제목 10" xfId="4337"/>
    <cellStyle name="제목 11" xfId="4338"/>
    <cellStyle name="제목 12" xfId="4339"/>
    <cellStyle name="제목 13" xfId="4340"/>
    <cellStyle name="제목 14" xfId="4341"/>
    <cellStyle name="제목 15" xfId="4342"/>
    <cellStyle name="제목 16" xfId="4343"/>
    <cellStyle name="제목 17" xfId="4344"/>
    <cellStyle name="제목 18" xfId="4345"/>
    <cellStyle name="제목 19" xfId="4346"/>
    <cellStyle name="제목 2 10" xfId="4347"/>
    <cellStyle name="제목 2 11" xfId="4348"/>
    <cellStyle name="제목 2 12" xfId="4349"/>
    <cellStyle name="제목 2 13" xfId="4350"/>
    <cellStyle name="제목 2 14" xfId="4351"/>
    <cellStyle name="제목 2 15" xfId="4352"/>
    <cellStyle name="제목 2 16" xfId="4353"/>
    <cellStyle name="제목 2 17" xfId="4354"/>
    <cellStyle name="제목 2 18" xfId="4355"/>
    <cellStyle name="제목 2 19" xfId="4356"/>
    <cellStyle name="제목 2 2" xfId="4357"/>
    <cellStyle name="제목 2 2 2" xfId="4358"/>
    <cellStyle name="제목 2 2 2 2" xfId="4359"/>
    <cellStyle name="제목 2 2 2 3" xfId="4360"/>
    <cellStyle name="제목 2 2 3" xfId="4361"/>
    <cellStyle name="제목 2 20" xfId="4362"/>
    <cellStyle name="제목 2 21" xfId="4363"/>
    <cellStyle name="제목 2 22" xfId="4364"/>
    <cellStyle name="제목 2 23" xfId="4365"/>
    <cellStyle name="제목 2 24" xfId="4366"/>
    <cellStyle name="제목 2 25" xfId="4367"/>
    <cellStyle name="제목 2 26" xfId="4368"/>
    <cellStyle name="제목 2 27" xfId="4369"/>
    <cellStyle name="제목 2 28" xfId="4370"/>
    <cellStyle name="제목 2 29" xfId="4371"/>
    <cellStyle name="제목 2 3" xfId="4372"/>
    <cellStyle name="제목 2 30" xfId="4373"/>
    <cellStyle name="제목 2 31" xfId="4374"/>
    <cellStyle name="제목 2 32" xfId="4375"/>
    <cellStyle name="제목 2 33" xfId="4376"/>
    <cellStyle name="제목 2 34" xfId="4377"/>
    <cellStyle name="제목 2 35" xfId="4378"/>
    <cellStyle name="제목 2 36" xfId="4379"/>
    <cellStyle name="제목 2 37" xfId="4380"/>
    <cellStyle name="제목 2 38" xfId="4381"/>
    <cellStyle name="제목 2 39" xfId="4382"/>
    <cellStyle name="제목 2 4" xfId="4383"/>
    <cellStyle name="제목 2 40" xfId="4384"/>
    <cellStyle name="제목 2 41" xfId="4385"/>
    <cellStyle name="제목 2 42" xfId="4386"/>
    <cellStyle name="제목 2 43" xfId="4387"/>
    <cellStyle name="제목 2 44" xfId="4388"/>
    <cellStyle name="제목 2 45" xfId="4389"/>
    <cellStyle name="제목 2 46" xfId="4390"/>
    <cellStyle name="제목 2 47" xfId="4391"/>
    <cellStyle name="제목 2 48" xfId="4392"/>
    <cellStyle name="제목 2 49" xfId="4393"/>
    <cellStyle name="제목 2 5" xfId="4394"/>
    <cellStyle name="제목 2 50" xfId="4395"/>
    <cellStyle name="제목 2 51" xfId="4396"/>
    <cellStyle name="제목 2 52" xfId="4397"/>
    <cellStyle name="제목 2 53" xfId="4398"/>
    <cellStyle name="제목 2 54" xfId="4399"/>
    <cellStyle name="제목 2 55" xfId="4400"/>
    <cellStyle name="제목 2 56" xfId="4401"/>
    <cellStyle name="제목 2 57" xfId="4402"/>
    <cellStyle name="제목 2 58" xfId="4403"/>
    <cellStyle name="제목 2 59" xfId="4404"/>
    <cellStyle name="제목 2 6" xfId="4405"/>
    <cellStyle name="제목 2 60" xfId="4406"/>
    <cellStyle name="제목 2 61" xfId="4407"/>
    <cellStyle name="제목 2 62" xfId="4408"/>
    <cellStyle name="제목 2 63" xfId="4409"/>
    <cellStyle name="제목 2 64" xfId="4410"/>
    <cellStyle name="제목 2 65" xfId="4411"/>
    <cellStyle name="제목 2 66" xfId="4412"/>
    <cellStyle name="제목 2 67" xfId="4413"/>
    <cellStyle name="제목 2 68" xfId="4414"/>
    <cellStyle name="제목 2 69" xfId="4415"/>
    <cellStyle name="제목 2 7" xfId="4416"/>
    <cellStyle name="제목 2 70" xfId="4417"/>
    <cellStyle name="제목 2 71" xfId="4418"/>
    <cellStyle name="제목 2 72" xfId="4419"/>
    <cellStyle name="제목 2 73" xfId="4420"/>
    <cellStyle name="제목 2 74" xfId="4421"/>
    <cellStyle name="제목 2 75" xfId="4422"/>
    <cellStyle name="제목 2 76" xfId="4423"/>
    <cellStyle name="제목 2 8" xfId="4424"/>
    <cellStyle name="제목 2 9" xfId="4425"/>
    <cellStyle name="제목 20" xfId="4426"/>
    <cellStyle name="제목 21" xfId="4427"/>
    <cellStyle name="제목 22" xfId="4428"/>
    <cellStyle name="제목 23" xfId="4429"/>
    <cellStyle name="제목 24" xfId="4430"/>
    <cellStyle name="제목 25" xfId="4431"/>
    <cellStyle name="제목 26" xfId="4432"/>
    <cellStyle name="제목 27" xfId="4433"/>
    <cellStyle name="제목 28" xfId="4434"/>
    <cellStyle name="제목 29" xfId="4435"/>
    <cellStyle name="제목 3 10" xfId="4436"/>
    <cellStyle name="제목 3 11" xfId="4437"/>
    <cellStyle name="제목 3 12" xfId="4438"/>
    <cellStyle name="제목 3 13" xfId="4439"/>
    <cellStyle name="제목 3 14" xfId="4440"/>
    <cellStyle name="제목 3 15" xfId="4441"/>
    <cellStyle name="제목 3 16" xfId="4442"/>
    <cellStyle name="제목 3 17" xfId="4443"/>
    <cellStyle name="제목 3 18" xfId="4444"/>
    <cellStyle name="제목 3 19" xfId="4445"/>
    <cellStyle name="제목 3 2" xfId="4446"/>
    <cellStyle name="제목 3 2 2" xfId="4447"/>
    <cellStyle name="제목 3 2 2 2" xfId="4448"/>
    <cellStyle name="제목 3 2 2 3" xfId="4449"/>
    <cellStyle name="제목 3 2 3" xfId="4450"/>
    <cellStyle name="제목 3 20" xfId="4451"/>
    <cellStyle name="제목 3 21" xfId="4452"/>
    <cellStyle name="제목 3 22" xfId="4453"/>
    <cellStyle name="제목 3 23" xfId="4454"/>
    <cellStyle name="제목 3 24" xfId="4455"/>
    <cellStyle name="제목 3 25" xfId="4456"/>
    <cellStyle name="제목 3 26" xfId="4457"/>
    <cellStyle name="제목 3 27" xfId="4458"/>
    <cellStyle name="제목 3 28" xfId="4459"/>
    <cellStyle name="제목 3 29" xfId="4460"/>
    <cellStyle name="제목 3 3" xfId="4461"/>
    <cellStyle name="제목 3 30" xfId="4462"/>
    <cellStyle name="제목 3 31" xfId="4463"/>
    <cellStyle name="제목 3 32" xfId="4464"/>
    <cellStyle name="제목 3 33" xfId="4465"/>
    <cellStyle name="제목 3 34" xfId="4466"/>
    <cellStyle name="제목 3 35" xfId="4467"/>
    <cellStyle name="제목 3 36" xfId="4468"/>
    <cellStyle name="제목 3 37" xfId="4469"/>
    <cellStyle name="제목 3 38" xfId="4470"/>
    <cellStyle name="제목 3 39" xfId="4471"/>
    <cellStyle name="제목 3 4" xfId="4472"/>
    <cellStyle name="제목 3 40" xfId="4473"/>
    <cellStyle name="제목 3 41" xfId="4474"/>
    <cellStyle name="제목 3 42" xfId="4475"/>
    <cellStyle name="제목 3 43" xfId="4476"/>
    <cellStyle name="제목 3 44" xfId="4477"/>
    <cellStyle name="제목 3 45" xfId="4478"/>
    <cellStyle name="제목 3 46" xfId="4479"/>
    <cellStyle name="제목 3 47" xfId="4480"/>
    <cellStyle name="제목 3 48" xfId="4481"/>
    <cellStyle name="제목 3 49" xfId="4482"/>
    <cellStyle name="제목 3 5" xfId="4483"/>
    <cellStyle name="제목 3 50" xfId="4484"/>
    <cellStyle name="제목 3 51" xfId="4485"/>
    <cellStyle name="제목 3 52" xfId="4486"/>
    <cellStyle name="제목 3 53" xfId="4487"/>
    <cellStyle name="제목 3 54" xfId="4488"/>
    <cellStyle name="제목 3 55" xfId="4489"/>
    <cellStyle name="제목 3 56" xfId="4490"/>
    <cellStyle name="제목 3 57" xfId="4491"/>
    <cellStyle name="제목 3 58" xfId="4492"/>
    <cellStyle name="제목 3 59" xfId="4493"/>
    <cellStyle name="제목 3 6" xfId="4494"/>
    <cellStyle name="제목 3 60" xfId="4495"/>
    <cellStyle name="제목 3 61" xfId="4496"/>
    <cellStyle name="제목 3 62" xfId="4497"/>
    <cellStyle name="제목 3 63" xfId="4498"/>
    <cellStyle name="제목 3 64" xfId="4499"/>
    <cellStyle name="제목 3 65" xfId="4500"/>
    <cellStyle name="제목 3 66" xfId="4501"/>
    <cellStyle name="제목 3 67" xfId="4502"/>
    <cellStyle name="제목 3 68" xfId="4503"/>
    <cellStyle name="제목 3 69" xfId="4504"/>
    <cellStyle name="제목 3 7" xfId="4505"/>
    <cellStyle name="제목 3 70" xfId="4506"/>
    <cellStyle name="제목 3 71" xfId="4507"/>
    <cellStyle name="제목 3 72" xfId="4508"/>
    <cellStyle name="제목 3 73" xfId="4509"/>
    <cellStyle name="제목 3 74" xfId="4510"/>
    <cellStyle name="제목 3 75" xfId="4511"/>
    <cellStyle name="제목 3 76" xfId="4512"/>
    <cellStyle name="제목 3 8" xfId="4513"/>
    <cellStyle name="제목 3 9" xfId="4514"/>
    <cellStyle name="제목 30" xfId="4515"/>
    <cellStyle name="제목 31" xfId="4516"/>
    <cellStyle name="제목 32" xfId="4517"/>
    <cellStyle name="제목 33" xfId="4518"/>
    <cellStyle name="제목 34" xfId="4519"/>
    <cellStyle name="제목 35" xfId="4520"/>
    <cellStyle name="제목 36" xfId="4521"/>
    <cellStyle name="제목 37" xfId="4522"/>
    <cellStyle name="제목 38" xfId="4523"/>
    <cellStyle name="제목 39" xfId="4524"/>
    <cellStyle name="제목 4 10" xfId="4525"/>
    <cellStyle name="제목 4 11" xfId="4526"/>
    <cellStyle name="제목 4 12" xfId="4527"/>
    <cellStyle name="제목 4 13" xfId="4528"/>
    <cellStyle name="제목 4 14" xfId="4529"/>
    <cellStyle name="제목 4 15" xfId="4530"/>
    <cellStyle name="제목 4 16" xfId="4531"/>
    <cellStyle name="제목 4 17" xfId="4532"/>
    <cellStyle name="제목 4 18" xfId="4533"/>
    <cellStyle name="제목 4 19" xfId="4534"/>
    <cellStyle name="제목 4 2" xfId="4535"/>
    <cellStyle name="제목 4 2 2" xfId="4536"/>
    <cellStyle name="제목 4 2 2 2" xfId="4537"/>
    <cellStyle name="제목 4 2 2 3" xfId="4538"/>
    <cellStyle name="제목 4 2 3" xfId="4539"/>
    <cellStyle name="제목 4 20" xfId="4540"/>
    <cellStyle name="제목 4 21" xfId="4541"/>
    <cellStyle name="제목 4 22" xfId="4542"/>
    <cellStyle name="제목 4 23" xfId="4543"/>
    <cellStyle name="제목 4 24" xfId="4544"/>
    <cellStyle name="제목 4 25" xfId="4545"/>
    <cellStyle name="제목 4 26" xfId="4546"/>
    <cellStyle name="제목 4 27" xfId="4547"/>
    <cellStyle name="제목 4 28" xfId="4548"/>
    <cellStyle name="제목 4 29" xfId="4549"/>
    <cellStyle name="제목 4 3" xfId="4550"/>
    <cellStyle name="제목 4 30" xfId="4551"/>
    <cellStyle name="제목 4 31" xfId="4552"/>
    <cellStyle name="제목 4 32" xfId="4553"/>
    <cellStyle name="제목 4 33" xfId="4554"/>
    <cellStyle name="제목 4 34" xfId="4555"/>
    <cellStyle name="제목 4 35" xfId="4556"/>
    <cellStyle name="제목 4 36" xfId="4557"/>
    <cellStyle name="제목 4 37" xfId="4558"/>
    <cellStyle name="제목 4 38" xfId="4559"/>
    <cellStyle name="제목 4 39" xfId="4560"/>
    <cellStyle name="제목 4 4" xfId="4561"/>
    <cellStyle name="제목 4 40" xfId="4562"/>
    <cellStyle name="제목 4 41" xfId="4563"/>
    <cellStyle name="제목 4 42" xfId="4564"/>
    <cellStyle name="제목 4 43" xfId="4565"/>
    <cellStyle name="제목 4 44" xfId="4566"/>
    <cellStyle name="제목 4 45" xfId="4567"/>
    <cellStyle name="제목 4 46" xfId="4568"/>
    <cellStyle name="제목 4 47" xfId="4569"/>
    <cellStyle name="제목 4 48" xfId="4570"/>
    <cellStyle name="제목 4 49" xfId="4571"/>
    <cellStyle name="제목 4 5" xfId="4572"/>
    <cellStyle name="제목 4 50" xfId="4573"/>
    <cellStyle name="제목 4 51" xfId="4574"/>
    <cellStyle name="제목 4 52" xfId="4575"/>
    <cellStyle name="제목 4 53" xfId="4576"/>
    <cellStyle name="제목 4 54" xfId="4577"/>
    <cellStyle name="제목 4 55" xfId="4578"/>
    <cellStyle name="제목 4 56" xfId="4579"/>
    <cellStyle name="제목 4 57" xfId="4580"/>
    <cellStyle name="제목 4 58" xfId="4581"/>
    <cellStyle name="제목 4 59" xfId="4582"/>
    <cellStyle name="제목 4 6" xfId="4583"/>
    <cellStyle name="제목 4 60" xfId="4584"/>
    <cellStyle name="제목 4 61" xfId="4585"/>
    <cellStyle name="제목 4 62" xfId="4586"/>
    <cellStyle name="제목 4 63" xfId="4587"/>
    <cellStyle name="제목 4 64" xfId="4588"/>
    <cellStyle name="제목 4 65" xfId="4589"/>
    <cellStyle name="제목 4 66" xfId="4590"/>
    <cellStyle name="제목 4 67" xfId="4591"/>
    <cellStyle name="제목 4 68" xfId="4592"/>
    <cellStyle name="제목 4 69" xfId="4593"/>
    <cellStyle name="제목 4 7" xfId="4594"/>
    <cellStyle name="제목 4 70" xfId="4595"/>
    <cellStyle name="제목 4 71" xfId="4596"/>
    <cellStyle name="제목 4 72" xfId="4597"/>
    <cellStyle name="제목 4 73" xfId="4598"/>
    <cellStyle name="제목 4 74" xfId="4599"/>
    <cellStyle name="제목 4 75" xfId="4600"/>
    <cellStyle name="제목 4 76" xfId="4601"/>
    <cellStyle name="제목 4 8" xfId="4602"/>
    <cellStyle name="제목 4 9" xfId="4603"/>
    <cellStyle name="제목 40" xfId="4604"/>
    <cellStyle name="제목 41" xfId="4605"/>
    <cellStyle name="제목 42" xfId="4606"/>
    <cellStyle name="제목 43" xfId="4607"/>
    <cellStyle name="제목 44" xfId="4608"/>
    <cellStyle name="제목 45" xfId="4609"/>
    <cellStyle name="제목 46" xfId="4610"/>
    <cellStyle name="제목 47" xfId="4611"/>
    <cellStyle name="제목 48" xfId="4612"/>
    <cellStyle name="제목 49" xfId="4613"/>
    <cellStyle name="제목 5" xfId="4614"/>
    <cellStyle name="제목 50" xfId="4615"/>
    <cellStyle name="제목 51" xfId="4616"/>
    <cellStyle name="제목 52" xfId="4617"/>
    <cellStyle name="제목 53" xfId="4618"/>
    <cellStyle name="제목 54" xfId="4619"/>
    <cellStyle name="제목 55" xfId="4620"/>
    <cellStyle name="제목 56" xfId="4621"/>
    <cellStyle name="제목 57" xfId="4622"/>
    <cellStyle name="제목 58" xfId="4623"/>
    <cellStyle name="제목 59" xfId="4624"/>
    <cellStyle name="제목 6" xfId="4625"/>
    <cellStyle name="제목 60" xfId="4626"/>
    <cellStyle name="제목 61" xfId="4627"/>
    <cellStyle name="제목 62" xfId="4628"/>
    <cellStyle name="제목 63" xfId="4629"/>
    <cellStyle name="제목 64" xfId="4630"/>
    <cellStyle name="제목 65" xfId="4631"/>
    <cellStyle name="제목 66" xfId="4632"/>
    <cellStyle name="제목 67" xfId="4633"/>
    <cellStyle name="제목 68" xfId="4634"/>
    <cellStyle name="제목 69" xfId="4635"/>
    <cellStyle name="제목 7" xfId="4636"/>
    <cellStyle name="제목 8" xfId="4637"/>
    <cellStyle name="제목 9" xfId="4638"/>
    <cellStyle name="좋음 10" xfId="4639"/>
    <cellStyle name="좋음 11" xfId="4640"/>
    <cellStyle name="좋음 12" xfId="4641"/>
    <cellStyle name="좋음 13" xfId="4642"/>
    <cellStyle name="좋음 14" xfId="4643"/>
    <cellStyle name="좋음 15" xfId="4644"/>
    <cellStyle name="좋음 16" xfId="4645"/>
    <cellStyle name="좋음 17" xfId="4646"/>
    <cellStyle name="좋음 18" xfId="4647"/>
    <cellStyle name="좋음 19" xfId="4648"/>
    <cellStyle name="좋음 2" xfId="4649"/>
    <cellStyle name="좋음 2 2" xfId="4650"/>
    <cellStyle name="좋음 2 2 2" xfId="4651"/>
    <cellStyle name="좋음 2 2 3" xfId="4652"/>
    <cellStyle name="좋음 2 3" xfId="4653"/>
    <cellStyle name="좋음 20" xfId="4654"/>
    <cellStyle name="좋음 21" xfId="4655"/>
    <cellStyle name="좋음 22" xfId="4656"/>
    <cellStyle name="좋음 23" xfId="4657"/>
    <cellStyle name="좋음 24" xfId="4658"/>
    <cellStyle name="좋음 25" xfId="4659"/>
    <cellStyle name="좋음 26" xfId="4660"/>
    <cellStyle name="좋음 27" xfId="4661"/>
    <cellStyle name="좋음 28" xfId="4662"/>
    <cellStyle name="좋음 29" xfId="4663"/>
    <cellStyle name="좋음 3" xfId="4664"/>
    <cellStyle name="좋음 30" xfId="4665"/>
    <cellStyle name="좋음 31" xfId="4666"/>
    <cellStyle name="좋음 32" xfId="4667"/>
    <cellStyle name="좋음 33" xfId="4668"/>
    <cellStyle name="좋음 34" xfId="4669"/>
    <cellStyle name="좋음 35" xfId="4670"/>
    <cellStyle name="좋음 36" xfId="4671"/>
    <cellStyle name="좋음 37" xfId="4672"/>
    <cellStyle name="좋음 38" xfId="4673"/>
    <cellStyle name="좋음 39" xfId="4674"/>
    <cellStyle name="좋음 4" xfId="4675"/>
    <cellStyle name="좋음 40" xfId="4676"/>
    <cellStyle name="좋음 41" xfId="4677"/>
    <cellStyle name="좋음 42" xfId="4678"/>
    <cellStyle name="좋음 43" xfId="4679"/>
    <cellStyle name="좋음 44" xfId="4680"/>
    <cellStyle name="좋음 45" xfId="4681"/>
    <cellStyle name="좋음 46" xfId="4682"/>
    <cellStyle name="좋음 47" xfId="4683"/>
    <cellStyle name="좋음 48" xfId="4684"/>
    <cellStyle name="좋음 49" xfId="4685"/>
    <cellStyle name="좋음 5" xfId="4686"/>
    <cellStyle name="좋음 50" xfId="4687"/>
    <cellStyle name="좋음 51" xfId="4688"/>
    <cellStyle name="좋음 52" xfId="4689"/>
    <cellStyle name="좋음 53" xfId="4690"/>
    <cellStyle name="좋음 54" xfId="4691"/>
    <cellStyle name="좋음 55" xfId="4692"/>
    <cellStyle name="좋음 56" xfId="4693"/>
    <cellStyle name="좋음 57" xfId="4694"/>
    <cellStyle name="좋음 58" xfId="4695"/>
    <cellStyle name="좋음 59" xfId="4696"/>
    <cellStyle name="좋음 6" xfId="4697"/>
    <cellStyle name="좋음 60" xfId="4698"/>
    <cellStyle name="좋음 61" xfId="4699"/>
    <cellStyle name="좋음 62" xfId="4700"/>
    <cellStyle name="좋음 63" xfId="4701"/>
    <cellStyle name="좋음 64" xfId="4702"/>
    <cellStyle name="좋음 65" xfId="4703"/>
    <cellStyle name="좋음 66" xfId="4704"/>
    <cellStyle name="좋음 67" xfId="4705"/>
    <cellStyle name="좋음 68" xfId="4706"/>
    <cellStyle name="좋음 69" xfId="4707"/>
    <cellStyle name="좋음 7" xfId="4708"/>
    <cellStyle name="좋음 70" xfId="4709"/>
    <cellStyle name="좋음 71" xfId="4710"/>
    <cellStyle name="좋음 72" xfId="4711"/>
    <cellStyle name="좋음 73" xfId="4712"/>
    <cellStyle name="좋음 74" xfId="4713"/>
    <cellStyle name="좋음 75" xfId="4714"/>
    <cellStyle name="좋음 76" xfId="4715"/>
    <cellStyle name="좋음 8" xfId="4716"/>
    <cellStyle name="좋음 9" xfId="4717"/>
    <cellStyle name="줡" xfId="4718"/>
    <cellStyle name="줿㼿㼿㼿㼿㼿?" xfId="4719"/>
    <cellStyle name="지정되지 않음" xfId="4720"/>
    <cellStyle name="集計" xfId="4721"/>
    <cellStyle name="쭾" xfId="4722"/>
    <cellStyle name="钎霖_12岿 " xfId="4723"/>
    <cellStyle name="千分位[0]_080305_RCE00TEST94SL異物防止検討処方" xfId="4724"/>
    <cellStyle name="千位分隔[0]_원재료비" xfId="4725"/>
    <cellStyle name="千位分隔_전월대비.1." xfId="4726"/>
    <cellStyle name="출 (한장)" xfId="4727"/>
    <cellStyle name="出力" xfId="4728"/>
    <cellStyle name="출력 10" xfId="4729"/>
    <cellStyle name="출력 11" xfId="4730"/>
    <cellStyle name="출력 12" xfId="4731"/>
    <cellStyle name="출력 13" xfId="4732"/>
    <cellStyle name="출력 14" xfId="4733"/>
    <cellStyle name="출력 15" xfId="4734"/>
    <cellStyle name="출력 16" xfId="4735"/>
    <cellStyle name="출력 17" xfId="4736"/>
    <cellStyle name="출력 18" xfId="4737"/>
    <cellStyle name="출력 19" xfId="4738"/>
    <cellStyle name="출력 2" xfId="4739"/>
    <cellStyle name="출력 2 2" xfId="4740"/>
    <cellStyle name="출력 2 2 2" xfId="4741"/>
    <cellStyle name="출력 2 2 3" xfId="4742"/>
    <cellStyle name="출력 2 3" xfId="4743"/>
    <cellStyle name="출력 20" xfId="4744"/>
    <cellStyle name="출력 21" xfId="4745"/>
    <cellStyle name="출력 22" xfId="4746"/>
    <cellStyle name="출력 23" xfId="4747"/>
    <cellStyle name="출력 24" xfId="4748"/>
    <cellStyle name="출력 25" xfId="4749"/>
    <cellStyle name="출력 26" xfId="4750"/>
    <cellStyle name="출력 27" xfId="4751"/>
    <cellStyle name="출력 28" xfId="4752"/>
    <cellStyle name="출력 29" xfId="4753"/>
    <cellStyle name="출력 3" xfId="4754"/>
    <cellStyle name="출력 30" xfId="4755"/>
    <cellStyle name="출력 31" xfId="4756"/>
    <cellStyle name="출력 32" xfId="4757"/>
    <cellStyle name="출력 33" xfId="4758"/>
    <cellStyle name="출력 34" xfId="4759"/>
    <cellStyle name="출력 35" xfId="4760"/>
    <cellStyle name="출력 36" xfId="4761"/>
    <cellStyle name="출력 37" xfId="4762"/>
    <cellStyle name="출력 38" xfId="4763"/>
    <cellStyle name="출력 39" xfId="4764"/>
    <cellStyle name="출력 4" xfId="4765"/>
    <cellStyle name="출력 40" xfId="4766"/>
    <cellStyle name="출력 41" xfId="4767"/>
    <cellStyle name="출력 42" xfId="4768"/>
    <cellStyle name="출력 43" xfId="4769"/>
    <cellStyle name="출력 44" xfId="4770"/>
    <cellStyle name="출력 45" xfId="4771"/>
    <cellStyle name="출력 46" xfId="4772"/>
    <cellStyle name="출력 47" xfId="4773"/>
    <cellStyle name="출력 48" xfId="4774"/>
    <cellStyle name="출력 49" xfId="4775"/>
    <cellStyle name="출력 5" xfId="4776"/>
    <cellStyle name="출력 50" xfId="4777"/>
    <cellStyle name="출력 51" xfId="4778"/>
    <cellStyle name="출력 52" xfId="4779"/>
    <cellStyle name="출력 53" xfId="4780"/>
    <cellStyle name="출력 54" xfId="4781"/>
    <cellStyle name="출력 55" xfId="4782"/>
    <cellStyle name="출력 56" xfId="4783"/>
    <cellStyle name="출력 57" xfId="4784"/>
    <cellStyle name="출력 58" xfId="4785"/>
    <cellStyle name="출력 59" xfId="4786"/>
    <cellStyle name="출력 6" xfId="4787"/>
    <cellStyle name="출력 60" xfId="4788"/>
    <cellStyle name="출력 61" xfId="4789"/>
    <cellStyle name="출력 62" xfId="4790"/>
    <cellStyle name="출력 63" xfId="4791"/>
    <cellStyle name="출력 64" xfId="4792"/>
    <cellStyle name="출력 65" xfId="4793"/>
    <cellStyle name="출력 66" xfId="4794"/>
    <cellStyle name="출력 67" xfId="4795"/>
    <cellStyle name="출력 68" xfId="4796"/>
    <cellStyle name="출력 69" xfId="4797"/>
    <cellStyle name="출력 7" xfId="4798"/>
    <cellStyle name="출력 70" xfId="4799"/>
    <cellStyle name="출력 71" xfId="4800"/>
    <cellStyle name="출력 72" xfId="4801"/>
    <cellStyle name="출력 73" xfId="4802"/>
    <cellStyle name="출력 74" xfId="4803"/>
    <cellStyle name="출력 75" xfId="4804"/>
    <cellStyle name="출력 76" xfId="4805"/>
    <cellStyle name="출력 77" xfId="4806"/>
    <cellStyle name="출력 8" xfId="4807"/>
    <cellStyle name="출력 9" xfId="4808"/>
    <cellStyle name="콤마 [0]_ " xfId="4809"/>
    <cellStyle name="콤마(천)" xfId="4810"/>
    <cellStyle name="콤마_ " xfId="4811"/>
    <cellStyle name="쾁" xfId="4812"/>
    <cellStyle name="통화 [0] 2" xfId="4813"/>
    <cellStyle name="팒" xfId="4814"/>
    <cellStyle name="烹拳 [0]_力?1何1苞 ?? " xfId="4815"/>
    <cellStyle name="烹拳_力?1何1苞 ?? " xfId="4816"/>
    <cellStyle name="퍼센트" xfId="4817"/>
    <cellStyle name="표10" xfId="4818"/>
    <cellStyle name="표13" xfId="4819"/>
    <cellStyle name="표준" xfId="0" builtinId="0"/>
    <cellStyle name="표준 10" xfId="4820"/>
    <cellStyle name="표준 11" xfId="4821"/>
    <cellStyle name="표준 12" xfId="4822"/>
    <cellStyle name="표준 13" xfId="4823"/>
    <cellStyle name="표준 14" xfId="4824"/>
    <cellStyle name="표준 15" xfId="4825"/>
    <cellStyle name="표준 16" xfId="4826"/>
    <cellStyle name="표준 17" xfId="4827"/>
    <cellStyle name="표준 18" xfId="4828"/>
    <cellStyle name="표준 19" xfId="4829"/>
    <cellStyle name="표준 2" xfId="4830"/>
    <cellStyle name="표준 2 2" xfId="4831"/>
    <cellStyle name="표준 2 2 2" xfId="4832"/>
    <cellStyle name="표준 2 2 2 2" xfId="4833"/>
    <cellStyle name="표준 2 2 2 2 2" xfId="4834"/>
    <cellStyle name="표준 2 2 2 3" xfId="4835"/>
    <cellStyle name="표준 2 2 3" xfId="4836"/>
    <cellStyle name="표준 2 3" xfId="4837"/>
    <cellStyle name="표준 2 4" xfId="4838"/>
    <cellStyle name="표준 2 5" xfId="4839"/>
    <cellStyle name="표준 2 6" xfId="4840"/>
    <cellStyle name="표준 20" xfId="4841"/>
    <cellStyle name="표준 21" xfId="4842"/>
    <cellStyle name="표준 22" xfId="4843"/>
    <cellStyle name="표준 23" xfId="4844"/>
    <cellStyle name="표준 24" xfId="4845"/>
    <cellStyle name="표준 25" xfId="4846"/>
    <cellStyle name="표준 26" xfId="4847"/>
    <cellStyle name="표준 27" xfId="4848"/>
    <cellStyle name="표준 28" xfId="4849"/>
    <cellStyle name="표준 29" xfId="4850"/>
    <cellStyle name="표준 3" xfId="4851"/>
    <cellStyle name="표준 3 2" xfId="4852"/>
    <cellStyle name="표준 3 2 2" xfId="4853"/>
    <cellStyle name="표준 3 3" xfId="4854"/>
    <cellStyle name="표준 3 4" xfId="4855"/>
    <cellStyle name="표준 3 5" xfId="4856"/>
    <cellStyle name="표준 3_20131212 14년 사업계획 2차CM用 (본부用 사업계획 세부계획)_재정리" xfId="4857"/>
    <cellStyle name="표준 30" xfId="4858"/>
    <cellStyle name="표준 31" xfId="4859"/>
    <cellStyle name="표준 32" xfId="4860"/>
    <cellStyle name="표준 33" xfId="4861"/>
    <cellStyle name="표준 34" xfId="4862"/>
    <cellStyle name="표준 35" xfId="4863"/>
    <cellStyle name="표준 36" xfId="4864"/>
    <cellStyle name="표준 37" xfId="4865"/>
    <cellStyle name="표준 38" xfId="4866"/>
    <cellStyle name="표준 39" xfId="4867"/>
    <cellStyle name="표준 4" xfId="4868"/>
    <cellStyle name="표준 4 2" xfId="4869"/>
    <cellStyle name="표준 4 3" xfId="4870"/>
    <cellStyle name="표준 4 4" xfId="4871"/>
    <cellStyle name="표준 4 5" xfId="4872"/>
    <cellStyle name="표준 40" xfId="4873"/>
    <cellStyle name="표준 41" xfId="4874"/>
    <cellStyle name="표준 42" xfId="4875"/>
    <cellStyle name="표준 43" xfId="4876"/>
    <cellStyle name="표준 44" xfId="4877"/>
    <cellStyle name="표준 45" xfId="4878"/>
    <cellStyle name="표준 46" xfId="4879"/>
    <cellStyle name="표준 47" xfId="4880"/>
    <cellStyle name="표준 48" xfId="4881"/>
    <cellStyle name="표준 49" xfId="4882"/>
    <cellStyle name="표준 5" xfId="4883"/>
    <cellStyle name="표준 5 2" xfId="4884"/>
    <cellStyle name="표준 5 3" xfId="4885"/>
    <cellStyle name="표준 50" xfId="4886"/>
    <cellStyle name="표준 51" xfId="4887"/>
    <cellStyle name="표준 52" xfId="4888"/>
    <cellStyle name="표준 53" xfId="4889"/>
    <cellStyle name="표준 54" xfId="4890"/>
    <cellStyle name="표준 55" xfId="4891"/>
    <cellStyle name="표준 56" xfId="4892"/>
    <cellStyle name="표준 57" xfId="4893"/>
    <cellStyle name="표준 58" xfId="4894"/>
    <cellStyle name="표준 59" xfId="4895"/>
    <cellStyle name="표준 6" xfId="4896"/>
    <cellStyle name="표준 60" xfId="4897"/>
    <cellStyle name="표준 61" xfId="4898"/>
    <cellStyle name="표준 62" xfId="4899"/>
    <cellStyle name="표준 63" xfId="4900"/>
    <cellStyle name="표준 64" xfId="4901"/>
    <cellStyle name="표준 65" xfId="4902"/>
    <cellStyle name="표준 66" xfId="4903"/>
    <cellStyle name="표준 67" xfId="4904"/>
    <cellStyle name="표준 68" xfId="4905"/>
    <cellStyle name="표준 69" xfId="4906"/>
    <cellStyle name="표준 7" xfId="4907"/>
    <cellStyle name="표준 70" xfId="4908"/>
    <cellStyle name="표준 71" xfId="4909"/>
    <cellStyle name="표준 71 2" xfId="4910"/>
    <cellStyle name="표준 71 3" xfId="4911"/>
    <cellStyle name="표준 71 4" xfId="4912"/>
    <cellStyle name="표준 72" xfId="4913"/>
    <cellStyle name="표준 72 2" xfId="4914"/>
    <cellStyle name="표준 72 2 2" xfId="4915"/>
    <cellStyle name="표준 73" xfId="4916"/>
    <cellStyle name="표준 74" xfId="4917"/>
    <cellStyle name="표준 75" xfId="4918"/>
    <cellStyle name="표준 75 2" xfId="4919"/>
    <cellStyle name="표준 75 3" xfId="4920"/>
    <cellStyle name="표준 76" xfId="4921"/>
    <cellStyle name="표준 76 2" xfId="4922"/>
    <cellStyle name="표준 76 2 2" xfId="4923"/>
    <cellStyle name="표준 76 2 3" xfId="4924"/>
    <cellStyle name="표준 76 3" xfId="4925"/>
    <cellStyle name="표준 76 4" xfId="4926"/>
    <cellStyle name="표준 77" xfId="4927"/>
    <cellStyle name="표준 77 2" xfId="4928"/>
    <cellStyle name="표준 77 3" xfId="4929"/>
    <cellStyle name="표준 78" xfId="4930"/>
    <cellStyle name="표준 78 2" xfId="4931"/>
    <cellStyle name="표준 78 3" xfId="4932"/>
    <cellStyle name="표준 79" xfId="4933"/>
    <cellStyle name="표준 8" xfId="4934"/>
    <cellStyle name="표준 80" xfId="4935"/>
    <cellStyle name="표준 80 2" xfId="4936"/>
    <cellStyle name="표준 80 3" xfId="4937"/>
    <cellStyle name="표준 80 4" xfId="4938"/>
    <cellStyle name="표준 81" xfId="4939"/>
    <cellStyle name="표준 82" xfId="4940"/>
    <cellStyle name="표준 83" xfId="4941"/>
    <cellStyle name="표준 84" xfId="4942"/>
    <cellStyle name="표준 85" xfId="4943"/>
    <cellStyle name="표준 86" xfId="4944"/>
    <cellStyle name="표준 87" xfId="4945"/>
    <cellStyle name="표준 88" xfId="4946"/>
    <cellStyle name="표준 89" xfId="4947"/>
    <cellStyle name="표준 9" xfId="4948"/>
    <cellStyle name="표준 90" xfId="4949"/>
    <cellStyle name="표준 91" xfId="4950"/>
    <cellStyle name="표준 92" xfId="4951"/>
    <cellStyle name="표준 95" xfId="4960"/>
    <cellStyle name="표준 96" xfId="4961"/>
    <cellStyle name="標準_(原紙)品質一覧（DR5)" xfId="4952"/>
    <cellStyle name="표준영문" xfId="4953"/>
    <cellStyle name="프로젝트개발UNIT" xfId="4954"/>
    <cellStyle name="하이퍼링크 2" xfId="4955"/>
    <cellStyle name="합산" xfId="4956"/>
    <cellStyle name="桁区切り_AMTC-06-0236_G3_5_2.4インチ" xfId="4957"/>
    <cellStyle name="화폐기호" xfId="4958"/>
    <cellStyle name="화폐기호0" xfId="4959"/>
  </cellStyles>
  <dxfs count="101"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00"/>
      <color rgb="FF00CC00"/>
      <color rgb="FF99FF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02811950325476"/>
          <c:y val="9.4147116005236745E-2"/>
          <c:w val="0.84344369247553708"/>
          <c:h val="0.84754763105563125"/>
        </c:manualLayout>
      </c:layout>
      <c:lineChart>
        <c:grouping val="standard"/>
        <c:varyColors val="0"/>
        <c:ser>
          <c:idx val="0"/>
          <c:order val="0"/>
          <c:tx>
            <c:strRef>
              <c:f>'SPC 관리'!$T$6</c:f>
              <c:strCache>
                <c:ptCount val="1"/>
                <c:pt idx="0">
                  <c:v>cd/A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cat>
            <c:strRef>
              <c:f>'SPC 관리'!$Q$7:$Q$48</c:f>
              <c:strCache>
                <c:ptCount val="41"/>
                <c:pt idx="0">
                  <c:v>101G16005</c:v>
                </c:pt>
                <c:pt idx="2">
                  <c:v>101G16007</c:v>
                </c:pt>
                <c:pt idx="4">
                  <c:v>101G16008</c:v>
                </c:pt>
                <c:pt idx="6">
                  <c:v>101G16002</c:v>
                </c:pt>
                <c:pt idx="8">
                  <c:v>101G16003</c:v>
                </c:pt>
                <c:pt idx="10">
                  <c:v>101G16004</c:v>
                </c:pt>
                <c:pt idx="12">
                  <c:v>101G16001</c:v>
                </c:pt>
                <c:pt idx="14">
                  <c:v>101G17001</c:v>
                </c:pt>
                <c:pt idx="16">
                  <c:v>101G17002</c:v>
                </c:pt>
                <c:pt idx="18">
                  <c:v>101G17003</c:v>
                </c:pt>
                <c:pt idx="20">
                  <c:v>101G17004</c:v>
                </c:pt>
                <c:pt idx="22">
                  <c:v>101G17008</c:v>
                </c:pt>
                <c:pt idx="24">
                  <c:v>101G17007</c:v>
                </c:pt>
                <c:pt idx="26">
                  <c:v>101G17009</c:v>
                </c:pt>
                <c:pt idx="28">
                  <c:v>101G17006</c:v>
                </c:pt>
                <c:pt idx="30">
                  <c:v>101G17010</c:v>
                </c:pt>
                <c:pt idx="32">
                  <c:v>101G17005</c:v>
                </c:pt>
                <c:pt idx="34">
                  <c:v>101G17011</c:v>
                </c:pt>
                <c:pt idx="36">
                  <c:v>101G18001</c:v>
                </c:pt>
                <c:pt idx="38">
                  <c:v>101G18002</c:v>
                </c:pt>
                <c:pt idx="40">
                  <c:v>101G18003</c:v>
                </c:pt>
              </c:strCache>
            </c:strRef>
          </c:cat>
          <c:val>
            <c:numRef>
              <c:f>'SPC 관리'!$T$7:$T$48</c:f>
              <c:numCache>
                <c:formatCode>0.0%</c:formatCode>
                <c:ptCount val="42"/>
                <c:pt idx="0">
                  <c:v>-4.8568747067104789E-2</c:v>
                </c:pt>
                <c:pt idx="2">
                  <c:v>7.9911209766925229E-3</c:v>
                </c:pt>
                <c:pt idx="4">
                  <c:v>-1.2460353420933545E-2</c:v>
                </c:pt>
                <c:pt idx="6">
                  <c:v>-3.2363213038416827E-2</c:v>
                </c:pt>
                <c:pt idx="8">
                  <c:v>-3.3325565136331781E-2</c:v>
                </c:pt>
                <c:pt idx="10">
                  <c:v>-1.1174458380843966E-2</c:v>
                </c:pt>
                <c:pt idx="12">
                  <c:v>7.0638097480575368E-3</c:v>
                </c:pt>
                <c:pt idx="14">
                  <c:v>1.8303985171455039E-2</c:v>
                </c:pt>
                <c:pt idx="16">
                  <c:v>-1.7286914765906269E-2</c:v>
                </c:pt>
                <c:pt idx="18">
                  <c:v>-3.518201807964827E-2</c:v>
                </c:pt>
                <c:pt idx="20">
                  <c:v>2.953680912955936E-2</c:v>
                </c:pt>
                <c:pt idx="22">
                  <c:v>3.9586919104991236E-2</c:v>
                </c:pt>
                <c:pt idx="24">
                  <c:v>-1.6636805733299287E-2</c:v>
                </c:pt>
                <c:pt idx="26">
                  <c:v>4.0347610180012428E-2</c:v>
                </c:pt>
                <c:pt idx="28">
                  <c:v>-2.1810971579643068E-2</c:v>
                </c:pt>
                <c:pt idx="30">
                  <c:v>-8.2076308784382324E-3</c:v>
                </c:pt>
                <c:pt idx="32">
                  <c:v>-1.5813075289119682E-2</c:v>
                </c:pt>
                <c:pt idx="34">
                  <c:v>-2.4937655860348684E-3</c:v>
                </c:pt>
                <c:pt idx="36">
                  <c:v>3.3944954128440452E-2</c:v>
                </c:pt>
                <c:pt idx="38">
                  <c:v>2.2557947019867575E-2</c:v>
                </c:pt>
                <c:pt idx="40">
                  <c:v>4.029304029304015E-2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F6-4416-84E7-8B1647D36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82643456"/>
        <c:axId val="361943808"/>
      </c:lineChart>
      <c:catAx>
        <c:axId val="2826434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ko-KR"/>
          </a:p>
        </c:txPr>
        <c:crossAx val="361943808"/>
        <c:crosses val="autoZero"/>
        <c:auto val="1"/>
        <c:lblAlgn val="ctr"/>
        <c:lblOffset val="100"/>
        <c:noMultiLvlLbl val="0"/>
      </c:catAx>
      <c:valAx>
        <c:axId val="361943808"/>
        <c:scaling>
          <c:orientation val="minMax"/>
          <c:max val="6.0000000000000012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 sz="1200" b="0"/>
                  <a:t>효율 차이 </a:t>
                </a:r>
                <a:r>
                  <a:rPr lang="en-US" altLang="ko-KR" sz="1200" b="0"/>
                  <a:t>%</a:t>
                </a:r>
                <a:endParaRPr lang="ko-KR" altLang="en-US" sz="1200" b="0"/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282643456"/>
        <c:crosses val="autoZero"/>
        <c:crossBetween val="between"/>
        <c:majorUnit val="1.0000000000000002E-2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914322767886992"/>
          <c:y val="0.10968927122067727"/>
          <c:w val="7.2051657683848455E-2"/>
          <c:h val="3.6071489465661286E-2"/>
        </c:manualLayout>
      </c:layout>
      <c:overlay val="0"/>
    </c:legend>
    <c:plotVisOnly val="1"/>
    <c:dispBlanksAs val="span"/>
    <c:showDLblsOverMax val="0"/>
  </c:chart>
  <c:txPr>
    <a:bodyPr/>
    <a:lstStyle/>
    <a:p>
      <a:pPr>
        <a:defRPr>
          <a:latin typeface="LG스마트체 Regular" panose="020B0600000101010101" pitchFamily="50" charset="-127"/>
          <a:ea typeface="LG스마트체 Regular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802811950325476"/>
          <c:y val="9.4147116005236745E-2"/>
          <c:w val="0.84344369247553708"/>
          <c:h val="0.84754763105563125"/>
        </c:manualLayout>
      </c:layout>
      <c:lineChart>
        <c:grouping val="standard"/>
        <c:varyColors val="0"/>
        <c:ser>
          <c:idx val="0"/>
          <c:order val="0"/>
          <c:tx>
            <c:strRef>
              <c:f>'SPC 관리'!$Z$6</c:f>
              <c:strCache>
                <c:ptCount val="1"/>
                <c:pt idx="0">
                  <c:v>수명차이 %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strRef>
              <c:f>'SPC 관리'!$Q$7:$Q$48</c:f>
              <c:strCache>
                <c:ptCount val="41"/>
                <c:pt idx="0">
                  <c:v>101G16005</c:v>
                </c:pt>
                <c:pt idx="2">
                  <c:v>101G16007</c:v>
                </c:pt>
                <c:pt idx="4">
                  <c:v>101G16008</c:v>
                </c:pt>
                <c:pt idx="6">
                  <c:v>101G16002</c:v>
                </c:pt>
                <c:pt idx="8">
                  <c:v>101G16003</c:v>
                </c:pt>
                <c:pt idx="10">
                  <c:v>101G16004</c:v>
                </c:pt>
                <c:pt idx="12">
                  <c:v>101G16001</c:v>
                </c:pt>
                <c:pt idx="14">
                  <c:v>101G17001</c:v>
                </c:pt>
                <c:pt idx="16">
                  <c:v>101G17002</c:v>
                </c:pt>
                <c:pt idx="18">
                  <c:v>101G17003</c:v>
                </c:pt>
                <c:pt idx="20">
                  <c:v>101G17004</c:v>
                </c:pt>
                <c:pt idx="22">
                  <c:v>101G17008</c:v>
                </c:pt>
                <c:pt idx="24">
                  <c:v>101G17007</c:v>
                </c:pt>
                <c:pt idx="26">
                  <c:v>101G17009</c:v>
                </c:pt>
                <c:pt idx="28">
                  <c:v>101G17006</c:v>
                </c:pt>
                <c:pt idx="30">
                  <c:v>101G17010</c:v>
                </c:pt>
                <c:pt idx="32">
                  <c:v>101G17005</c:v>
                </c:pt>
                <c:pt idx="34">
                  <c:v>101G17011</c:v>
                </c:pt>
                <c:pt idx="36">
                  <c:v>101G18001</c:v>
                </c:pt>
                <c:pt idx="38">
                  <c:v>101G18002</c:v>
                </c:pt>
                <c:pt idx="40">
                  <c:v>101G18003</c:v>
                </c:pt>
              </c:strCache>
            </c:strRef>
          </c:cat>
          <c:val>
            <c:numRef>
              <c:f>'SPC 관리'!$Z$7:$Z$48</c:f>
              <c:numCache>
                <c:formatCode>0.0%</c:formatCode>
                <c:ptCount val="42"/>
                <c:pt idx="0">
                  <c:v>4.362050163576936E-3</c:v>
                </c:pt>
                <c:pt idx="2">
                  <c:v>-2.6702269692921998E-3</c:v>
                </c:pt>
                <c:pt idx="4">
                  <c:v>-4.88826815642458E-2</c:v>
                </c:pt>
                <c:pt idx="6">
                  <c:v>4.9431919576467753E-2</c:v>
                </c:pt>
                <c:pt idx="8">
                  <c:v>4.372075209747095E-2</c:v>
                </c:pt>
                <c:pt idx="10">
                  <c:v>4.3783696452186049E-2</c:v>
                </c:pt>
                <c:pt idx="12">
                  <c:v>-6.3769823578117002E-3</c:v>
                </c:pt>
                <c:pt idx="14">
                  <c:v>-6.3769823578117002E-3</c:v>
                </c:pt>
                <c:pt idx="16">
                  <c:v>-4.2032808507130426E-2</c:v>
                </c:pt>
                <c:pt idx="18">
                  <c:v>3.3681152772999989E-2</c:v>
                </c:pt>
                <c:pt idx="20">
                  <c:v>2.0325203252032464E-2</c:v>
                </c:pt>
                <c:pt idx="22">
                  <c:v>-4.6171171171171199E-2</c:v>
                </c:pt>
                <c:pt idx="24">
                  <c:v>7.1684587813619638E-3</c:v>
                </c:pt>
                <c:pt idx="26">
                  <c:v>-3.0502483468933805E-2</c:v>
                </c:pt>
                <c:pt idx="28">
                  <c:v>8.6493787142085443E-2</c:v>
                </c:pt>
                <c:pt idx="30">
                  <c:v>5.8139534883719923E-3</c:v>
                </c:pt>
                <c:pt idx="32">
                  <c:v>-7.3710073710073765E-3</c:v>
                </c:pt>
                <c:pt idx="34">
                  <c:v>-3.6649214659685736E-2</c:v>
                </c:pt>
                <c:pt idx="36">
                  <c:v>-7.8534031413612482E-2</c:v>
                </c:pt>
                <c:pt idx="38">
                  <c:v>-5.6410256410256432E-2</c:v>
                </c:pt>
                <c:pt idx="40">
                  <c:v>-7.4270557029177731E-2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36-4EBF-959C-4F6158533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278415232"/>
        <c:axId val="278416768"/>
      </c:lineChart>
      <c:catAx>
        <c:axId val="2784152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ko-KR"/>
          </a:p>
        </c:txPr>
        <c:crossAx val="278416768"/>
        <c:crosses val="autoZero"/>
        <c:auto val="1"/>
        <c:lblAlgn val="ctr"/>
        <c:lblOffset val="100"/>
        <c:noMultiLvlLbl val="0"/>
      </c:catAx>
      <c:valAx>
        <c:axId val="278416768"/>
        <c:scaling>
          <c:orientation val="minMax"/>
          <c:max val="0.11000000000000001"/>
          <c:min val="-0.110000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 sz="1200" b="0"/>
                  <a:t>수명 차이 </a:t>
                </a:r>
                <a:r>
                  <a:rPr lang="en-US" altLang="ko-KR" sz="1200" b="0"/>
                  <a:t>%</a:t>
                </a:r>
                <a:endParaRPr lang="ko-KR" altLang="en-US" sz="1200" b="0"/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278415232"/>
        <c:crosses val="autoZero"/>
        <c:crossBetween val="between"/>
        <c:majorUnit val="1.0000000000000002E-2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4184891932329749"/>
          <c:y val="4.0741259132771608E-2"/>
          <c:w val="0.10823331983967799"/>
          <c:h val="3.6071489465661286E-2"/>
        </c:manualLayout>
      </c:layout>
      <c:overlay val="0"/>
    </c:legend>
    <c:plotVisOnly val="1"/>
    <c:dispBlanksAs val="span"/>
    <c:showDLblsOverMax val="0"/>
  </c:chart>
  <c:txPr>
    <a:bodyPr/>
    <a:lstStyle/>
    <a:p>
      <a:pPr>
        <a:defRPr>
          <a:latin typeface="LG스마트체 Regular" panose="020B0600000101010101" pitchFamily="50" charset="-127"/>
          <a:ea typeface="LG스마트체 Regular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400051</xdr:colOff>
      <xdr:row>3</xdr:row>
      <xdr:rowOff>76201</xdr:rowOff>
    </xdr:from>
    <xdr:to>
      <xdr:col>11</xdr:col>
      <xdr:colOff>28576</xdr:colOff>
      <xdr:row>4</xdr:row>
      <xdr:rowOff>123825</xdr:rowOff>
    </xdr:to>
    <xdr:sp macro="[0]!Lot_up" textlink="">
      <xdr:nvSpPr>
        <xdr:cNvPr id="2" name="모서리가 둥근 직사각형 1"/>
        <xdr:cNvSpPr/>
      </xdr:nvSpPr>
      <xdr:spPr>
        <a:xfrm>
          <a:off x="5886451" y="704851"/>
          <a:ext cx="1428750" cy="257174"/>
        </a:xfrm>
        <a:prstGeom prst="roundRect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데이터 정리하기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683557</xdr:colOff>
      <xdr:row>0</xdr:row>
      <xdr:rowOff>76202</xdr:rowOff>
    </xdr:from>
    <xdr:to>
      <xdr:col>8</xdr:col>
      <xdr:colOff>0</xdr:colOff>
      <xdr:row>0</xdr:row>
      <xdr:rowOff>447676</xdr:rowOff>
    </xdr:to>
    <xdr:sp macro="[0]!Add_Lot_Data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38F240A-0187-4290-A55A-AF4A8BFF4EE7}"/>
            </a:ext>
          </a:extLst>
        </xdr:cNvPr>
        <xdr:cNvSpPr/>
      </xdr:nvSpPr>
      <xdr:spPr>
        <a:xfrm>
          <a:off x="5684182" y="76202"/>
          <a:ext cx="1373843" cy="371474"/>
        </a:xfrm>
        <a:prstGeom prst="roundRect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>
              <a:solidFill>
                <a:schemeClr val="tx1"/>
              </a:solidFill>
            </a:rPr>
            <a:t>Lot </a:t>
          </a:r>
          <a:r>
            <a:rPr lang="ko-KR" altLang="en-US" sz="1600">
              <a:solidFill>
                <a:schemeClr val="tx1"/>
              </a:solidFill>
            </a:rPr>
            <a:t>추가</a:t>
          </a:r>
        </a:p>
      </xdr:txBody>
    </xdr:sp>
    <xdr:clientData/>
  </xdr:twoCellAnchor>
  <xdr:twoCellAnchor>
    <xdr:from>
      <xdr:col>8</xdr:col>
      <xdr:colOff>590550</xdr:colOff>
      <xdr:row>0</xdr:row>
      <xdr:rowOff>76202</xdr:rowOff>
    </xdr:from>
    <xdr:to>
      <xdr:col>10</xdr:col>
      <xdr:colOff>666750</xdr:colOff>
      <xdr:row>0</xdr:row>
      <xdr:rowOff>438151</xdr:rowOff>
    </xdr:to>
    <xdr:sp macro="[0]!data_load_open" textlink="">
      <xdr:nvSpPr>
        <xdr:cNvPr id="3" name="사각형: 둥근 모서리 7">
          <a:extLst>
            <a:ext uri="{FF2B5EF4-FFF2-40B4-BE49-F238E27FC236}">
              <a16:creationId xmlns:a16="http://schemas.microsoft.com/office/drawing/2014/main" id="{BF1D367D-A82E-4CC1-9964-73C331B4E3C5}"/>
            </a:ext>
          </a:extLst>
        </xdr:cNvPr>
        <xdr:cNvSpPr/>
      </xdr:nvSpPr>
      <xdr:spPr>
        <a:xfrm>
          <a:off x="7648575" y="76202"/>
          <a:ext cx="1447800" cy="361949"/>
        </a:xfrm>
        <a:prstGeom prst="roundRect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tx1"/>
              </a:solidFill>
            </a:rPr>
            <a:t>데이터 선택</a:t>
          </a:r>
        </a:p>
      </xdr:txBody>
    </xdr:sp>
    <xdr:clientData/>
  </xdr:twoCellAnchor>
  <xdr:twoCellAnchor>
    <xdr:from>
      <xdr:col>1</xdr:col>
      <xdr:colOff>40998</xdr:colOff>
      <xdr:row>0</xdr:row>
      <xdr:rowOff>76202</xdr:rowOff>
    </xdr:from>
    <xdr:to>
      <xdr:col>2</xdr:col>
      <xdr:colOff>1159565</xdr:colOff>
      <xdr:row>0</xdr:row>
      <xdr:rowOff>447676</xdr:rowOff>
    </xdr:to>
    <xdr:sp macro="[0]!last_lot" textlink="">
      <xdr:nvSpPr>
        <xdr:cNvPr id="4" name="사각형: 둥근 모서리 4">
          <a:extLst>
            <a:ext uri="{FF2B5EF4-FFF2-40B4-BE49-F238E27FC236}">
              <a16:creationId xmlns:a16="http://schemas.microsoft.com/office/drawing/2014/main" id="{F5FE3749-4B68-4E9D-AB80-F6EFBDDE0D4A}"/>
            </a:ext>
          </a:extLst>
        </xdr:cNvPr>
        <xdr:cNvSpPr/>
      </xdr:nvSpPr>
      <xdr:spPr>
        <a:xfrm>
          <a:off x="726798" y="76202"/>
          <a:ext cx="1813892" cy="371474"/>
        </a:xfrm>
        <a:prstGeom prst="roundRect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>
              <a:solidFill>
                <a:schemeClr val="tx1"/>
              </a:solidFill>
            </a:rPr>
            <a:t>마지막 </a:t>
          </a:r>
          <a:r>
            <a:rPr lang="en-US" altLang="ko-KR" sz="1600">
              <a:solidFill>
                <a:schemeClr val="tx1"/>
              </a:solidFill>
            </a:rPr>
            <a:t>Lot </a:t>
          </a:r>
          <a:r>
            <a:rPr lang="ko-KR" altLang="en-US" sz="1600">
              <a:solidFill>
                <a:schemeClr val="tx1"/>
              </a:solidFill>
            </a:rPr>
            <a:t>으로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358586</xdr:colOff>
      <xdr:row>55</xdr:row>
      <xdr:rowOff>123263</xdr:rowOff>
    </xdr:from>
    <xdr:to>
      <xdr:col>17</xdr:col>
      <xdr:colOff>448235</xdr:colOff>
      <xdr:row>88</xdr:row>
      <xdr:rowOff>100853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33619</xdr:colOff>
      <xdr:row>55</xdr:row>
      <xdr:rowOff>156882</xdr:rowOff>
    </xdr:from>
    <xdr:to>
      <xdr:col>31</xdr:col>
      <xdr:colOff>437032</xdr:colOff>
      <xdr:row>88</xdr:row>
      <xdr:rowOff>134472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152400</xdr:rowOff>
        </xdr:from>
        <xdr:to>
          <xdr:col>1</xdr:col>
          <xdr:colOff>895350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Source 경로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0</xdr:rowOff>
        </xdr:from>
        <xdr:to>
          <xdr:col>1</xdr:col>
          <xdr:colOff>885825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Target 경로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19050</xdr:rowOff>
        </xdr:from>
        <xdr:to>
          <xdr:col>1</xdr:col>
          <xdr:colOff>885825</xdr:colOff>
          <xdr:row>4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OLED 경로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BZ106"/>
  <sheetViews>
    <sheetView showGridLines="0" zoomScale="70" zoomScaleNormal="70" workbookViewId="0">
      <pane ySplit="2" topLeftCell="A3" activePane="bottomLeft" state="frozen"/>
      <selection activeCell="J20" sqref="J20"/>
      <selection pane="bottomLeft" activeCell="W40" sqref="W40:W41"/>
    </sheetView>
  </sheetViews>
  <sheetFormatPr defaultRowHeight="16.5"/>
  <cols>
    <col min="1" max="1" width="4.875" style="147" bestFit="1" customWidth="1"/>
    <col min="2" max="2" width="7.875" style="147" bestFit="1" customWidth="1"/>
    <col min="3" max="3" width="8.875" style="147" bestFit="1" customWidth="1"/>
    <col min="4" max="4" width="8.375" style="147" bestFit="1" customWidth="1"/>
    <col min="5" max="5" width="13.75" style="147" bestFit="1" customWidth="1"/>
    <col min="6" max="6" width="13.125" style="162" bestFit="1" customWidth="1"/>
    <col min="7" max="7" width="2.5" style="147" customWidth="1"/>
    <col min="8" max="8" width="4.875" style="148" bestFit="1" customWidth="1"/>
    <col min="9" max="9" width="7.875" style="148" bestFit="1" customWidth="1"/>
    <col min="10" max="10" width="9" style="148" bestFit="1" customWidth="1"/>
    <col min="11" max="11" width="8.375" style="148" bestFit="1" customWidth="1"/>
    <col min="12" max="12" width="13.75" style="148" bestFit="1" customWidth="1"/>
    <col min="13" max="13" width="13.125" style="156" bestFit="1" customWidth="1"/>
    <col min="14" max="14" width="2.5" style="147" customWidth="1"/>
    <col min="15" max="15" width="4.875" style="147" bestFit="1" customWidth="1"/>
    <col min="16" max="16" width="7.875" style="147" bestFit="1" customWidth="1"/>
    <col min="17" max="17" width="9" style="147" bestFit="1" customWidth="1"/>
    <col min="18" max="18" width="8.375" style="147" bestFit="1" customWidth="1"/>
    <col min="19" max="19" width="13.75" style="147" bestFit="1" customWidth="1"/>
    <col min="20" max="20" width="13.125" style="162" bestFit="1" customWidth="1"/>
    <col min="21" max="21" width="2.5" style="147" customWidth="1"/>
    <col min="22" max="22" width="4.875" style="147" bestFit="1" customWidth="1"/>
    <col min="23" max="23" width="7.875" style="147" bestFit="1" customWidth="1"/>
    <col min="24" max="24" width="8.75" style="147" bestFit="1" customWidth="1"/>
    <col min="25" max="25" width="8.5" style="147" bestFit="1" customWidth="1"/>
    <col min="26" max="26" width="13.75" style="147" bestFit="1" customWidth="1"/>
    <col min="27" max="27" width="13.875" style="162" bestFit="1" customWidth="1"/>
    <col min="28" max="28" width="5.875" style="147" customWidth="1"/>
    <col min="29" max="29" width="4.875" style="147" bestFit="1" customWidth="1"/>
    <col min="30" max="30" width="7.875" style="147" bestFit="1" customWidth="1"/>
    <col min="31" max="31" width="8.75" style="147" bestFit="1" customWidth="1"/>
    <col min="32" max="32" width="8.5" style="147" bestFit="1" customWidth="1"/>
    <col min="33" max="33" width="13.75" style="147" bestFit="1" customWidth="1"/>
    <col min="34" max="34" width="13.875" style="162" bestFit="1" customWidth="1"/>
    <col min="35" max="35" width="5.875" style="147" customWidth="1"/>
    <col min="36" max="36" width="4.875" style="147" bestFit="1" customWidth="1"/>
    <col min="37" max="37" width="7.875" style="147" bestFit="1" customWidth="1"/>
    <col min="38" max="38" width="8.75" style="147" bestFit="1" customWidth="1"/>
    <col min="39" max="39" width="9" style="147" bestFit="1" customWidth="1"/>
    <col min="40" max="40" width="13.75" style="147" bestFit="1" customWidth="1"/>
    <col min="41" max="41" width="13.875" style="162" bestFit="1" customWidth="1"/>
    <col min="42" max="42" width="2.5" style="147" customWidth="1"/>
    <col min="43" max="43" width="4.875" style="147" bestFit="1" customWidth="1"/>
    <col min="44" max="44" width="10" style="147" bestFit="1" customWidth="1"/>
    <col min="45" max="45" width="8.75" style="147" bestFit="1" customWidth="1"/>
    <col min="46" max="46" width="8.5" style="147" bestFit="1" customWidth="1"/>
    <col min="47" max="47" width="13.75" style="147" bestFit="1" customWidth="1"/>
    <col min="48" max="48" width="13.625" style="147" customWidth="1"/>
    <col min="49" max="49" width="7.375" style="162" bestFit="1" customWidth="1"/>
    <col min="50" max="50" width="2.5" style="147" customWidth="1"/>
    <col min="51" max="51" width="4.875" style="147" bestFit="1" customWidth="1"/>
    <col min="52" max="52" width="7.875" style="147" bestFit="1" customWidth="1"/>
    <col min="53" max="53" width="8.625" style="147" bestFit="1" customWidth="1"/>
    <col min="54" max="54" width="8.375" style="147" bestFit="1" customWidth="1"/>
    <col min="55" max="55" width="13.75" style="147" bestFit="1" customWidth="1"/>
    <col min="56" max="56" width="13.625" style="147" customWidth="1"/>
    <col min="57" max="57" width="7.375" style="162" bestFit="1" customWidth="1"/>
    <col min="58" max="58" width="2.5" style="147" customWidth="1"/>
    <col min="59" max="59" width="4.875" style="147" bestFit="1" customWidth="1"/>
    <col min="60" max="60" width="7.875" style="147" bestFit="1" customWidth="1"/>
    <col min="61" max="61" width="8.75" style="147" bestFit="1" customWidth="1"/>
    <col min="62" max="62" width="8.375" style="147" bestFit="1" customWidth="1"/>
    <col min="63" max="63" width="13.75" style="147" bestFit="1" customWidth="1"/>
    <col min="64" max="64" width="7.375" style="162" bestFit="1" customWidth="1"/>
    <col min="65" max="65" width="2.5" style="147" customWidth="1"/>
    <col min="66" max="66" width="4.875" style="147" bestFit="1" customWidth="1"/>
    <col min="67" max="67" width="7.875" style="147" bestFit="1" customWidth="1"/>
    <col min="68" max="68" width="8.75" style="147" bestFit="1" customWidth="1"/>
    <col min="69" max="69" width="8.375" style="147" bestFit="1" customWidth="1"/>
    <col min="70" max="70" width="13.75" style="147" bestFit="1" customWidth="1"/>
    <col min="71" max="71" width="7.375" style="162" bestFit="1" customWidth="1"/>
    <col min="72" max="72" width="2.5" style="147" customWidth="1"/>
    <col min="73" max="73" width="4.875" style="147" bestFit="1" customWidth="1"/>
    <col min="74" max="74" width="7.875" style="147" bestFit="1" customWidth="1"/>
    <col min="75" max="75" width="8.75" style="147" bestFit="1" customWidth="1"/>
    <col min="76" max="76" width="8.375" style="147" bestFit="1" customWidth="1"/>
    <col min="77" max="77" width="13.75" style="147" bestFit="1" customWidth="1"/>
    <col min="78" max="78" width="7.375" style="162" bestFit="1" customWidth="1"/>
    <col min="79" max="16384" width="9" style="147"/>
  </cols>
  <sheetData>
    <row r="1" spans="1:78">
      <c r="A1" s="632" t="s">
        <v>84</v>
      </c>
      <c r="B1" s="632"/>
      <c r="C1" s="632"/>
      <c r="D1" s="632"/>
      <c r="E1" s="632"/>
      <c r="F1" s="632"/>
      <c r="H1" s="631" t="s">
        <v>85</v>
      </c>
      <c r="I1" s="631"/>
      <c r="J1" s="631"/>
      <c r="K1" s="631"/>
      <c r="L1" s="631"/>
      <c r="M1" s="631"/>
      <c r="O1" s="634" t="s">
        <v>86</v>
      </c>
      <c r="P1" s="635"/>
      <c r="Q1" s="635"/>
      <c r="R1" s="635"/>
      <c r="S1" s="635"/>
      <c r="T1" s="636"/>
      <c r="V1" s="633" t="s">
        <v>88</v>
      </c>
      <c r="W1" s="633"/>
      <c r="X1" s="633"/>
      <c r="Y1" s="633"/>
      <c r="Z1" s="633"/>
      <c r="AA1" s="633"/>
      <c r="AC1" s="633" t="s">
        <v>89</v>
      </c>
      <c r="AD1" s="633"/>
      <c r="AE1" s="633"/>
      <c r="AF1" s="633"/>
      <c r="AG1" s="633"/>
      <c r="AH1" s="633"/>
      <c r="AJ1" s="633" t="s">
        <v>90</v>
      </c>
      <c r="AK1" s="633"/>
      <c r="AL1" s="633"/>
      <c r="AM1" s="633"/>
      <c r="AN1" s="633"/>
      <c r="AO1" s="633"/>
      <c r="AQ1" s="632" t="s">
        <v>87</v>
      </c>
      <c r="AR1" s="632"/>
      <c r="AS1" s="632"/>
      <c r="AT1" s="632"/>
      <c r="AU1" s="632"/>
      <c r="AV1" s="632"/>
      <c r="AW1" s="632"/>
      <c r="AY1" s="632" t="s">
        <v>91</v>
      </c>
      <c r="AZ1" s="632"/>
      <c r="BA1" s="632"/>
      <c r="BB1" s="632"/>
      <c r="BC1" s="632"/>
      <c r="BD1" s="632"/>
      <c r="BE1" s="632"/>
      <c r="BG1" s="632" t="s">
        <v>92</v>
      </c>
      <c r="BH1" s="632"/>
      <c r="BI1" s="632"/>
      <c r="BJ1" s="632"/>
      <c r="BK1" s="632"/>
      <c r="BL1" s="632"/>
      <c r="BN1" s="631" t="s">
        <v>93</v>
      </c>
      <c r="BO1" s="631"/>
      <c r="BP1" s="631"/>
      <c r="BQ1" s="631"/>
      <c r="BR1" s="631"/>
      <c r="BS1" s="631"/>
      <c r="BU1" s="632" t="s">
        <v>94</v>
      </c>
      <c r="BV1" s="632"/>
      <c r="BW1" s="632"/>
      <c r="BX1" s="632"/>
      <c r="BY1" s="632"/>
      <c r="BZ1" s="632"/>
    </row>
    <row r="2" spans="1:78" s="159" customFormat="1">
      <c r="A2" s="149" t="s">
        <v>95</v>
      </c>
      <c r="B2" s="149" t="s">
        <v>96</v>
      </c>
      <c r="C2" s="149" t="s">
        <v>97</v>
      </c>
      <c r="D2" s="150" t="s">
        <v>98</v>
      </c>
      <c r="E2" s="149" t="s">
        <v>99</v>
      </c>
      <c r="F2" s="152" t="s">
        <v>100</v>
      </c>
      <c r="H2" s="149" t="s">
        <v>95</v>
      </c>
      <c r="I2" s="149" t="s">
        <v>96</v>
      </c>
      <c r="J2" s="149" t="s">
        <v>97</v>
      </c>
      <c r="K2" s="150" t="s">
        <v>98</v>
      </c>
      <c r="L2" s="149" t="s">
        <v>99</v>
      </c>
      <c r="M2" s="152" t="s">
        <v>100</v>
      </c>
      <c r="O2" s="149" t="s">
        <v>95</v>
      </c>
      <c r="P2" s="149" t="s">
        <v>96</v>
      </c>
      <c r="Q2" s="149" t="s">
        <v>97</v>
      </c>
      <c r="R2" s="150" t="s">
        <v>98</v>
      </c>
      <c r="S2" s="149" t="s">
        <v>99</v>
      </c>
      <c r="T2" s="152" t="s">
        <v>100</v>
      </c>
      <c r="V2" s="149" t="s">
        <v>95</v>
      </c>
      <c r="W2" s="149" t="s">
        <v>96</v>
      </c>
      <c r="X2" s="149" t="s">
        <v>97</v>
      </c>
      <c r="Y2" s="150" t="s">
        <v>98</v>
      </c>
      <c r="Z2" s="149" t="s">
        <v>99</v>
      </c>
      <c r="AA2" s="152" t="s">
        <v>100</v>
      </c>
      <c r="AC2" s="149" t="s">
        <v>95</v>
      </c>
      <c r="AD2" s="149" t="s">
        <v>96</v>
      </c>
      <c r="AE2" s="149" t="s">
        <v>97</v>
      </c>
      <c r="AF2" s="150" t="s">
        <v>98</v>
      </c>
      <c r="AG2" s="149" t="s">
        <v>99</v>
      </c>
      <c r="AH2" s="152" t="s">
        <v>100</v>
      </c>
      <c r="AJ2" s="149" t="s">
        <v>95</v>
      </c>
      <c r="AK2" s="149" t="s">
        <v>96</v>
      </c>
      <c r="AL2" s="149" t="s">
        <v>97</v>
      </c>
      <c r="AM2" s="150" t="s">
        <v>98</v>
      </c>
      <c r="AN2" s="149" t="s">
        <v>99</v>
      </c>
      <c r="AO2" s="152" t="s">
        <v>100</v>
      </c>
      <c r="AQ2" s="149" t="s">
        <v>95</v>
      </c>
      <c r="AR2" s="149" t="s">
        <v>96</v>
      </c>
      <c r="AS2" s="149" t="s">
        <v>97</v>
      </c>
      <c r="AT2" s="150" t="s">
        <v>98</v>
      </c>
      <c r="AU2" s="149" t="s">
        <v>99</v>
      </c>
      <c r="AV2" s="149"/>
      <c r="AW2" s="152" t="s">
        <v>100</v>
      </c>
      <c r="AY2" s="149" t="s">
        <v>95</v>
      </c>
      <c r="AZ2" s="149" t="s">
        <v>96</v>
      </c>
      <c r="BA2" s="149" t="s">
        <v>97</v>
      </c>
      <c r="BB2" s="150" t="s">
        <v>98</v>
      </c>
      <c r="BC2" s="149" t="s">
        <v>99</v>
      </c>
      <c r="BD2" s="149"/>
      <c r="BE2" s="152" t="s">
        <v>100</v>
      </c>
      <c r="BG2" s="149" t="s">
        <v>95</v>
      </c>
      <c r="BH2" s="149" t="s">
        <v>96</v>
      </c>
      <c r="BI2" s="149" t="s">
        <v>97</v>
      </c>
      <c r="BJ2" s="150" t="s">
        <v>98</v>
      </c>
      <c r="BK2" s="149" t="s">
        <v>99</v>
      </c>
      <c r="BL2" s="152" t="s">
        <v>100</v>
      </c>
      <c r="BN2" s="149" t="s">
        <v>95</v>
      </c>
      <c r="BO2" s="149" t="s">
        <v>96</v>
      </c>
      <c r="BP2" s="149" t="s">
        <v>97</v>
      </c>
      <c r="BQ2" s="150" t="s">
        <v>98</v>
      </c>
      <c r="BR2" s="149" t="s">
        <v>99</v>
      </c>
      <c r="BS2" s="152" t="s">
        <v>100</v>
      </c>
      <c r="BU2" s="149" t="s">
        <v>95</v>
      </c>
      <c r="BV2" s="149" t="s">
        <v>96</v>
      </c>
      <c r="BW2" s="149" t="s">
        <v>97</v>
      </c>
      <c r="BX2" s="150" t="s">
        <v>98</v>
      </c>
      <c r="BY2" s="149" t="s">
        <v>99</v>
      </c>
      <c r="BZ2" s="152" t="s">
        <v>100</v>
      </c>
    </row>
    <row r="3" spans="1:78">
      <c r="A3" s="138">
        <v>1</v>
      </c>
      <c r="B3" s="138">
        <v>140115</v>
      </c>
      <c r="C3" s="138" t="s">
        <v>101</v>
      </c>
      <c r="D3" s="138">
        <v>14001</v>
      </c>
      <c r="E3" s="138" t="s">
        <v>102</v>
      </c>
      <c r="F3" s="160"/>
      <c r="H3" s="139">
        <v>1</v>
      </c>
      <c r="I3" s="139">
        <v>140120</v>
      </c>
      <c r="J3" s="139" t="s">
        <v>103</v>
      </c>
      <c r="K3" s="139">
        <v>14001</v>
      </c>
      <c r="L3" s="138" t="s">
        <v>102</v>
      </c>
      <c r="M3" s="153"/>
      <c r="O3" s="139">
        <v>1</v>
      </c>
      <c r="P3" s="139">
        <v>140106</v>
      </c>
      <c r="Q3" s="139" t="s">
        <v>104</v>
      </c>
      <c r="R3" s="139">
        <v>13053</v>
      </c>
      <c r="S3" s="139" t="s">
        <v>102</v>
      </c>
      <c r="T3" s="160">
        <v>41872</v>
      </c>
      <c r="V3" s="142">
        <v>1</v>
      </c>
      <c r="W3" s="142">
        <v>150105</v>
      </c>
      <c r="X3" s="142" t="s">
        <v>106</v>
      </c>
      <c r="Y3" s="142" t="s">
        <v>107</v>
      </c>
      <c r="Z3" s="142" t="s">
        <v>102</v>
      </c>
      <c r="AA3" s="158" t="e">
        <v>#N/A</v>
      </c>
      <c r="AC3" s="139">
        <v>1</v>
      </c>
      <c r="AD3" s="139">
        <v>150304</v>
      </c>
      <c r="AE3" s="139" t="s">
        <v>108</v>
      </c>
      <c r="AF3" s="139" t="s">
        <v>109</v>
      </c>
      <c r="AG3" s="139" t="s">
        <v>102</v>
      </c>
      <c r="AH3" s="153">
        <v>42353</v>
      </c>
      <c r="AJ3" s="139">
        <v>1</v>
      </c>
      <c r="AK3" s="139">
        <v>150126</v>
      </c>
      <c r="AL3" s="139" t="s">
        <v>110</v>
      </c>
      <c r="AM3" s="139" t="s">
        <v>109</v>
      </c>
      <c r="AN3" s="139" t="s">
        <v>102</v>
      </c>
      <c r="AO3" s="153">
        <v>42184</v>
      </c>
      <c r="AQ3" s="140">
        <v>1</v>
      </c>
      <c r="AR3" s="141">
        <v>42401</v>
      </c>
      <c r="AS3" s="140" t="s">
        <v>87</v>
      </c>
      <c r="AT3" s="140">
        <v>160113</v>
      </c>
      <c r="AU3" s="140" t="s">
        <v>105</v>
      </c>
      <c r="AV3" s="140"/>
      <c r="AW3" s="161"/>
      <c r="AY3" s="143">
        <v>1</v>
      </c>
      <c r="AZ3" s="143">
        <v>150422</v>
      </c>
      <c r="BA3" s="143" t="s">
        <v>91</v>
      </c>
      <c r="BB3" s="143">
        <v>150416</v>
      </c>
      <c r="BC3" s="143"/>
      <c r="BD3" s="143"/>
      <c r="BE3" s="155"/>
      <c r="BG3" s="139">
        <v>1</v>
      </c>
      <c r="BH3" s="139">
        <v>140224</v>
      </c>
      <c r="BI3" s="139" t="s">
        <v>111</v>
      </c>
      <c r="BJ3" s="139">
        <v>14001</v>
      </c>
      <c r="BK3" s="139"/>
      <c r="BL3" s="160"/>
      <c r="BN3" s="139">
        <v>1</v>
      </c>
      <c r="BO3" s="139">
        <v>140120</v>
      </c>
      <c r="BP3" s="139" t="s">
        <v>112</v>
      </c>
      <c r="BQ3" s="139">
        <v>14001</v>
      </c>
      <c r="BR3" s="139"/>
      <c r="BS3" s="153"/>
      <c r="BU3" s="139">
        <v>1</v>
      </c>
      <c r="BV3" s="139">
        <v>150105</v>
      </c>
      <c r="BW3" s="139" t="s">
        <v>113</v>
      </c>
      <c r="BX3" s="139">
        <v>14004</v>
      </c>
      <c r="BY3" s="138"/>
      <c r="BZ3" s="160"/>
    </row>
    <row r="4" spans="1:78">
      <c r="A4" s="138">
        <v>2</v>
      </c>
      <c r="B4" s="138">
        <v>140123</v>
      </c>
      <c r="C4" s="138" t="s">
        <v>101</v>
      </c>
      <c r="D4" s="138">
        <v>14002</v>
      </c>
      <c r="E4" s="138" t="s">
        <v>102</v>
      </c>
      <c r="F4" s="160"/>
      <c r="H4" s="139">
        <v>2</v>
      </c>
      <c r="I4" s="139">
        <v>140206</v>
      </c>
      <c r="J4" s="139" t="s">
        <v>114</v>
      </c>
      <c r="K4" s="139">
        <v>14001</v>
      </c>
      <c r="L4" s="138" t="s">
        <v>102</v>
      </c>
      <c r="M4" s="153"/>
      <c r="O4" s="139">
        <v>2</v>
      </c>
      <c r="P4" s="139">
        <v>140108</v>
      </c>
      <c r="Q4" s="139" t="s">
        <v>115</v>
      </c>
      <c r="R4" s="139">
        <v>13008</v>
      </c>
      <c r="S4" s="139" t="s">
        <v>102</v>
      </c>
      <c r="T4" s="160"/>
      <c r="V4" s="142">
        <v>2</v>
      </c>
      <c r="W4" s="142">
        <v>150116</v>
      </c>
      <c r="X4" s="142" t="s">
        <v>106</v>
      </c>
      <c r="Y4" s="142" t="s">
        <v>117</v>
      </c>
      <c r="Z4" s="142" t="s">
        <v>102</v>
      </c>
      <c r="AA4" s="158">
        <v>42240</v>
      </c>
      <c r="AC4" s="139">
        <v>2</v>
      </c>
      <c r="AD4" s="139">
        <v>150601</v>
      </c>
      <c r="AE4" s="139" t="s">
        <v>108</v>
      </c>
      <c r="AF4" s="139" t="s">
        <v>118</v>
      </c>
      <c r="AG4" s="139" t="s">
        <v>102</v>
      </c>
      <c r="AH4" s="153">
        <v>42354</v>
      </c>
      <c r="AJ4" s="139">
        <v>2</v>
      </c>
      <c r="AK4" s="139">
        <v>150213</v>
      </c>
      <c r="AL4" s="139" t="s">
        <v>110</v>
      </c>
      <c r="AM4" s="139" t="s">
        <v>119</v>
      </c>
      <c r="AN4" s="139"/>
      <c r="AO4" s="153"/>
      <c r="AQ4" s="140">
        <v>2</v>
      </c>
      <c r="AR4" s="141">
        <v>42403</v>
      </c>
      <c r="AS4" s="140" t="s">
        <v>87</v>
      </c>
      <c r="AT4" s="140">
        <v>160115</v>
      </c>
      <c r="AU4" s="140" t="s">
        <v>105</v>
      </c>
      <c r="AV4" s="140"/>
      <c r="AW4" s="161" t="s">
        <v>116</v>
      </c>
      <c r="AY4" s="143">
        <v>2</v>
      </c>
      <c r="AZ4" s="143"/>
      <c r="BA4" s="143"/>
      <c r="BB4" s="143"/>
      <c r="BC4" s="143"/>
      <c r="BD4" s="143"/>
      <c r="BE4" s="155"/>
      <c r="BG4" s="139">
        <v>2</v>
      </c>
      <c r="BH4" s="139">
        <v>140317</v>
      </c>
      <c r="BI4" s="139" t="s">
        <v>111</v>
      </c>
      <c r="BJ4" s="139">
        <v>14002</v>
      </c>
      <c r="BK4" s="139"/>
      <c r="BL4" s="160"/>
      <c r="BN4" s="139">
        <v>2</v>
      </c>
      <c r="BO4" s="139">
        <v>140207</v>
      </c>
      <c r="BP4" s="139" t="s">
        <v>112</v>
      </c>
      <c r="BQ4" s="139">
        <v>14002</v>
      </c>
      <c r="BR4" s="139"/>
      <c r="BS4" s="153"/>
      <c r="BU4" s="139">
        <v>2</v>
      </c>
      <c r="BV4" s="139">
        <v>150411</v>
      </c>
      <c r="BW4" s="139" t="s">
        <v>113</v>
      </c>
      <c r="BX4" s="139">
        <v>15001</v>
      </c>
      <c r="BY4" s="138"/>
      <c r="BZ4" s="160"/>
    </row>
    <row r="5" spans="1:78">
      <c r="A5" s="138">
        <v>3</v>
      </c>
      <c r="B5" s="138">
        <v>140311</v>
      </c>
      <c r="C5" s="138" t="s">
        <v>101</v>
      </c>
      <c r="D5" s="138">
        <v>14003</v>
      </c>
      <c r="E5" s="138" t="s">
        <v>102</v>
      </c>
      <c r="F5" s="160"/>
      <c r="H5" s="139">
        <v>3</v>
      </c>
      <c r="I5" s="139">
        <v>140219</v>
      </c>
      <c r="J5" s="139" t="s">
        <v>103</v>
      </c>
      <c r="K5" s="139">
        <v>14002</v>
      </c>
      <c r="L5" s="138" t="s">
        <v>102</v>
      </c>
      <c r="M5" s="153"/>
      <c r="O5" s="139">
        <v>3</v>
      </c>
      <c r="P5" s="139">
        <v>140113</v>
      </c>
      <c r="Q5" s="139" t="s">
        <v>104</v>
      </c>
      <c r="R5" s="139">
        <v>13054</v>
      </c>
      <c r="S5" s="139" t="s">
        <v>102</v>
      </c>
      <c r="T5" s="160"/>
      <c r="V5" s="142">
        <v>3</v>
      </c>
      <c r="W5" s="142">
        <v>150205</v>
      </c>
      <c r="X5" s="142" t="s">
        <v>106</v>
      </c>
      <c r="Y5" s="142" t="s">
        <v>118</v>
      </c>
      <c r="Z5" s="142" t="s">
        <v>102</v>
      </c>
      <c r="AA5" s="158">
        <v>42070</v>
      </c>
      <c r="AC5" s="139">
        <v>3</v>
      </c>
      <c r="AD5" s="139">
        <v>150704</v>
      </c>
      <c r="AE5" s="139" t="s">
        <v>108</v>
      </c>
      <c r="AF5" s="139" t="s">
        <v>117</v>
      </c>
      <c r="AG5" s="139" t="s">
        <v>102</v>
      </c>
      <c r="AH5" s="153">
        <v>42354</v>
      </c>
      <c r="AJ5" s="139">
        <v>3</v>
      </c>
      <c r="AK5" s="139">
        <v>150217</v>
      </c>
      <c r="AL5" s="139" t="s">
        <v>110</v>
      </c>
      <c r="AM5" s="139" t="s">
        <v>120</v>
      </c>
      <c r="AN5" s="139"/>
      <c r="AO5" s="153"/>
      <c r="AQ5" s="140">
        <v>3</v>
      </c>
      <c r="AR5" s="141">
        <v>42403</v>
      </c>
      <c r="AS5" s="140" t="s">
        <v>87</v>
      </c>
      <c r="AT5" s="140">
        <v>150708</v>
      </c>
      <c r="AU5" s="140" t="s">
        <v>105</v>
      </c>
      <c r="AV5" s="140"/>
      <c r="AW5" s="161" t="s">
        <v>116</v>
      </c>
      <c r="BG5" s="139">
        <v>3</v>
      </c>
      <c r="BH5" s="139">
        <v>140321</v>
      </c>
      <c r="BI5" s="139" t="s">
        <v>111</v>
      </c>
      <c r="BJ5" s="139">
        <v>14003</v>
      </c>
      <c r="BK5" s="139"/>
      <c r="BL5" s="160"/>
      <c r="BN5" s="139">
        <v>3</v>
      </c>
      <c r="BO5" s="139">
        <v>140228</v>
      </c>
      <c r="BP5" s="139" t="s">
        <v>112</v>
      </c>
      <c r="BQ5" s="139">
        <v>14003</v>
      </c>
      <c r="BR5" s="139"/>
      <c r="BS5" s="153"/>
      <c r="BU5" s="139">
        <v>3</v>
      </c>
      <c r="BV5" s="139">
        <v>150629</v>
      </c>
      <c r="BW5" s="139" t="s">
        <v>113</v>
      </c>
      <c r="BX5" s="139">
        <v>15002</v>
      </c>
      <c r="BY5" s="138"/>
      <c r="BZ5" s="160"/>
    </row>
    <row r="6" spans="1:78">
      <c r="A6" s="138">
        <v>4</v>
      </c>
      <c r="B6" s="138">
        <v>140313</v>
      </c>
      <c r="C6" s="138" t="s">
        <v>101</v>
      </c>
      <c r="D6" s="138">
        <v>14004</v>
      </c>
      <c r="E6" s="138" t="s">
        <v>102</v>
      </c>
      <c r="F6" s="160"/>
      <c r="H6" s="139">
        <v>4</v>
      </c>
      <c r="I6" s="139">
        <v>140228</v>
      </c>
      <c r="J6" s="139" t="s">
        <v>103</v>
      </c>
      <c r="K6" s="139">
        <v>14003</v>
      </c>
      <c r="L6" s="138" t="s">
        <v>102</v>
      </c>
      <c r="M6" s="153"/>
      <c r="O6" s="139">
        <v>4</v>
      </c>
      <c r="P6" s="139">
        <v>140113</v>
      </c>
      <c r="Q6" s="139" t="s">
        <v>104</v>
      </c>
      <c r="R6" s="139">
        <v>14001</v>
      </c>
      <c r="S6" s="139" t="s">
        <v>102</v>
      </c>
      <c r="T6" s="160"/>
      <c r="V6" s="142">
        <v>4</v>
      </c>
      <c r="W6" s="142">
        <v>150213</v>
      </c>
      <c r="X6" s="142" t="s">
        <v>121</v>
      </c>
      <c r="Y6" s="142" t="s">
        <v>109</v>
      </c>
      <c r="Z6" s="142" t="s">
        <v>102</v>
      </c>
      <c r="AA6" s="158">
        <v>42066</v>
      </c>
      <c r="AC6" s="139">
        <v>4</v>
      </c>
      <c r="AD6" s="139">
        <v>150818</v>
      </c>
      <c r="AE6" s="139" t="s">
        <v>108</v>
      </c>
      <c r="AF6" s="139" t="s">
        <v>122</v>
      </c>
      <c r="AG6" s="139" t="s">
        <v>102</v>
      </c>
      <c r="AH6" s="153">
        <v>42362</v>
      </c>
      <c r="AJ6" s="139">
        <v>4</v>
      </c>
      <c r="AK6" s="139">
        <v>150318</v>
      </c>
      <c r="AL6" s="139" t="s">
        <v>110</v>
      </c>
      <c r="AM6" s="139" t="s">
        <v>120</v>
      </c>
      <c r="AN6" s="139"/>
      <c r="AO6" s="153"/>
      <c r="AQ6" s="140">
        <v>4</v>
      </c>
      <c r="AR6" s="141">
        <v>42403</v>
      </c>
      <c r="AS6" s="140" t="s">
        <v>87</v>
      </c>
      <c r="AT6" s="140">
        <v>150911</v>
      </c>
      <c r="AU6" s="140" t="s">
        <v>105</v>
      </c>
      <c r="AV6" s="140"/>
      <c r="AW6" s="161" t="s">
        <v>116</v>
      </c>
      <c r="BG6" s="139">
        <v>4</v>
      </c>
      <c r="BH6" s="139">
        <v>140411</v>
      </c>
      <c r="BI6" s="139" t="s">
        <v>111</v>
      </c>
      <c r="BJ6" s="139">
        <v>14004</v>
      </c>
      <c r="BK6" s="139"/>
      <c r="BL6" s="160"/>
      <c r="BN6" s="139">
        <v>4</v>
      </c>
      <c r="BO6" s="139">
        <v>140317</v>
      </c>
      <c r="BP6" s="139" t="s">
        <v>112</v>
      </c>
      <c r="BQ6" s="139">
        <v>14004</v>
      </c>
      <c r="BR6" s="139"/>
      <c r="BS6" s="153"/>
      <c r="BU6" s="139">
        <v>4</v>
      </c>
      <c r="BV6" s="139">
        <v>150723</v>
      </c>
      <c r="BW6" s="139" t="s">
        <v>113</v>
      </c>
      <c r="BX6" s="139">
        <v>15003</v>
      </c>
      <c r="BY6" s="138"/>
      <c r="BZ6" s="160"/>
    </row>
    <row r="7" spans="1:78">
      <c r="A7" s="138">
        <v>5</v>
      </c>
      <c r="B7" s="138">
        <v>140417</v>
      </c>
      <c r="C7" s="138" t="s">
        <v>101</v>
      </c>
      <c r="D7" s="138">
        <v>14005</v>
      </c>
      <c r="E7" s="138" t="s">
        <v>102</v>
      </c>
      <c r="F7" s="160"/>
      <c r="H7" s="139">
        <v>5</v>
      </c>
      <c r="I7" s="139">
        <v>140313</v>
      </c>
      <c r="J7" s="139" t="s">
        <v>123</v>
      </c>
      <c r="K7" s="139">
        <v>14001</v>
      </c>
      <c r="L7" s="138" t="s">
        <v>102</v>
      </c>
      <c r="M7" s="153"/>
      <c r="O7" s="139">
        <v>5</v>
      </c>
      <c r="P7" s="139">
        <v>140123</v>
      </c>
      <c r="Q7" s="139" t="s">
        <v>115</v>
      </c>
      <c r="R7" s="139">
        <v>14001</v>
      </c>
      <c r="S7" s="139" t="s">
        <v>102</v>
      </c>
      <c r="T7" s="160"/>
      <c r="V7" s="142">
        <v>5</v>
      </c>
      <c r="W7" s="142">
        <v>150318</v>
      </c>
      <c r="X7" s="142" t="s">
        <v>106</v>
      </c>
      <c r="Y7" s="142" t="s">
        <v>117</v>
      </c>
      <c r="Z7" s="142" t="s">
        <v>102</v>
      </c>
      <c r="AA7" s="158">
        <v>42240</v>
      </c>
      <c r="AC7" s="139">
        <v>5</v>
      </c>
      <c r="AD7" s="139">
        <v>150914</v>
      </c>
      <c r="AE7" s="139" t="s">
        <v>108</v>
      </c>
      <c r="AF7" s="139" t="s">
        <v>124</v>
      </c>
      <c r="AG7" s="139" t="s">
        <v>102</v>
      </c>
      <c r="AH7" s="153">
        <v>42362</v>
      </c>
      <c r="AJ7" s="139">
        <v>5</v>
      </c>
      <c r="AK7" s="139">
        <v>150708</v>
      </c>
      <c r="AL7" s="139" t="s">
        <v>110</v>
      </c>
      <c r="AM7" s="139" t="s">
        <v>122</v>
      </c>
      <c r="AN7" s="139" t="s">
        <v>102</v>
      </c>
      <c r="AO7" s="153">
        <v>42198</v>
      </c>
      <c r="AQ7" s="140">
        <v>5</v>
      </c>
      <c r="AR7" s="141">
        <v>42403</v>
      </c>
      <c r="AS7" s="140" t="s">
        <v>87</v>
      </c>
      <c r="AT7" s="140">
        <v>151026</v>
      </c>
      <c r="AU7" s="140" t="s">
        <v>105</v>
      </c>
      <c r="AV7" s="140"/>
      <c r="AW7" s="161" t="s">
        <v>116</v>
      </c>
      <c r="BG7" s="139">
        <v>5</v>
      </c>
      <c r="BH7" s="139">
        <v>140509</v>
      </c>
      <c r="BI7" s="139" t="s">
        <v>111</v>
      </c>
      <c r="BJ7" s="139">
        <v>14005</v>
      </c>
      <c r="BK7" s="139"/>
      <c r="BL7" s="160"/>
      <c r="BN7" s="139">
        <v>5</v>
      </c>
      <c r="BO7" s="139">
        <v>140321</v>
      </c>
      <c r="BP7" s="139" t="s">
        <v>112</v>
      </c>
      <c r="BQ7" s="139">
        <v>14005</v>
      </c>
      <c r="BR7" s="139"/>
      <c r="BS7" s="153"/>
      <c r="BU7" s="139">
        <v>5</v>
      </c>
      <c r="BV7" s="139">
        <v>150826</v>
      </c>
      <c r="BW7" s="139" t="s">
        <v>113</v>
      </c>
      <c r="BX7" s="139">
        <v>15004</v>
      </c>
      <c r="BY7" s="138"/>
      <c r="BZ7" s="160"/>
    </row>
    <row r="8" spans="1:78">
      <c r="A8" s="138">
        <v>6</v>
      </c>
      <c r="B8" s="138">
        <v>140501</v>
      </c>
      <c r="C8" s="138" t="s">
        <v>101</v>
      </c>
      <c r="D8" s="138">
        <v>14006</v>
      </c>
      <c r="E8" s="138" t="s">
        <v>102</v>
      </c>
      <c r="F8" s="160"/>
      <c r="H8" s="139">
        <v>6</v>
      </c>
      <c r="I8" s="139">
        <v>140318</v>
      </c>
      <c r="J8" s="139" t="s">
        <v>125</v>
      </c>
      <c r="K8" s="139">
        <v>14004</v>
      </c>
      <c r="L8" s="138" t="s">
        <v>102</v>
      </c>
      <c r="M8" s="153"/>
      <c r="O8" s="139">
        <v>6</v>
      </c>
      <c r="P8" s="139">
        <v>140123</v>
      </c>
      <c r="Q8" s="139" t="s">
        <v>104</v>
      </c>
      <c r="R8" s="139">
        <v>14002</v>
      </c>
      <c r="S8" s="139" t="s">
        <v>102</v>
      </c>
      <c r="T8" s="160"/>
      <c r="V8" s="142">
        <v>6</v>
      </c>
      <c r="W8" s="142">
        <v>150409</v>
      </c>
      <c r="X8" s="142" t="s">
        <v>106</v>
      </c>
      <c r="Y8" s="142" t="s">
        <v>126</v>
      </c>
      <c r="Z8" s="142" t="s">
        <v>102</v>
      </c>
      <c r="AA8" s="158"/>
      <c r="AC8" s="139">
        <v>6</v>
      </c>
      <c r="AD8" s="139">
        <v>150930</v>
      </c>
      <c r="AE8" s="139" t="s">
        <v>108</v>
      </c>
      <c r="AF8" s="139" t="s">
        <v>127</v>
      </c>
      <c r="AG8" s="139" t="s">
        <v>102</v>
      </c>
      <c r="AH8" s="153">
        <v>42363</v>
      </c>
      <c r="AJ8" s="139">
        <v>6</v>
      </c>
      <c r="AK8" s="139">
        <v>150713</v>
      </c>
      <c r="AL8" s="139" t="s">
        <v>110</v>
      </c>
      <c r="AM8" s="139" t="s">
        <v>128</v>
      </c>
      <c r="AN8" s="139" t="s">
        <v>102</v>
      </c>
      <c r="AO8" s="153">
        <v>42200</v>
      </c>
      <c r="AQ8" s="140">
        <v>6</v>
      </c>
      <c r="AR8" s="141">
        <v>42403</v>
      </c>
      <c r="AS8" s="140" t="s">
        <v>87</v>
      </c>
      <c r="AT8" s="140">
        <v>151109</v>
      </c>
      <c r="AU8" s="140" t="s">
        <v>105</v>
      </c>
      <c r="AV8" s="140"/>
      <c r="AW8" s="161" t="s">
        <v>116</v>
      </c>
      <c r="BG8" s="139">
        <v>6</v>
      </c>
      <c r="BH8" s="139">
        <v>140521</v>
      </c>
      <c r="BI8" s="139" t="s">
        <v>129</v>
      </c>
      <c r="BJ8" s="139">
        <v>14001</v>
      </c>
      <c r="BK8" s="139"/>
      <c r="BL8" s="160"/>
      <c r="BN8" s="139">
        <v>6</v>
      </c>
      <c r="BO8" s="139">
        <v>140410</v>
      </c>
      <c r="BP8" s="139" t="s">
        <v>112</v>
      </c>
      <c r="BQ8" s="139">
        <v>14006</v>
      </c>
      <c r="BR8" s="139"/>
      <c r="BS8" s="153"/>
      <c r="BU8" s="139">
        <v>6</v>
      </c>
      <c r="BV8" s="139">
        <v>151001</v>
      </c>
      <c r="BW8" s="139" t="s">
        <v>113</v>
      </c>
      <c r="BX8" s="139">
        <v>15005</v>
      </c>
      <c r="BY8" s="138"/>
      <c r="BZ8" s="160"/>
    </row>
    <row r="9" spans="1:78">
      <c r="A9" s="138">
        <v>7</v>
      </c>
      <c r="B9" s="138">
        <v>140508</v>
      </c>
      <c r="C9" s="138" t="s">
        <v>101</v>
      </c>
      <c r="D9" s="138">
        <v>14007</v>
      </c>
      <c r="E9" s="138" t="s">
        <v>102</v>
      </c>
      <c r="F9" s="160"/>
      <c r="H9" s="139">
        <v>7</v>
      </c>
      <c r="I9" s="139">
        <v>140326</v>
      </c>
      <c r="J9" s="139" t="s">
        <v>123</v>
      </c>
      <c r="K9" s="139">
        <v>14002</v>
      </c>
      <c r="L9" s="138" t="s">
        <v>102</v>
      </c>
      <c r="M9" s="153"/>
      <c r="O9" s="139">
        <v>7</v>
      </c>
      <c r="P9" s="139">
        <v>140129</v>
      </c>
      <c r="Q9" s="139" t="s">
        <v>115</v>
      </c>
      <c r="R9" s="139">
        <v>14002</v>
      </c>
      <c r="S9" s="139" t="s">
        <v>102</v>
      </c>
      <c r="T9" s="160"/>
      <c r="V9" s="142">
        <v>7</v>
      </c>
      <c r="W9" s="142">
        <v>150512</v>
      </c>
      <c r="X9" s="142" t="s">
        <v>106</v>
      </c>
      <c r="Y9" s="142">
        <v>15005</v>
      </c>
      <c r="Z9" s="142" t="s">
        <v>102</v>
      </c>
      <c r="AA9" s="158">
        <v>42244</v>
      </c>
      <c r="AC9" s="139">
        <v>7</v>
      </c>
      <c r="AD9" s="139">
        <v>151016</v>
      </c>
      <c r="AE9" s="139" t="s">
        <v>108</v>
      </c>
      <c r="AF9" s="139" t="s">
        <v>130</v>
      </c>
      <c r="AG9" s="139" t="s">
        <v>102</v>
      </c>
      <c r="AH9" s="153">
        <v>42373</v>
      </c>
      <c r="AJ9" s="139">
        <v>7</v>
      </c>
      <c r="AK9" s="139">
        <v>150915</v>
      </c>
      <c r="AL9" s="139" t="s">
        <v>110</v>
      </c>
      <c r="AM9" s="139" t="s">
        <v>124</v>
      </c>
      <c r="AN9" s="139"/>
      <c r="AO9" s="153"/>
      <c r="AQ9" s="140">
        <v>7</v>
      </c>
      <c r="AR9" s="141">
        <v>42403</v>
      </c>
      <c r="AS9" s="140" t="s">
        <v>87</v>
      </c>
      <c r="AT9" s="140">
        <v>151203</v>
      </c>
      <c r="AU9" s="140" t="s">
        <v>105</v>
      </c>
      <c r="AV9" s="140"/>
      <c r="AW9" s="161" t="s">
        <v>116</v>
      </c>
      <c r="BG9" s="139">
        <v>7</v>
      </c>
      <c r="BH9" s="139">
        <v>140530</v>
      </c>
      <c r="BI9" s="139" t="s">
        <v>111</v>
      </c>
      <c r="BJ9" s="139">
        <v>14006</v>
      </c>
      <c r="BK9" s="139"/>
      <c r="BL9" s="160"/>
      <c r="BN9" s="139">
        <v>7</v>
      </c>
      <c r="BO9" s="139">
        <v>140415</v>
      </c>
      <c r="BP9" s="139" t="s">
        <v>112</v>
      </c>
      <c r="BQ9" s="139">
        <v>14007</v>
      </c>
      <c r="BR9" s="139"/>
      <c r="BS9" s="153"/>
      <c r="BU9" s="139">
        <v>7</v>
      </c>
      <c r="BV9" s="139">
        <v>151120</v>
      </c>
      <c r="BW9" s="139" t="s">
        <v>113</v>
      </c>
      <c r="BX9" s="139">
        <v>15006</v>
      </c>
      <c r="BY9" s="138"/>
      <c r="BZ9" s="160"/>
    </row>
    <row r="10" spans="1:78">
      <c r="A10" s="138">
        <v>8</v>
      </c>
      <c r="B10" s="138">
        <v>140508</v>
      </c>
      <c r="C10" s="138" t="s">
        <v>131</v>
      </c>
      <c r="D10" s="138">
        <v>14001</v>
      </c>
      <c r="E10" s="138" t="s">
        <v>102</v>
      </c>
      <c r="F10" s="160"/>
      <c r="H10" s="139">
        <v>8</v>
      </c>
      <c r="I10" s="139">
        <v>140326</v>
      </c>
      <c r="J10" s="139" t="s">
        <v>114</v>
      </c>
      <c r="K10" s="139">
        <v>14002</v>
      </c>
      <c r="L10" s="138" t="s">
        <v>102</v>
      </c>
      <c r="M10" s="153"/>
      <c r="O10" s="139">
        <v>8</v>
      </c>
      <c r="P10" s="139">
        <v>140205</v>
      </c>
      <c r="Q10" s="139" t="s">
        <v>132</v>
      </c>
      <c r="R10" s="139">
        <v>14001</v>
      </c>
      <c r="S10" s="139" t="s">
        <v>102</v>
      </c>
      <c r="T10" s="160"/>
      <c r="V10" s="142">
        <v>8</v>
      </c>
      <c r="W10" s="142">
        <v>150611</v>
      </c>
      <c r="X10" s="142" t="s">
        <v>106</v>
      </c>
      <c r="Y10" s="142">
        <v>15006</v>
      </c>
      <c r="Z10" s="142" t="s">
        <v>102</v>
      </c>
      <c r="AA10" s="158">
        <v>42247</v>
      </c>
      <c r="AC10" s="139">
        <v>8</v>
      </c>
      <c r="AD10" s="139">
        <v>151031</v>
      </c>
      <c r="AE10" s="139" t="s">
        <v>108</v>
      </c>
      <c r="AF10" s="139" t="s">
        <v>135</v>
      </c>
      <c r="AG10" s="139" t="s">
        <v>136</v>
      </c>
      <c r="AH10" s="153">
        <v>42375</v>
      </c>
      <c r="AJ10" s="144">
        <v>8</v>
      </c>
      <c r="AK10" s="144">
        <v>150915</v>
      </c>
      <c r="AL10" s="144" t="s">
        <v>137</v>
      </c>
      <c r="AM10" s="144">
        <v>15005</v>
      </c>
      <c r="AN10" s="144" t="s">
        <v>138</v>
      </c>
      <c r="AO10" s="157"/>
      <c r="AQ10" s="140">
        <v>8</v>
      </c>
      <c r="AR10" s="141">
        <v>42404</v>
      </c>
      <c r="AS10" s="140" t="s">
        <v>133</v>
      </c>
      <c r="AT10" s="140" t="s">
        <v>134</v>
      </c>
      <c r="AU10" s="140" t="s">
        <v>105</v>
      </c>
      <c r="AV10" s="140"/>
      <c r="AW10" s="161"/>
      <c r="BG10" s="139">
        <v>8</v>
      </c>
      <c r="BH10" s="139">
        <v>140606</v>
      </c>
      <c r="BI10" s="139" t="s">
        <v>111</v>
      </c>
      <c r="BJ10" s="139">
        <v>14007</v>
      </c>
      <c r="BK10" s="139"/>
      <c r="BL10" s="160"/>
      <c r="BN10" s="139">
        <v>8</v>
      </c>
      <c r="BO10" s="139">
        <v>140423</v>
      </c>
      <c r="BP10" s="139" t="s">
        <v>112</v>
      </c>
      <c r="BQ10" s="139">
        <v>14008</v>
      </c>
      <c r="BR10" s="139"/>
      <c r="BS10" s="153"/>
      <c r="BU10" s="139">
        <v>8</v>
      </c>
      <c r="BV10" s="139"/>
      <c r="BW10" s="139" t="s">
        <v>139</v>
      </c>
      <c r="BX10" s="139">
        <v>16001</v>
      </c>
      <c r="BY10" s="138"/>
      <c r="BZ10" s="160"/>
    </row>
    <row r="11" spans="1:78">
      <c r="A11" s="138">
        <v>9</v>
      </c>
      <c r="B11" s="138">
        <v>140528</v>
      </c>
      <c r="C11" s="138" t="s">
        <v>101</v>
      </c>
      <c r="D11" s="138">
        <v>14008</v>
      </c>
      <c r="E11" s="138" t="s">
        <v>136</v>
      </c>
      <c r="F11" s="160"/>
      <c r="H11" s="139">
        <v>9</v>
      </c>
      <c r="I11" s="139">
        <v>140415</v>
      </c>
      <c r="J11" s="139" t="s">
        <v>103</v>
      </c>
      <c r="K11" s="139">
        <v>14005</v>
      </c>
      <c r="L11" s="138" t="s">
        <v>136</v>
      </c>
      <c r="M11" s="153"/>
      <c r="O11" s="139">
        <v>9</v>
      </c>
      <c r="P11" s="139">
        <v>140206</v>
      </c>
      <c r="Q11" s="139" t="s">
        <v>140</v>
      </c>
      <c r="R11" s="139">
        <v>14003</v>
      </c>
      <c r="S11" s="139" t="s">
        <v>136</v>
      </c>
      <c r="T11" s="160"/>
      <c r="V11" s="142">
        <v>9</v>
      </c>
      <c r="W11" s="142">
        <v>150630</v>
      </c>
      <c r="X11" s="142" t="s">
        <v>141</v>
      </c>
      <c r="Y11" s="142">
        <v>15007</v>
      </c>
      <c r="Z11" s="142" t="s">
        <v>136</v>
      </c>
      <c r="AA11" s="158">
        <v>42248</v>
      </c>
      <c r="AC11" s="139">
        <v>9</v>
      </c>
      <c r="AD11" s="139">
        <v>151112</v>
      </c>
      <c r="AE11" s="139" t="s">
        <v>142</v>
      </c>
      <c r="AF11" s="139" t="s">
        <v>143</v>
      </c>
      <c r="AG11" s="139" t="s">
        <v>136</v>
      </c>
      <c r="AH11" s="153">
        <v>42375</v>
      </c>
      <c r="AJ11" s="144">
        <v>9</v>
      </c>
      <c r="AK11" s="144">
        <v>151103</v>
      </c>
      <c r="AL11" s="144" t="s">
        <v>137</v>
      </c>
      <c r="AM11" s="144">
        <v>15006</v>
      </c>
      <c r="AN11" s="144" t="s">
        <v>138</v>
      </c>
      <c r="AO11" s="157"/>
      <c r="AQ11" s="139">
        <v>9</v>
      </c>
      <c r="AR11" s="139"/>
      <c r="AS11" s="139"/>
      <c r="AT11" s="139"/>
      <c r="AU11" s="138"/>
      <c r="AV11" s="138"/>
      <c r="AW11" s="160"/>
      <c r="BG11" s="139">
        <v>9</v>
      </c>
      <c r="BH11" s="139">
        <v>140613</v>
      </c>
      <c r="BI11" s="139" t="s">
        <v>111</v>
      </c>
      <c r="BJ11" s="139">
        <v>14008</v>
      </c>
      <c r="BK11" s="139"/>
      <c r="BL11" s="160"/>
      <c r="BN11" s="139">
        <v>9</v>
      </c>
      <c r="BO11" s="139">
        <v>140520</v>
      </c>
      <c r="BP11" s="139" t="s">
        <v>144</v>
      </c>
      <c r="BQ11" s="139">
        <v>14001</v>
      </c>
      <c r="BR11" s="139"/>
      <c r="BS11" s="153"/>
      <c r="BU11" s="139"/>
      <c r="BV11" s="139"/>
      <c r="BW11" s="139"/>
      <c r="BX11" s="139"/>
      <c r="BY11" s="138"/>
      <c r="BZ11" s="160"/>
    </row>
    <row r="12" spans="1:78">
      <c r="A12" s="138">
        <v>10</v>
      </c>
      <c r="B12" s="138">
        <v>140606</v>
      </c>
      <c r="C12" s="138" t="s">
        <v>101</v>
      </c>
      <c r="D12" s="138">
        <v>14009</v>
      </c>
      <c r="E12" s="138" t="s">
        <v>136</v>
      </c>
      <c r="F12" s="160"/>
      <c r="H12" s="139">
        <v>10</v>
      </c>
      <c r="I12" s="139">
        <v>140430</v>
      </c>
      <c r="J12" s="139" t="s">
        <v>103</v>
      </c>
      <c r="K12" s="139">
        <v>14006</v>
      </c>
      <c r="L12" s="138" t="s">
        <v>136</v>
      </c>
      <c r="M12" s="153"/>
      <c r="O12" s="139">
        <v>10</v>
      </c>
      <c r="P12" s="139">
        <v>140213</v>
      </c>
      <c r="Q12" s="139" t="s">
        <v>145</v>
      </c>
      <c r="R12" s="139">
        <v>14003</v>
      </c>
      <c r="S12" s="139" t="s">
        <v>136</v>
      </c>
      <c r="T12" s="160"/>
      <c r="V12" s="142">
        <v>10</v>
      </c>
      <c r="W12" s="142">
        <v>150722</v>
      </c>
      <c r="X12" s="142" t="s">
        <v>141</v>
      </c>
      <c r="Y12" s="142">
        <v>15008</v>
      </c>
      <c r="Z12" s="142" t="s">
        <v>136</v>
      </c>
      <c r="AA12" s="158">
        <v>42257</v>
      </c>
      <c r="AC12" s="143">
        <v>10</v>
      </c>
      <c r="AD12" s="143">
        <v>151118</v>
      </c>
      <c r="AE12" s="143" t="s">
        <v>142</v>
      </c>
      <c r="AF12" s="143" t="s">
        <v>146</v>
      </c>
      <c r="AG12" s="143" t="s">
        <v>136</v>
      </c>
      <c r="AH12" s="155">
        <v>42378</v>
      </c>
      <c r="AJ12" s="144">
        <v>10</v>
      </c>
      <c r="AK12" s="144">
        <v>151209</v>
      </c>
      <c r="AL12" s="144" t="s">
        <v>137</v>
      </c>
      <c r="AM12" s="144">
        <v>15007</v>
      </c>
      <c r="AN12" s="144" t="s">
        <v>138</v>
      </c>
      <c r="AO12" s="157"/>
      <c r="AQ12" s="139">
        <v>10</v>
      </c>
      <c r="AR12" s="139"/>
      <c r="AS12" s="139"/>
      <c r="AT12" s="139"/>
      <c r="AU12" s="138"/>
      <c r="AV12" s="138"/>
      <c r="AW12" s="160"/>
      <c r="BG12" s="139">
        <v>10</v>
      </c>
      <c r="BH12" s="139">
        <v>140723</v>
      </c>
      <c r="BI12" s="139" t="s">
        <v>111</v>
      </c>
      <c r="BJ12" s="139">
        <v>14009</v>
      </c>
      <c r="BK12" s="139"/>
      <c r="BL12" s="160"/>
      <c r="BN12" s="139">
        <v>10</v>
      </c>
      <c r="BO12" s="139">
        <v>140609</v>
      </c>
      <c r="BP12" s="139" t="s">
        <v>144</v>
      </c>
      <c r="BQ12" s="139">
        <v>14002</v>
      </c>
      <c r="BR12" s="139"/>
      <c r="BS12" s="153"/>
    </row>
    <row r="13" spans="1:78">
      <c r="A13" s="138">
        <v>11</v>
      </c>
      <c r="B13" s="138">
        <v>140620</v>
      </c>
      <c r="C13" s="138" t="s">
        <v>101</v>
      </c>
      <c r="D13" s="138">
        <v>14010</v>
      </c>
      <c r="E13" s="138" t="s">
        <v>136</v>
      </c>
      <c r="F13" s="160"/>
      <c r="H13" s="139">
        <v>11</v>
      </c>
      <c r="I13" s="139">
        <v>140509</v>
      </c>
      <c r="J13" s="139" t="s">
        <v>147</v>
      </c>
      <c r="K13" s="139">
        <v>14003</v>
      </c>
      <c r="L13" s="138" t="s">
        <v>136</v>
      </c>
      <c r="M13" s="153"/>
      <c r="O13" s="139">
        <v>11</v>
      </c>
      <c r="P13" s="139">
        <v>140217</v>
      </c>
      <c r="Q13" s="139" t="s">
        <v>145</v>
      </c>
      <c r="R13" s="139">
        <v>14004</v>
      </c>
      <c r="S13" s="139" t="s">
        <v>136</v>
      </c>
      <c r="T13" s="160"/>
      <c r="V13" s="142">
        <v>11</v>
      </c>
      <c r="W13" s="142">
        <v>150822</v>
      </c>
      <c r="X13" s="142" t="s">
        <v>141</v>
      </c>
      <c r="Y13" s="142">
        <v>15009</v>
      </c>
      <c r="Z13" s="142" t="s">
        <v>136</v>
      </c>
      <c r="AA13" s="158">
        <v>42255</v>
      </c>
      <c r="AC13" s="143">
        <v>11</v>
      </c>
      <c r="AD13" s="143">
        <v>151224</v>
      </c>
      <c r="AE13" s="143" t="s">
        <v>142</v>
      </c>
      <c r="AF13" s="143" t="s">
        <v>148</v>
      </c>
      <c r="AG13" s="143" t="s">
        <v>136</v>
      </c>
      <c r="AH13" s="155">
        <v>42378</v>
      </c>
      <c r="AJ13" s="139"/>
      <c r="AK13" s="139"/>
      <c r="AL13" s="139"/>
      <c r="AM13" s="139"/>
      <c r="AN13" s="139"/>
      <c r="AO13" s="153"/>
      <c r="AQ13" s="139">
        <v>11</v>
      </c>
      <c r="AR13" s="139"/>
      <c r="AS13" s="139"/>
      <c r="AT13" s="139"/>
      <c r="AU13" s="138"/>
      <c r="AV13" s="138"/>
      <c r="AW13" s="160"/>
      <c r="BG13" s="139">
        <v>11</v>
      </c>
      <c r="BH13" s="139">
        <v>140730</v>
      </c>
      <c r="BI13" s="139" t="s">
        <v>111</v>
      </c>
      <c r="BJ13" s="139">
        <v>14010</v>
      </c>
      <c r="BK13" s="139"/>
      <c r="BL13" s="160"/>
      <c r="BN13" s="139">
        <v>11</v>
      </c>
      <c r="BO13" s="139">
        <v>140904</v>
      </c>
      <c r="BP13" s="139" t="s">
        <v>149</v>
      </c>
      <c r="BQ13" s="139">
        <v>14003</v>
      </c>
      <c r="BR13" s="139"/>
      <c r="BS13" s="153"/>
    </row>
    <row r="14" spans="1:78">
      <c r="A14" s="138">
        <v>12</v>
      </c>
      <c r="B14" s="138">
        <v>140707</v>
      </c>
      <c r="C14" s="138" t="s">
        <v>101</v>
      </c>
      <c r="D14" s="138">
        <v>14011</v>
      </c>
      <c r="E14" s="138" t="s">
        <v>136</v>
      </c>
      <c r="F14" s="160"/>
      <c r="H14" s="139">
        <v>12</v>
      </c>
      <c r="I14" s="139">
        <v>140513</v>
      </c>
      <c r="J14" s="139" t="s">
        <v>150</v>
      </c>
      <c r="K14" s="139">
        <v>14003</v>
      </c>
      <c r="L14" s="138" t="s">
        <v>136</v>
      </c>
      <c r="M14" s="153"/>
      <c r="O14" s="139">
        <v>12</v>
      </c>
      <c r="P14" s="139">
        <v>140219</v>
      </c>
      <c r="Q14" s="139" t="s">
        <v>145</v>
      </c>
      <c r="R14" s="139">
        <v>14006</v>
      </c>
      <c r="S14" s="139" t="s">
        <v>136</v>
      </c>
      <c r="T14" s="160"/>
      <c r="V14" s="142">
        <v>12</v>
      </c>
      <c r="W14" s="142">
        <v>150911</v>
      </c>
      <c r="X14" s="142" t="s">
        <v>141</v>
      </c>
      <c r="Y14" s="142">
        <v>15010</v>
      </c>
      <c r="Z14" s="142" t="s">
        <v>136</v>
      </c>
      <c r="AA14" s="158">
        <v>42382</v>
      </c>
      <c r="AC14" s="139">
        <v>12</v>
      </c>
      <c r="AD14" s="139">
        <v>160119</v>
      </c>
      <c r="AE14" s="139" t="s">
        <v>142</v>
      </c>
      <c r="AF14" s="139">
        <v>16001</v>
      </c>
      <c r="AG14" s="139" t="s">
        <v>136</v>
      </c>
      <c r="AH14" s="153"/>
      <c r="AJ14" s="139"/>
      <c r="AK14" s="139"/>
      <c r="AL14" s="139"/>
      <c r="AM14" s="139"/>
      <c r="AN14" s="139"/>
      <c r="AO14" s="153"/>
      <c r="AQ14" s="139">
        <v>12</v>
      </c>
      <c r="AR14" s="139"/>
      <c r="AS14" s="139"/>
      <c r="AT14" s="139"/>
      <c r="AU14" s="138"/>
      <c r="AV14" s="138"/>
      <c r="AW14" s="160"/>
      <c r="BG14" s="139">
        <v>12</v>
      </c>
      <c r="BH14" s="139">
        <v>140904</v>
      </c>
      <c r="BI14" s="139" t="s">
        <v>111</v>
      </c>
      <c r="BJ14" s="139">
        <v>14011</v>
      </c>
      <c r="BK14" s="139"/>
      <c r="BL14" s="160"/>
      <c r="BN14" s="139">
        <v>12</v>
      </c>
      <c r="BO14" s="139">
        <v>141018</v>
      </c>
      <c r="BP14" s="139" t="s">
        <v>149</v>
      </c>
      <c r="BQ14" s="139">
        <v>14004</v>
      </c>
      <c r="BR14" s="139"/>
      <c r="BS14" s="153"/>
    </row>
    <row r="15" spans="1:78">
      <c r="A15" s="138">
        <v>13</v>
      </c>
      <c r="B15" s="138">
        <v>140715</v>
      </c>
      <c r="C15" s="138" t="s">
        <v>101</v>
      </c>
      <c r="D15" s="138">
        <v>14012</v>
      </c>
      <c r="E15" s="138" t="s">
        <v>136</v>
      </c>
      <c r="F15" s="160"/>
      <c r="H15" s="139">
        <v>13</v>
      </c>
      <c r="I15" s="139">
        <v>140602</v>
      </c>
      <c r="J15" s="139" t="s">
        <v>103</v>
      </c>
      <c r="K15" s="139">
        <v>14007</v>
      </c>
      <c r="L15" s="138" t="s">
        <v>136</v>
      </c>
      <c r="M15" s="153"/>
      <c r="O15" s="139">
        <v>13</v>
      </c>
      <c r="P15" s="139">
        <v>140221</v>
      </c>
      <c r="Q15" s="139" t="s">
        <v>140</v>
      </c>
      <c r="R15" s="139">
        <v>14004</v>
      </c>
      <c r="S15" s="139" t="s">
        <v>136</v>
      </c>
      <c r="T15" s="160"/>
      <c r="V15" s="138">
        <v>13</v>
      </c>
      <c r="W15" s="138">
        <v>151009</v>
      </c>
      <c r="X15" s="138" t="s">
        <v>141</v>
      </c>
      <c r="Y15" s="138">
        <v>15011</v>
      </c>
      <c r="Z15" s="138" t="s">
        <v>136</v>
      </c>
      <c r="AA15" s="160">
        <v>42382</v>
      </c>
      <c r="AC15" s="139">
        <v>13</v>
      </c>
      <c r="AD15" s="139"/>
      <c r="AE15" s="139"/>
      <c r="AF15" s="139"/>
      <c r="AG15" s="139"/>
      <c r="AH15" s="153"/>
      <c r="AQ15" s="139">
        <v>13</v>
      </c>
      <c r="AR15" s="139"/>
      <c r="AS15" s="139"/>
      <c r="AT15" s="139"/>
      <c r="AU15" s="138"/>
      <c r="AV15" s="138"/>
      <c r="AW15" s="160"/>
      <c r="BG15" s="139">
        <v>13</v>
      </c>
      <c r="BH15" s="139">
        <v>141010</v>
      </c>
      <c r="BI15" s="139" t="s">
        <v>111</v>
      </c>
      <c r="BJ15" s="139">
        <v>14012</v>
      </c>
      <c r="BK15" s="139"/>
      <c r="BL15" s="160"/>
      <c r="BN15" s="139">
        <v>13</v>
      </c>
      <c r="BO15" s="139">
        <v>141201</v>
      </c>
      <c r="BP15" s="139" t="s">
        <v>149</v>
      </c>
      <c r="BQ15" s="139">
        <v>14005</v>
      </c>
      <c r="BR15" s="139"/>
      <c r="BS15" s="153"/>
    </row>
    <row r="16" spans="1:78">
      <c r="A16" s="138">
        <v>14</v>
      </c>
      <c r="B16" s="138">
        <v>140723</v>
      </c>
      <c r="C16" s="138" t="s">
        <v>101</v>
      </c>
      <c r="D16" s="138">
        <v>14013</v>
      </c>
      <c r="E16" s="138" t="s">
        <v>136</v>
      </c>
      <c r="F16" s="160"/>
      <c r="H16" s="139">
        <v>14</v>
      </c>
      <c r="I16" s="139">
        <v>140618</v>
      </c>
      <c r="J16" s="139" t="s">
        <v>147</v>
      </c>
      <c r="K16" s="139">
        <v>14004</v>
      </c>
      <c r="L16" s="138" t="s">
        <v>136</v>
      </c>
      <c r="M16" s="153"/>
      <c r="O16" s="139">
        <v>14</v>
      </c>
      <c r="P16" s="139">
        <v>140228</v>
      </c>
      <c r="Q16" s="139" t="s">
        <v>145</v>
      </c>
      <c r="R16" s="139">
        <v>14005</v>
      </c>
      <c r="S16" s="139" t="s">
        <v>136</v>
      </c>
      <c r="T16" s="160"/>
      <c r="V16" s="138">
        <v>14</v>
      </c>
      <c r="W16" s="138">
        <v>151121</v>
      </c>
      <c r="X16" s="138" t="s">
        <v>141</v>
      </c>
      <c r="Y16" s="138">
        <v>15012</v>
      </c>
      <c r="Z16" s="138" t="s">
        <v>136</v>
      </c>
      <c r="AA16" s="160">
        <v>42384</v>
      </c>
      <c r="AC16" s="139">
        <v>14</v>
      </c>
      <c r="AD16" s="139"/>
      <c r="AE16" s="139"/>
      <c r="AF16" s="139"/>
      <c r="AG16" s="139"/>
      <c r="AH16" s="153"/>
      <c r="BG16" s="139">
        <v>14</v>
      </c>
      <c r="BH16" s="139">
        <v>141031</v>
      </c>
      <c r="BI16" s="139" t="s">
        <v>111</v>
      </c>
      <c r="BJ16" s="139">
        <v>14013</v>
      </c>
      <c r="BK16" s="139"/>
      <c r="BL16" s="160"/>
      <c r="BN16" s="139">
        <v>14</v>
      </c>
      <c r="BO16" s="139">
        <v>150119</v>
      </c>
      <c r="BP16" s="139" t="s">
        <v>149</v>
      </c>
      <c r="BQ16" s="139">
        <v>15001</v>
      </c>
      <c r="BR16" s="139"/>
      <c r="BS16" s="153"/>
    </row>
    <row r="17" spans="1:71">
      <c r="A17" s="138">
        <v>15</v>
      </c>
      <c r="B17" s="138">
        <v>140730</v>
      </c>
      <c r="C17" s="138" t="s">
        <v>101</v>
      </c>
      <c r="D17" s="138">
        <v>14014</v>
      </c>
      <c r="E17" s="138" t="s">
        <v>136</v>
      </c>
      <c r="F17" s="160"/>
      <c r="H17" s="139">
        <v>15</v>
      </c>
      <c r="I17" s="139">
        <v>140725</v>
      </c>
      <c r="J17" s="139" t="s">
        <v>150</v>
      </c>
      <c r="K17" s="139">
        <v>14004</v>
      </c>
      <c r="L17" s="138" t="s">
        <v>136</v>
      </c>
      <c r="M17" s="153"/>
      <c r="O17" s="139">
        <v>15</v>
      </c>
      <c r="P17" s="139">
        <v>140303</v>
      </c>
      <c r="Q17" s="139" t="s">
        <v>140</v>
      </c>
      <c r="R17" s="139">
        <v>14005</v>
      </c>
      <c r="S17" s="139" t="s">
        <v>136</v>
      </c>
      <c r="T17" s="160"/>
      <c r="V17" s="138">
        <v>15</v>
      </c>
      <c r="W17" s="138">
        <v>151210</v>
      </c>
      <c r="X17" s="138" t="s">
        <v>141</v>
      </c>
      <c r="Y17" s="138">
        <v>15013</v>
      </c>
      <c r="Z17" s="138" t="s">
        <v>136</v>
      </c>
      <c r="AA17" s="160">
        <v>42385</v>
      </c>
      <c r="BG17" s="139">
        <v>15</v>
      </c>
      <c r="BH17" s="139">
        <v>141125</v>
      </c>
      <c r="BI17" s="139" t="s">
        <v>111</v>
      </c>
      <c r="BJ17" s="139">
        <v>14014</v>
      </c>
      <c r="BK17" s="139"/>
      <c r="BL17" s="160"/>
      <c r="BN17" s="139">
        <v>15</v>
      </c>
      <c r="BO17" s="139">
        <v>150202</v>
      </c>
      <c r="BP17" s="139" t="s">
        <v>149</v>
      </c>
      <c r="BQ17" s="139">
        <v>15002</v>
      </c>
      <c r="BR17" s="139"/>
      <c r="BS17" s="153"/>
    </row>
    <row r="18" spans="1:71" ht="17.25" thickBot="1">
      <c r="A18" s="138">
        <v>16</v>
      </c>
      <c r="B18" s="138">
        <v>140821</v>
      </c>
      <c r="C18" s="138" t="s">
        <v>151</v>
      </c>
      <c r="D18" s="138">
        <v>14002</v>
      </c>
      <c r="E18" s="138" t="s">
        <v>136</v>
      </c>
      <c r="F18" s="160"/>
      <c r="H18" s="139">
        <v>16</v>
      </c>
      <c r="I18" s="139">
        <v>140725</v>
      </c>
      <c r="J18" s="139" t="s">
        <v>103</v>
      </c>
      <c r="K18" s="139">
        <v>14008</v>
      </c>
      <c r="L18" s="138" t="s">
        <v>136</v>
      </c>
      <c r="M18" s="153"/>
      <c r="O18" s="139">
        <v>16</v>
      </c>
      <c r="P18" s="139">
        <v>140306</v>
      </c>
      <c r="Q18" s="139" t="s">
        <v>145</v>
      </c>
      <c r="R18" s="139">
        <v>14007</v>
      </c>
      <c r="S18" s="139" t="s">
        <v>136</v>
      </c>
      <c r="T18" s="160"/>
      <c r="V18" s="138">
        <v>16</v>
      </c>
      <c r="W18" s="138">
        <v>160108</v>
      </c>
      <c r="X18" s="138" t="s">
        <v>141</v>
      </c>
      <c r="Y18" s="138">
        <v>16001</v>
      </c>
      <c r="Z18" s="138" t="s">
        <v>136</v>
      </c>
      <c r="AA18" s="160">
        <v>42385</v>
      </c>
      <c r="BG18" s="139">
        <v>16</v>
      </c>
      <c r="BH18" s="139">
        <v>141225</v>
      </c>
      <c r="BI18" s="139" t="s">
        <v>111</v>
      </c>
      <c r="BJ18" s="139">
        <v>14015</v>
      </c>
      <c r="BK18" s="139"/>
      <c r="BL18" s="160"/>
      <c r="BN18" s="139">
        <v>16</v>
      </c>
      <c r="BO18" s="139">
        <v>150213</v>
      </c>
      <c r="BP18" s="139" t="s">
        <v>149</v>
      </c>
      <c r="BQ18" s="139">
        <v>15003</v>
      </c>
      <c r="BR18" s="139"/>
      <c r="BS18" s="153"/>
    </row>
    <row r="19" spans="1:71" ht="17.25" thickBot="1">
      <c r="A19" s="138">
        <v>17</v>
      </c>
      <c r="B19" s="138">
        <v>140827</v>
      </c>
      <c r="C19" s="138" t="s">
        <v>101</v>
      </c>
      <c r="D19" s="138">
        <v>14015</v>
      </c>
      <c r="E19" s="138" t="s">
        <v>136</v>
      </c>
      <c r="F19" s="160"/>
      <c r="H19" s="139">
        <v>17</v>
      </c>
      <c r="I19" s="139">
        <v>140826</v>
      </c>
      <c r="J19" s="139" t="s">
        <v>103</v>
      </c>
      <c r="K19" s="139">
        <v>14009</v>
      </c>
      <c r="L19" s="138" t="s">
        <v>136</v>
      </c>
      <c r="M19" s="153"/>
      <c r="O19" s="139">
        <v>17</v>
      </c>
      <c r="P19" s="139">
        <v>140313</v>
      </c>
      <c r="Q19" s="139" t="s">
        <v>145</v>
      </c>
      <c r="R19" s="139">
        <v>14008</v>
      </c>
      <c r="S19" s="139" t="s">
        <v>136</v>
      </c>
      <c r="T19" s="160"/>
      <c r="V19" s="145">
        <v>17</v>
      </c>
      <c r="W19" s="145"/>
      <c r="X19" s="145" t="s">
        <v>141</v>
      </c>
      <c r="Y19" s="145">
        <v>16002</v>
      </c>
      <c r="Z19" s="144" t="s">
        <v>138</v>
      </c>
      <c r="AA19" s="163"/>
      <c r="AN19" s="164" t="s">
        <v>161</v>
      </c>
      <c r="BG19" s="139">
        <v>17</v>
      </c>
      <c r="BH19" s="139">
        <v>150103</v>
      </c>
      <c r="BI19" s="139" t="s">
        <v>111</v>
      </c>
      <c r="BJ19" s="139">
        <v>14006</v>
      </c>
      <c r="BK19" s="139"/>
      <c r="BL19" s="160"/>
      <c r="BN19" s="139">
        <v>17</v>
      </c>
      <c r="BO19" s="139">
        <v>150325</v>
      </c>
      <c r="BP19" s="139" t="s">
        <v>149</v>
      </c>
      <c r="BQ19" s="139">
        <v>15004</v>
      </c>
      <c r="BR19" s="139"/>
      <c r="BS19" s="153"/>
    </row>
    <row r="20" spans="1:71" ht="17.25" thickBot="1">
      <c r="A20" s="138">
        <v>18</v>
      </c>
      <c r="B20" s="138">
        <v>140904</v>
      </c>
      <c r="C20" s="138" t="s">
        <v>101</v>
      </c>
      <c r="D20" s="138">
        <v>14016</v>
      </c>
      <c r="E20" s="138" t="s">
        <v>136</v>
      </c>
      <c r="F20" s="160"/>
      <c r="H20" s="139">
        <v>18</v>
      </c>
      <c r="I20" s="139">
        <v>140902</v>
      </c>
      <c r="J20" s="139" t="s">
        <v>147</v>
      </c>
      <c r="K20" s="139">
        <v>14005</v>
      </c>
      <c r="L20" s="138" t="s">
        <v>136</v>
      </c>
      <c r="M20" s="153"/>
      <c r="O20" s="139">
        <v>18</v>
      </c>
      <c r="P20" s="139">
        <v>140317</v>
      </c>
      <c r="Q20" s="139" t="s">
        <v>140</v>
      </c>
      <c r="R20" s="139">
        <v>14006</v>
      </c>
      <c r="S20" s="139" t="s">
        <v>136</v>
      </c>
      <c r="T20" s="160"/>
      <c r="AN20" s="175">
        <v>42184</v>
      </c>
      <c r="BG20" s="139">
        <v>18</v>
      </c>
      <c r="BH20" s="139">
        <v>150217</v>
      </c>
      <c r="BI20" s="139" t="s">
        <v>111</v>
      </c>
      <c r="BJ20" s="139">
        <v>15001</v>
      </c>
      <c r="BK20" s="139"/>
      <c r="BL20" s="160"/>
      <c r="BN20" s="139">
        <v>18</v>
      </c>
      <c r="BO20" s="139">
        <v>150330</v>
      </c>
      <c r="BP20" s="139" t="s">
        <v>149</v>
      </c>
      <c r="BQ20" s="139">
        <v>15005</v>
      </c>
      <c r="BR20" s="139"/>
      <c r="BS20" s="153"/>
    </row>
    <row r="21" spans="1:71" ht="17.25" thickBot="1">
      <c r="A21" s="138">
        <v>19</v>
      </c>
      <c r="B21" s="138">
        <v>140927</v>
      </c>
      <c r="C21" s="138" t="s">
        <v>101</v>
      </c>
      <c r="D21" s="138">
        <v>14017</v>
      </c>
      <c r="E21" s="138" t="s">
        <v>136</v>
      </c>
      <c r="F21" s="160"/>
      <c r="H21" s="139">
        <v>19</v>
      </c>
      <c r="I21" s="139">
        <v>140917</v>
      </c>
      <c r="J21" s="139" t="s">
        <v>150</v>
      </c>
      <c r="K21" s="139">
        <v>14005</v>
      </c>
      <c r="L21" s="138" t="s">
        <v>136</v>
      </c>
      <c r="M21" s="153"/>
      <c r="O21" s="139">
        <v>19</v>
      </c>
      <c r="P21" s="139">
        <v>140321</v>
      </c>
      <c r="Q21" s="139" t="s">
        <v>145</v>
      </c>
      <c r="R21" s="139">
        <v>14009</v>
      </c>
      <c r="S21" s="139" t="s">
        <v>136</v>
      </c>
      <c r="T21" s="160"/>
      <c r="AN21" s="175">
        <v>42186</v>
      </c>
      <c r="BG21" s="139">
        <v>19</v>
      </c>
      <c r="BH21" s="139">
        <v>150421</v>
      </c>
      <c r="BI21" s="139" t="s">
        <v>111</v>
      </c>
      <c r="BJ21" s="139">
        <v>15002</v>
      </c>
      <c r="BK21" s="139"/>
      <c r="BL21" s="160"/>
      <c r="BN21" s="139">
        <v>19</v>
      </c>
      <c r="BO21" s="139">
        <v>150504</v>
      </c>
      <c r="BP21" s="139" t="s">
        <v>149</v>
      </c>
      <c r="BQ21" s="139">
        <v>15006</v>
      </c>
      <c r="BR21" s="139"/>
      <c r="BS21" s="153"/>
    </row>
    <row r="22" spans="1:71" ht="17.25" thickBot="1">
      <c r="A22" s="138">
        <v>20</v>
      </c>
      <c r="B22" s="138">
        <v>140930</v>
      </c>
      <c r="C22" s="138" t="s">
        <v>101</v>
      </c>
      <c r="D22" s="138">
        <v>14018</v>
      </c>
      <c r="E22" s="138" t="s">
        <v>136</v>
      </c>
      <c r="F22" s="160"/>
      <c r="H22" s="139">
        <v>20</v>
      </c>
      <c r="I22" s="139">
        <v>140922</v>
      </c>
      <c r="J22" s="139" t="s">
        <v>103</v>
      </c>
      <c r="K22" s="139">
        <v>14010</v>
      </c>
      <c r="L22" s="138" t="s">
        <v>136</v>
      </c>
      <c r="M22" s="153"/>
      <c r="O22" s="139">
        <v>20</v>
      </c>
      <c r="P22" s="139">
        <v>140326</v>
      </c>
      <c r="Q22" s="139" t="s">
        <v>145</v>
      </c>
      <c r="R22" s="139">
        <v>14010</v>
      </c>
      <c r="S22" s="139" t="s">
        <v>136</v>
      </c>
      <c r="T22" s="160"/>
      <c r="Z22" s="146"/>
      <c r="AA22" s="146"/>
      <c r="AN22" s="175">
        <v>42192</v>
      </c>
      <c r="BN22" s="139">
        <v>20</v>
      </c>
      <c r="BO22" s="139">
        <v>150523</v>
      </c>
      <c r="BP22" s="139" t="s">
        <v>149</v>
      </c>
      <c r="BQ22" s="139">
        <v>15007</v>
      </c>
      <c r="BR22" s="139"/>
      <c r="BS22" s="153"/>
    </row>
    <row r="23" spans="1:71" ht="17.25" thickBot="1">
      <c r="A23" s="138">
        <v>21</v>
      </c>
      <c r="B23" s="138">
        <v>141027</v>
      </c>
      <c r="C23" s="138" t="s">
        <v>151</v>
      </c>
      <c r="D23" s="138">
        <v>14003</v>
      </c>
      <c r="E23" s="138" t="s">
        <v>136</v>
      </c>
      <c r="F23" s="160"/>
      <c r="H23" s="139">
        <v>21</v>
      </c>
      <c r="I23" s="139">
        <v>141006</v>
      </c>
      <c r="J23" s="139" t="s">
        <v>147</v>
      </c>
      <c r="K23" s="139">
        <v>14006</v>
      </c>
      <c r="L23" s="138" t="s">
        <v>136</v>
      </c>
      <c r="M23" s="153"/>
      <c r="O23" s="139">
        <v>21</v>
      </c>
      <c r="P23" s="139">
        <v>140321</v>
      </c>
      <c r="Q23" s="139" t="s">
        <v>140</v>
      </c>
      <c r="R23" s="139">
        <v>14007</v>
      </c>
      <c r="S23" s="139" t="s">
        <v>136</v>
      </c>
      <c r="T23" s="160"/>
      <c r="Z23" s="146"/>
      <c r="AA23" s="146"/>
      <c r="AN23" s="176">
        <v>42194</v>
      </c>
      <c r="BN23" s="139">
        <v>21</v>
      </c>
      <c r="BO23" s="139">
        <v>150612</v>
      </c>
      <c r="BP23" s="139" t="s">
        <v>149</v>
      </c>
      <c r="BQ23" s="139">
        <v>15008</v>
      </c>
      <c r="BR23" s="139"/>
      <c r="BS23" s="153"/>
    </row>
    <row r="24" spans="1:71" ht="17.25" thickBot="1">
      <c r="A24" s="138">
        <v>22</v>
      </c>
      <c r="B24" s="138">
        <v>141118</v>
      </c>
      <c r="C24" s="138" t="s">
        <v>101</v>
      </c>
      <c r="D24" s="138">
        <v>14019</v>
      </c>
      <c r="E24" s="138" t="s">
        <v>136</v>
      </c>
      <c r="F24" s="160"/>
      <c r="H24" s="139">
        <v>22</v>
      </c>
      <c r="I24" s="139">
        <v>141006</v>
      </c>
      <c r="J24" s="139" t="s">
        <v>150</v>
      </c>
      <c r="K24" s="139">
        <v>14006</v>
      </c>
      <c r="L24" s="138" t="s">
        <v>136</v>
      </c>
      <c r="M24" s="153"/>
      <c r="O24" s="139">
        <v>22</v>
      </c>
      <c r="P24" s="139">
        <v>140403</v>
      </c>
      <c r="Q24" s="139" t="s">
        <v>152</v>
      </c>
      <c r="R24" s="139">
        <v>14002</v>
      </c>
      <c r="S24" s="139" t="s">
        <v>136</v>
      </c>
      <c r="T24" s="160"/>
      <c r="Z24" s="146"/>
      <c r="AA24" s="146"/>
      <c r="AN24" s="176">
        <v>42198</v>
      </c>
      <c r="BN24" s="139">
        <v>22</v>
      </c>
      <c r="BO24" s="139">
        <v>150701</v>
      </c>
      <c r="BP24" s="139" t="s">
        <v>149</v>
      </c>
      <c r="BQ24" s="139">
        <v>15009</v>
      </c>
      <c r="BR24" s="139"/>
      <c r="BS24" s="153"/>
    </row>
    <row r="25" spans="1:71" ht="17.25" thickBot="1">
      <c r="A25" s="138">
        <v>23</v>
      </c>
      <c r="B25" s="138">
        <v>141216</v>
      </c>
      <c r="C25" s="138" t="s">
        <v>101</v>
      </c>
      <c r="D25" s="138">
        <v>14020</v>
      </c>
      <c r="E25" s="138" t="s">
        <v>136</v>
      </c>
      <c r="F25" s="160"/>
      <c r="H25" s="139">
        <v>23</v>
      </c>
      <c r="I25" s="139">
        <v>141010</v>
      </c>
      <c r="J25" s="139" t="s">
        <v>103</v>
      </c>
      <c r="K25" s="139">
        <v>14011</v>
      </c>
      <c r="L25" s="138" t="s">
        <v>136</v>
      </c>
      <c r="M25" s="153"/>
      <c r="O25" s="139">
        <v>23</v>
      </c>
      <c r="P25" s="139">
        <v>140407</v>
      </c>
      <c r="Q25" s="139" t="s">
        <v>145</v>
      </c>
      <c r="R25" s="139">
        <v>14011</v>
      </c>
      <c r="S25" s="139" t="s">
        <v>136</v>
      </c>
      <c r="T25" s="160"/>
      <c r="Z25" s="146"/>
      <c r="AA25" s="146"/>
      <c r="AN25" s="176">
        <v>42200</v>
      </c>
      <c r="BN25" s="139">
        <v>23</v>
      </c>
      <c r="BO25" s="139">
        <v>150730</v>
      </c>
      <c r="BP25" s="139" t="s">
        <v>149</v>
      </c>
      <c r="BQ25" s="139">
        <v>15010</v>
      </c>
      <c r="BR25" s="139"/>
      <c r="BS25" s="153"/>
    </row>
    <row r="26" spans="1:71" ht="17.25" thickBot="1">
      <c r="A26" s="138">
        <v>24</v>
      </c>
      <c r="B26" s="138">
        <v>150106</v>
      </c>
      <c r="C26" s="138" t="s">
        <v>151</v>
      </c>
      <c r="D26" s="138">
        <v>14004</v>
      </c>
      <c r="E26" s="138" t="s">
        <v>136</v>
      </c>
      <c r="F26" s="160"/>
      <c r="H26" s="139">
        <v>24</v>
      </c>
      <c r="I26" s="139">
        <v>141027</v>
      </c>
      <c r="J26" s="139" t="s">
        <v>103</v>
      </c>
      <c r="K26" s="139">
        <v>14012</v>
      </c>
      <c r="L26" s="138" t="s">
        <v>136</v>
      </c>
      <c r="M26" s="153"/>
      <c r="O26" s="139">
        <v>24</v>
      </c>
      <c r="P26" s="139">
        <v>140407</v>
      </c>
      <c r="Q26" s="139" t="s">
        <v>140</v>
      </c>
      <c r="R26" s="139">
        <v>14008</v>
      </c>
      <c r="S26" s="139" t="s">
        <v>136</v>
      </c>
      <c r="T26" s="160"/>
      <c r="Z26" s="146"/>
      <c r="AA26" s="146"/>
      <c r="AN26" s="176">
        <v>42201</v>
      </c>
      <c r="BN26" s="139">
        <v>24</v>
      </c>
      <c r="BO26" s="139">
        <v>150825</v>
      </c>
      <c r="BP26" s="139" t="s">
        <v>149</v>
      </c>
      <c r="BQ26" s="139">
        <v>15011</v>
      </c>
      <c r="BR26" s="139"/>
      <c r="BS26" s="153"/>
    </row>
    <row r="27" spans="1:71" ht="17.25" thickBot="1">
      <c r="A27" s="138">
        <v>25</v>
      </c>
      <c r="B27" s="138">
        <v>150114</v>
      </c>
      <c r="C27" s="138" t="s">
        <v>153</v>
      </c>
      <c r="D27" s="138">
        <v>14021</v>
      </c>
      <c r="E27" s="138" t="s">
        <v>136</v>
      </c>
      <c r="F27" s="160"/>
      <c r="H27" s="139">
        <v>25</v>
      </c>
      <c r="I27" s="139">
        <v>141106</v>
      </c>
      <c r="J27" s="139" t="s">
        <v>147</v>
      </c>
      <c r="K27" s="139">
        <v>14007</v>
      </c>
      <c r="L27" s="138" t="s">
        <v>136</v>
      </c>
      <c r="M27" s="153"/>
      <c r="O27" s="139">
        <v>25</v>
      </c>
      <c r="P27" s="139">
        <v>140408</v>
      </c>
      <c r="Q27" s="139" t="s">
        <v>140</v>
      </c>
      <c r="R27" s="139">
        <v>14009</v>
      </c>
      <c r="S27" s="139" t="s">
        <v>136</v>
      </c>
      <c r="T27" s="160"/>
      <c r="Z27" s="146"/>
      <c r="AA27" s="146"/>
      <c r="AN27" s="176">
        <v>42202</v>
      </c>
      <c r="BN27" s="139">
        <v>25</v>
      </c>
      <c r="BO27" s="139">
        <v>150911</v>
      </c>
      <c r="BP27" s="139" t="s">
        <v>149</v>
      </c>
      <c r="BQ27" s="139">
        <v>15012</v>
      </c>
      <c r="BR27" s="139"/>
      <c r="BS27" s="153"/>
    </row>
    <row r="28" spans="1:71">
      <c r="A28" s="138">
        <v>26</v>
      </c>
      <c r="B28" s="138">
        <v>150217</v>
      </c>
      <c r="C28" s="138" t="s">
        <v>153</v>
      </c>
      <c r="D28" s="138">
        <v>15001</v>
      </c>
      <c r="E28" s="138" t="s">
        <v>136</v>
      </c>
      <c r="F28" s="160">
        <v>42332</v>
      </c>
      <c r="H28" s="139">
        <v>26</v>
      </c>
      <c r="I28" s="139">
        <v>141106</v>
      </c>
      <c r="J28" s="139" t="s">
        <v>150</v>
      </c>
      <c r="K28" s="139">
        <v>14007</v>
      </c>
      <c r="L28" s="138" t="s">
        <v>136</v>
      </c>
      <c r="M28" s="153"/>
      <c r="O28" s="139">
        <v>26</v>
      </c>
      <c r="P28" s="139">
        <v>140417</v>
      </c>
      <c r="Q28" s="139" t="s">
        <v>140</v>
      </c>
      <c r="R28" s="139">
        <v>14010</v>
      </c>
      <c r="S28" s="139" t="s">
        <v>136</v>
      </c>
      <c r="T28" s="160"/>
      <c r="Z28" s="146"/>
      <c r="AA28" s="146"/>
      <c r="AN28" s="176">
        <v>42206</v>
      </c>
      <c r="BN28" s="139">
        <v>26</v>
      </c>
      <c r="BO28" s="139"/>
      <c r="BP28" s="139" t="s">
        <v>154</v>
      </c>
      <c r="BQ28" s="139">
        <v>15013</v>
      </c>
      <c r="BR28" s="139"/>
      <c r="BS28" s="153"/>
    </row>
    <row r="29" spans="1:71">
      <c r="A29" s="138">
        <v>27</v>
      </c>
      <c r="B29" s="138">
        <v>150407</v>
      </c>
      <c r="C29" s="138" t="s">
        <v>153</v>
      </c>
      <c r="D29" s="138">
        <v>15002</v>
      </c>
      <c r="E29" s="138" t="s">
        <v>136</v>
      </c>
      <c r="F29" s="160">
        <v>42335</v>
      </c>
      <c r="H29" s="139">
        <v>27</v>
      </c>
      <c r="I29" s="139">
        <v>141124</v>
      </c>
      <c r="J29" s="139" t="s">
        <v>103</v>
      </c>
      <c r="K29" s="139">
        <v>14013</v>
      </c>
      <c r="L29" s="138" t="s">
        <v>136</v>
      </c>
      <c r="M29" s="153"/>
      <c r="O29" s="139">
        <v>27</v>
      </c>
      <c r="P29" s="139">
        <v>140417</v>
      </c>
      <c r="Q29" s="139" t="s">
        <v>140</v>
      </c>
      <c r="R29" s="139">
        <v>14011</v>
      </c>
      <c r="S29" s="139" t="s">
        <v>136</v>
      </c>
      <c r="T29" s="160"/>
      <c r="Z29" s="146"/>
      <c r="AA29" s="146"/>
      <c r="AN29" s="177"/>
    </row>
    <row r="30" spans="1:71">
      <c r="A30" s="138">
        <v>28</v>
      </c>
      <c r="B30" s="138">
        <v>150411</v>
      </c>
      <c r="C30" s="138" t="s">
        <v>151</v>
      </c>
      <c r="D30" s="138">
        <v>15001</v>
      </c>
      <c r="E30" s="138" t="s">
        <v>136</v>
      </c>
      <c r="F30" s="160">
        <v>42397</v>
      </c>
      <c r="H30" s="139">
        <v>28</v>
      </c>
      <c r="I30" s="139">
        <v>141201</v>
      </c>
      <c r="J30" s="139" t="s">
        <v>103</v>
      </c>
      <c r="K30" s="139">
        <v>14014</v>
      </c>
      <c r="L30" s="138" t="s">
        <v>136</v>
      </c>
      <c r="M30" s="153"/>
      <c r="O30" s="139">
        <v>28</v>
      </c>
      <c r="P30" s="139">
        <v>140417</v>
      </c>
      <c r="Q30" s="139" t="s">
        <v>155</v>
      </c>
      <c r="R30" s="139">
        <v>14001</v>
      </c>
      <c r="S30" s="139" t="s">
        <v>136</v>
      </c>
      <c r="T30" s="160"/>
      <c r="Z30" s="146"/>
      <c r="AA30" s="146"/>
      <c r="AN30" s="165"/>
    </row>
    <row r="31" spans="1:71">
      <c r="A31" s="138">
        <v>29</v>
      </c>
      <c r="B31" s="138">
        <v>150422</v>
      </c>
      <c r="C31" s="138" t="s">
        <v>153</v>
      </c>
      <c r="D31" s="138">
        <v>15003</v>
      </c>
      <c r="E31" s="138" t="s">
        <v>136</v>
      </c>
      <c r="F31" s="160">
        <v>42396</v>
      </c>
      <c r="H31" s="139">
        <v>29</v>
      </c>
      <c r="I31" s="139">
        <v>141223</v>
      </c>
      <c r="J31" s="139" t="s">
        <v>156</v>
      </c>
      <c r="K31" s="139">
        <v>14002</v>
      </c>
      <c r="L31" s="138" t="s">
        <v>136</v>
      </c>
      <c r="M31" s="153">
        <v>42116</v>
      </c>
      <c r="O31" s="139">
        <v>29</v>
      </c>
      <c r="P31" s="139">
        <v>140417</v>
      </c>
      <c r="Q31" s="139" t="s">
        <v>145</v>
      </c>
      <c r="R31" s="139">
        <v>14012</v>
      </c>
      <c r="S31" s="139" t="s">
        <v>136</v>
      </c>
      <c r="T31" s="160"/>
      <c r="Z31" s="146"/>
      <c r="AA31" s="146"/>
      <c r="AN31" s="165"/>
    </row>
    <row r="32" spans="1:71">
      <c r="A32" s="138">
        <v>30</v>
      </c>
      <c r="B32" s="138">
        <v>150601</v>
      </c>
      <c r="C32" s="138" t="s">
        <v>153</v>
      </c>
      <c r="D32" s="138">
        <v>15004</v>
      </c>
      <c r="E32" s="138" t="s">
        <v>136</v>
      </c>
      <c r="F32" s="160">
        <v>42396</v>
      </c>
      <c r="H32" s="139">
        <v>30</v>
      </c>
      <c r="I32" s="139">
        <v>150106</v>
      </c>
      <c r="J32" s="139" t="s">
        <v>150</v>
      </c>
      <c r="K32" s="139">
        <v>14008</v>
      </c>
      <c r="L32" s="138" t="s">
        <v>136</v>
      </c>
      <c r="M32" s="153"/>
      <c r="O32" s="139">
        <v>30</v>
      </c>
      <c r="P32" s="139">
        <v>140422</v>
      </c>
      <c r="Q32" s="139" t="s">
        <v>155</v>
      </c>
      <c r="R32" s="139">
        <v>14002</v>
      </c>
      <c r="S32" s="139" t="s">
        <v>136</v>
      </c>
      <c r="T32" s="160"/>
      <c r="Z32" s="146"/>
      <c r="AA32" s="146"/>
    </row>
    <row r="33" spans="1:27">
      <c r="A33" s="138">
        <v>31</v>
      </c>
      <c r="B33" s="138">
        <v>150811</v>
      </c>
      <c r="C33" s="138" t="s">
        <v>151</v>
      </c>
      <c r="D33" s="138">
        <v>15002</v>
      </c>
      <c r="E33" s="138" t="s">
        <v>136</v>
      </c>
      <c r="F33" s="160">
        <v>42399</v>
      </c>
      <c r="H33" s="139">
        <v>31</v>
      </c>
      <c r="I33" s="139">
        <v>150126</v>
      </c>
      <c r="J33" s="139" t="s">
        <v>103</v>
      </c>
      <c r="K33" s="139">
        <v>14015</v>
      </c>
      <c r="L33" s="139" t="s">
        <v>136</v>
      </c>
      <c r="M33" s="153">
        <v>42075</v>
      </c>
      <c r="O33" s="139">
        <v>31</v>
      </c>
      <c r="P33" s="139">
        <v>140509</v>
      </c>
      <c r="Q33" s="139" t="s">
        <v>145</v>
      </c>
      <c r="R33" s="139">
        <v>14013</v>
      </c>
      <c r="S33" s="139" t="s">
        <v>136</v>
      </c>
      <c r="T33" s="160"/>
      <c r="Z33" s="146"/>
      <c r="AA33" s="146"/>
    </row>
    <row r="34" spans="1:27">
      <c r="A34" s="138">
        <v>32</v>
      </c>
      <c r="B34" s="138">
        <v>150831</v>
      </c>
      <c r="C34" s="138" t="s">
        <v>153</v>
      </c>
      <c r="D34" s="138">
        <v>15005</v>
      </c>
      <c r="E34" s="138" t="s">
        <v>136</v>
      </c>
      <c r="F34" s="160">
        <v>42401</v>
      </c>
      <c r="H34" s="139">
        <v>32</v>
      </c>
      <c r="I34" s="139">
        <v>150126</v>
      </c>
      <c r="J34" s="139" t="s">
        <v>150</v>
      </c>
      <c r="K34" s="139">
        <v>15001</v>
      </c>
      <c r="L34" s="139" t="s">
        <v>136</v>
      </c>
      <c r="M34" s="153">
        <v>42073</v>
      </c>
      <c r="O34" s="139">
        <v>32</v>
      </c>
      <c r="P34" s="139">
        <v>140513</v>
      </c>
      <c r="Q34" s="139" t="s">
        <v>140</v>
      </c>
      <c r="R34" s="139">
        <v>14012</v>
      </c>
      <c r="S34" s="139" t="s">
        <v>136</v>
      </c>
      <c r="T34" s="160"/>
      <c r="Z34" s="146"/>
      <c r="AA34" s="146"/>
    </row>
    <row r="35" spans="1:27">
      <c r="A35" s="138">
        <v>33</v>
      </c>
      <c r="B35" s="138">
        <v>151023</v>
      </c>
      <c r="C35" s="138" t="s">
        <v>151</v>
      </c>
      <c r="D35" s="138">
        <v>15003</v>
      </c>
      <c r="E35" s="138" t="s">
        <v>136</v>
      </c>
      <c r="F35" s="160">
        <v>42399</v>
      </c>
      <c r="H35" s="139">
        <v>33</v>
      </c>
      <c r="I35" s="139">
        <v>150325</v>
      </c>
      <c r="J35" s="139" t="s">
        <v>150</v>
      </c>
      <c r="K35" s="139">
        <v>15002</v>
      </c>
      <c r="L35" s="139" t="s">
        <v>136</v>
      </c>
      <c r="M35" s="153">
        <v>42209</v>
      </c>
      <c r="O35" s="139">
        <v>33</v>
      </c>
      <c r="P35" s="139">
        <v>140521</v>
      </c>
      <c r="Q35" s="139" t="s">
        <v>155</v>
      </c>
      <c r="R35" s="139">
        <v>14003</v>
      </c>
      <c r="S35" s="139" t="s">
        <v>136</v>
      </c>
      <c r="T35" s="160"/>
      <c r="Z35" s="146"/>
      <c r="AA35" s="146"/>
    </row>
    <row r="36" spans="1:27">
      <c r="A36" s="138">
        <v>34</v>
      </c>
      <c r="B36" s="138">
        <v>151030</v>
      </c>
      <c r="C36" s="138" t="s">
        <v>151</v>
      </c>
      <c r="D36" s="138">
        <v>15004</v>
      </c>
      <c r="E36" s="138" t="s">
        <v>136</v>
      </c>
      <c r="F36" s="160">
        <v>42399</v>
      </c>
      <c r="H36" s="139">
        <v>34</v>
      </c>
      <c r="I36" s="139">
        <v>150403</v>
      </c>
      <c r="J36" s="139" t="s">
        <v>103</v>
      </c>
      <c r="K36" s="139">
        <v>15001</v>
      </c>
      <c r="L36" s="139" t="s">
        <v>136</v>
      </c>
      <c r="M36" s="153">
        <v>42213</v>
      </c>
      <c r="O36" s="139">
        <v>34</v>
      </c>
      <c r="P36" s="139">
        <v>140526</v>
      </c>
      <c r="Q36" s="139" t="s">
        <v>145</v>
      </c>
      <c r="R36" s="139">
        <v>14014</v>
      </c>
      <c r="S36" s="139" t="s">
        <v>136</v>
      </c>
      <c r="T36" s="160"/>
      <c r="Z36" s="146"/>
      <c r="AA36" s="146"/>
    </row>
    <row r="37" spans="1:27">
      <c r="A37" s="138">
        <v>35</v>
      </c>
      <c r="B37" s="138">
        <v>151126</v>
      </c>
      <c r="C37" s="138" t="s">
        <v>151</v>
      </c>
      <c r="D37" s="138">
        <v>15005</v>
      </c>
      <c r="E37" s="138" t="s">
        <v>136</v>
      </c>
      <c r="F37" s="160">
        <v>42399</v>
      </c>
      <c r="H37" s="140">
        <v>35</v>
      </c>
      <c r="I37" s="140">
        <v>150422</v>
      </c>
      <c r="J37" s="140" t="s">
        <v>150</v>
      </c>
      <c r="K37" s="140">
        <v>15003</v>
      </c>
      <c r="L37" s="140" t="s">
        <v>138</v>
      </c>
      <c r="M37" s="154">
        <v>42214</v>
      </c>
      <c r="O37" s="139">
        <v>35</v>
      </c>
      <c r="P37" s="139">
        <v>140526</v>
      </c>
      <c r="Q37" s="139" t="s">
        <v>157</v>
      </c>
      <c r="R37" s="139">
        <v>14004</v>
      </c>
      <c r="S37" s="139" t="s">
        <v>136</v>
      </c>
      <c r="T37" s="160"/>
      <c r="Z37" s="146"/>
      <c r="AA37" s="146"/>
    </row>
    <row r="38" spans="1:27">
      <c r="A38" s="138">
        <v>36</v>
      </c>
      <c r="B38" s="138">
        <v>151222</v>
      </c>
      <c r="C38" s="138" t="s">
        <v>151</v>
      </c>
      <c r="D38" s="138">
        <v>15006</v>
      </c>
      <c r="E38" s="138" t="s">
        <v>136</v>
      </c>
      <c r="F38" s="160">
        <v>42401</v>
      </c>
      <c r="H38" s="139">
        <v>36</v>
      </c>
      <c r="I38" s="139">
        <v>150427</v>
      </c>
      <c r="J38" s="139" t="s">
        <v>147</v>
      </c>
      <c r="K38" s="139">
        <v>15001</v>
      </c>
      <c r="L38" s="139" t="s">
        <v>136</v>
      </c>
      <c r="M38" s="153">
        <v>42233</v>
      </c>
      <c r="O38" s="139">
        <v>36</v>
      </c>
      <c r="P38" s="139">
        <v>140530</v>
      </c>
      <c r="Q38" s="139" t="s">
        <v>140</v>
      </c>
      <c r="R38" s="139">
        <v>14013</v>
      </c>
      <c r="S38" s="139" t="s">
        <v>136</v>
      </c>
      <c r="T38" s="160"/>
      <c r="Z38" s="146"/>
      <c r="AA38" s="146"/>
    </row>
    <row r="39" spans="1:27">
      <c r="A39" s="138">
        <v>37</v>
      </c>
      <c r="B39" s="138"/>
      <c r="C39" s="138"/>
      <c r="D39" s="138"/>
      <c r="E39" s="138"/>
      <c r="F39" s="160"/>
      <c r="H39" s="139">
        <v>37</v>
      </c>
      <c r="I39" s="139">
        <v>150508</v>
      </c>
      <c r="J39" s="139" t="s">
        <v>150</v>
      </c>
      <c r="K39" s="139">
        <v>15004</v>
      </c>
      <c r="L39" s="139" t="s">
        <v>136</v>
      </c>
      <c r="M39" s="153">
        <v>42229</v>
      </c>
      <c r="O39" s="139">
        <v>37</v>
      </c>
      <c r="P39" s="139">
        <v>140604</v>
      </c>
      <c r="Q39" s="139" t="s">
        <v>157</v>
      </c>
      <c r="R39" s="139">
        <v>14005</v>
      </c>
      <c r="S39" s="139" t="s">
        <v>136</v>
      </c>
      <c r="T39" s="160"/>
      <c r="Z39" s="146"/>
      <c r="AA39" s="146"/>
    </row>
    <row r="40" spans="1:27">
      <c r="A40" s="530">
        <v>38</v>
      </c>
      <c r="B40" s="637">
        <v>151223</v>
      </c>
      <c r="C40" s="639"/>
      <c r="D40" s="639" t="s">
        <v>610</v>
      </c>
      <c r="E40" s="533" t="s">
        <v>388</v>
      </c>
      <c r="F40" s="534" t="s">
        <v>213</v>
      </c>
      <c r="G40" s="535">
        <v>3.69</v>
      </c>
      <c r="H40" s="531">
        <v>62.82</v>
      </c>
      <c r="I40" s="139">
        <v>53.483654000000001</v>
      </c>
      <c r="J40" s="139">
        <v>21.198720999999999</v>
      </c>
      <c r="K40" s="139">
        <v>0.45490000000000003</v>
      </c>
      <c r="L40" s="139">
        <v>0.53490000000000004</v>
      </c>
      <c r="M40" s="153">
        <v>117.44251261918114</v>
      </c>
      <c r="N40" s="147">
        <v>562</v>
      </c>
      <c r="O40" s="139">
        <v>38</v>
      </c>
      <c r="P40" s="139">
        <v>140606</v>
      </c>
      <c r="Q40" s="139" t="s">
        <v>140</v>
      </c>
      <c r="R40" s="139">
        <v>14014</v>
      </c>
      <c r="S40" s="139" t="s">
        <v>136</v>
      </c>
      <c r="T40" s="160"/>
      <c r="W40" s="147">
        <v>160109</v>
      </c>
      <c r="Z40" s="146"/>
      <c r="AA40" s="146"/>
    </row>
    <row r="41" spans="1:27" ht="17.25" thickBot="1">
      <c r="A41" s="530">
        <v>39</v>
      </c>
      <c r="B41" s="638"/>
      <c r="C41" s="640"/>
      <c r="D41" s="640"/>
      <c r="E41" s="536" t="s">
        <v>388</v>
      </c>
      <c r="F41" s="537" t="s">
        <v>241</v>
      </c>
      <c r="G41" s="538">
        <v>3.6949999999999998</v>
      </c>
      <c r="H41" s="532">
        <v>62.68</v>
      </c>
      <c r="I41" s="140">
        <v>53.292248999999998</v>
      </c>
      <c r="J41" s="140">
        <v>21.166392999999999</v>
      </c>
      <c r="K41" s="140">
        <v>0.4551</v>
      </c>
      <c r="L41" s="140">
        <v>0.53459999999999996</v>
      </c>
      <c r="M41" s="154">
        <v>117.2465394687617</v>
      </c>
      <c r="N41" s="147">
        <v>562</v>
      </c>
      <c r="O41" s="139">
        <v>39</v>
      </c>
      <c r="P41" s="139">
        <v>140611</v>
      </c>
      <c r="Q41" s="139" t="s">
        <v>157</v>
      </c>
      <c r="R41" s="139">
        <v>14006</v>
      </c>
      <c r="S41" s="139" t="s">
        <v>136</v>
      </c>
      <c r="T41" s="160"/>
      <c r="Z41" s="146"/>
      <c r="AA41" s="146"/>
    </row>
    <row r="42" spans="1:27">
      <c r="A42" s="146"/>
      <c r="B42" s="146"/>
      <c r="C42" s="146"/>
      <c r="D42" s="146"/>
      <c r="H42" s="143">
        <v>40</v>
      </c>
      <c r="I42" s="143">
        <v>150706</v>
      </c>
      <c r="J42" s="143" t="s">
        <v>103</v>
      </c>
      <c r="K42" s="143">
        <v>15003</v>
      </c>
      <c r="L42" s="143" t="s">
        <v>136</v>
      </c>
      <c r="M42" s="155">
        <v>42324</v>
      </c>
      <c r="O42" s="139">
        <v>40</v>
      </c>
      <c r="P42" s="139">
        <v>140618</v>
      </c>
      <c r="Q42" s="139" t="s">
        <v>145</v>
      </c>
      <c r="R42" s="139">
        <v>14015</v>
      </c>
      <c r="S42" s="139" t="s">
        <v>136</v>
      </c>
      <c r="T42" s="160"/>
      <c r="Z42" s="146"/>
      <c r="AA42" s="146"/>
    </row>
    <row r="43" spans="1:27">
      <c r="A43" s="146"/>
      <c r="B43" s="146"/>
      <c r="C43" s="146"/>
      <c r="D43" s="146"/>
      <c r="E43" s="146"/>
      <c r="H43" s="143">
        <v>41</v>
      </c>
      <c r="I43" s="143">
        <v>150706</v>
      </c>
      <c r="J43" s="143" t="s">
        <v>147</v>
      </c>
      <c r="K43" s="143">
        <v>15002</v>
      </c>
      <c r="L43" s="143" t="s">
        <v>136</v>
      </c>
      <c r="M43" s="155">
        <v>42326</v>
      </c>
      <c r="O43" s="139">
        <v>41</v>
      </c>
      <c r="P43" s="139">
        <v>140620</v>
      </c>
      <c r="Q43" s="139" t="s">
        <v>140</v>
      </c>
      <c r="R43" s="139">
        <v>14015</v>
      </c>
      <c r="S43" s="139" t="s">
        <v>136</v>
      </c>
      <c r="T43" s="160"/>
      <c r="Z43" s="146"/>
      <c r="AA43" s="146"/>
    </row>
    <row r="44" spans="1:27">
      <c r="A44" s="146"/>
      <c r="B44" s="146"/>
      <c r="E44" s="146"/>
      <c r="H44" s="140">
        <v>42</v>
      </c>
      <c r="I44" s="140">
        <v>150709</v>
      </c>
      <c r="J44" s="140" t="s">
        <v>150</v>
      </c>
      <c r="K44" s="140">
        <v>15006</v>
      </c>
      <c r="L44" s="140" t="s">
        <v>138</v>
      </c>
      <c r="M44" s="154"/>
      <c r="O44" s="139">
        <v>42</v>
      </c>
      <c r="P44" s="139">
        <v>140620</v>
      </c>
      <c r="Q44" s="139" t="s">
        <v>157</v>
      </c>
      <c r="R44" s="139">
        <v>14007</v>
      </c>
      <c r="S44" s="139" t="s">
        <v>136</v>
      </c>
      <c r="T44" s="160"/>
      <c r="Z44" s="146"/>
      <c r="AA44" s="146"/>
    </row>
    <row r="45" spans="1:27">
      <c r="A45" s="146"/>
      <c r="B45" s="146"/>
      <c r="E45" s="146"/>
      <c r="H45" s="140">
        <v>43</v>
      </c>
      <c r="I45" s="140">
        <v>150729</v>
      </c>
      <c r="J45" s="140" t="s">
        <v>150</v>
      </c>
      <c r="K45" s="140">
        <v>15007</v>
      </c>
      <c r="L45" s="140" t="s">
        <v>138</v>
      </c>
      <c r="M45" s="154"/>
      <c r="O45" s="139">
        <v>43</v>
      </c>
      <c r="P45" s="139">
        <v>140701</v>
      </c>
      <c r="Q45" s="139" t="s">
        <v>140</v>
      </c>
      <c r="R45" s="139">
        <v>14016</v>
      </c>
      <c r="S45" s="139" t="s">
        <v>136</v>
      </c>
      <c r="T45" s="160"/>
      <c r="Z45" s="146"/>
      <c r="AA45" s="146"/>
    </row>
    <row r="46" spans="1:27">
      <c r="A46" s="146"/>
      <c r="B46" s="146"/>
      <c r="E46" s="146"/>
      <c r="H46" s="140">
        <v>44</v>
      </c>
      <c r="I46" s="140">
        <v>150731</v>
      </c>
      <c r="J46" s="140" t="s">
        <v>147</v>
      </c>
      <c r="K46" s="140">
        <v>15003</v>
      </c>
      <c r="L46" s="140" t="s">
        <v>138</v>
      </c>
      <c r="M46" s="154"/>
      <c r="O46" s="139">
        <v>44</v>
      </c>
      <c r="P46" s="139">
        <v>140705</v>
      </c>
      <c r="Q46" s="139" t="s">
        <v>157</v>
      </c>
      <c r="R46" s="139">
        <v>14008</v>
      </c>
      <c r="S46" s="139" t="s">
        <v>136</v>
      </c>
      <c r="T46" s="160"/>
    </row>
    <row r="47" spans="1:27">
      <c r="A47" s="146"/>
      <c r="B47" s="146"/>
      <c r="E47" s="146"/>
      <c r="H47" s="140">
        <v>45</v>
      </c>
      <c r="I47" s="140">
        <v>150813</v>
      </c>
      <c r="J47" s="140" t="s">
        <v>147</v>
      </c>
      <c r="K47" s="140">
        <v>15004</v>
      </c>
      <c r="L47" s="140" t="s">
        <v>138</v>
      </c>
      <c r="M47" s="154"/>
      <c r="O47" s="139">
        <v>45</v>
      </c>
      <c r="P47" s="139">
        <v>140711</v>
      </c>
      <c r="Q47" s="139" t="s">
        <v>157</v>
      </c>
      <c r="R47" s="139">
        <v>14009</v>
      </c>
      <c r="S47" s="139" t="s">
        <v>136</v>
      </c>
      <c r="T47" s="160"/>
    </row>
    <row r="48" spans="1:27">
      <c r="A48" s="146"/>
      <c r="B48" s="146"/>
      <c r="E48" s="146"/>
      <c r="H48" s="140">
        <v>46</v>
      </c>
      <c r="I48" s="140">
        <v>150814</v>
      </c>
      <c r="J48" s="140" t="s">
        <v>103</v>
      </c>
      <c r="K48" s="140">
        <v>15004</v>
      </c>
      <c r="L48" s="140" t="s">
        <v>138</v>
      </c>
      <c r="M48" s="154"/>
      <c r="O48" s="139">
        <v>46</v>
      </c>
      <c r="P48" s="139">
        <v>140715</v>
      </c>
      <c r="Q48" s="139" t="s">
        <v>157</v>
      </c>
      <c r="R48" s="139">
        <v>14010</v>
      </c>
      <c r="S48" s="139" t="s">
        <v>136</v>
      </c>
      <c r="T48" s="160"/>
    </row>
    <row r="49" spans="1:20">
      <c r="A49" s="146"/>
      <c r="B49" s="146"/>
      <c r="E49" s="146"/>
      <c r="H49" s="140">
        <v>47</v>
      </c>
      <c r="I49" s="140">
        <v>150819</v>
      </c>
      <c r="J49" s="140" t="s">
        <v>103</v>
      </c>
      <c r="K49" s="140">
        <v>15005</v>
      </c>
      <c r="L49" s="140" t="s">
        <v>138</v>
      </c>
      <c r="M49" s="154"/>
      <c r="O49" s="139">
        <v>47</v>
      </c>
      <c r="P49" s="139">
        <v>140725</v>
      </c>
      <c r="Q49" s="139" t="s">
        <v>145</v>
      </c>
      <c r="R49" s="139">
        <v>14016</v>
      </c>
      <c r="S49" s="139" t="s">
        <v>136</v>
      </c>
      <c r="T49" s="160"/>
    </row>
    <row r="50" spans="1:20">
      <c r="A50" s="146"/>
      <c r="B50" s="146"/>
      <c r="E50" s="146"/>
      <c r="H50" s="140">
        <v>48</v>
      </c>
      <c r="I50" s="140">
        <v>150820</v>
      </c>
      <c r="J50" s="140" t="s">
        <v>147</v>
      </c>
      <c r="K50" s="140">
        <v>15005</v>
      </c>
      <c r="L50" s="140" t="s">
        <v>138</v>
      </c>
      <c r="M50" s="154"/>
      <c r="O50" s="139">
        <v>48</v>
      </c>
      <c r="P50" s="139">
        <v>140725</v>
      </c>
      <c r="Q50" s="139" t="s">
        <v>140</v>
      </c>
      <c r="R50" s="139">
        <v>14017</v>
      </c>
      <c r="S50" s="139" t="s">
        <v>136</v>
      </c>
      <c r="T50" s="160"/>
    </row>
    <row r="51" spans="1:20">
      <c r="A51" s="146"/>
      <c r="B51" s="146"/>
      <c r="E51" s="146"/>
      <c r="H51" s="140">
        <v>49</v>
      </c>
      <c r="I51" s="140">
        <v>150825</v>
      </c>
      <c r="J51" s="140" t="s">
        <v>150</v>
      </c>
      <c r="K51" s="140">
        <v>15008</v>
      </c>
      <c r="L51" s="140" t="s">
        <v>138</v>
      </c>
      <c r="M51" s="154"/>
      <c r="O51" s="139">
        <v>49</v>
      </c>
      <c r="P51" s="139">
        <v>140819</v>
      </c>
      <c r="Q51" s="139" t="s">
        <v>145</v>
      </c>
      <c r="R51" s="139">
        <v>14017</v>
      </c>
      <c r="S51" s="139" t="s">
        <v>136</v>
      </c>
      <c r="T51" s="160"/>
    </row>
    <row r="52" spans="1:20">
      <c r="A52" s="146"/>
      <c r="B52" s="146"/>
      <c r="E52" s="146"/>
      <c r="H52" s="140">
        <v>50</v>
      </c>
      <c r="I52" s="140">
        <v>150831</v>
      </c>
      <c r="J52" s="140" t="s">
        <v>156</v>
      </c>
      <c r="K52" s="140">
        <v>15002</v>
      </c>
      <c r="L52" s="140" t="s">
        <v>138</v>
      </c>
      <c r="M52" s="154"/>
      <c r="O52" s="139">
        <v>50</v>
      </c>
      <c r="P52" s="139">
        <v>140827</v>
      </c>
      <c r="Q52" s="139" t="s">
        <v>157</v>
      </c>
      <c r="R52" s="139">
        <v>14011</v>
      </c>
      <c r="S52" s="139" t="s">
        <v>136</v>
      </c>
      <c r="T52" s="160"/>
    </row>
    <row r="53" spans="1:20">
      <c r="A53" s="146"/>
      <c r="B53" s="146"/>
      <c r="E53" s="146"/>
      <c r="H53" s="140">
        <v>51</v>
      </c>
      <c r="I53" s="140">
        <v>150918</v>
      </c>
      <c r="J53" s="140" t="s">
        <v>147</v>
      </c>
      <c r="K53" s="140">
        <v>15006</v>
      </c>
      <c r="L53" s="140" t="s">
        <v>138</v>
      </c>
      <c r="M53" s="154"/>
      <c r="O53" s="139">
        <v>51</v>
      </c>
      <c r="P53" s="139">
        <v>140829</v>
      </c>
      <c r="Q53" s="139" t="s">
        <v>145</v>
      </c>
      <c r="R53" s="139">
        <v>14018</v>
      </c>
      <c r="S53" s="139" t="s">
        <v>136</v>
      </c>
      <c r="T53" s="160"/>
    </row>
    <row r="54" spans="1:20">
      <c r="A54" s="146"/>
      <c r="B54" s="146"/>
      <c r="E54" s="146"/>
      <c r="H54" s="140">
        <v>52</v>
      </c>
      <c r="I54" s="140">
        <v>151001</v>
      </c>
      <c r="J54" s="140" t="s">
        <v>147</v>
      </c>
      <c r="K54" s="140">
        <v>15007</v>
      </c>
      <c r="L54" s="140" t="s">
        <v>138</v>
      </c>
      <c r="M54" s="154"/>
      <c r="O54" s="139">
        <v>52</v>
      </c>
      <c r="P54" s="139">
        <v>140903</v>
      </c>
      <c r="Q54" s="139" t="s">
        <v>140</v>
      </c>
      <c r="R54" s="139">
        <v>14018</v>
      </c>
      <c r="S54" s="139" t="s">
        <v>136</v>
      </c>
      <c r="T54" s="160"/>
    </row>
    <row r="55" spans="1:20">
      <c r="A55" s="146"/>
      <c r="B55" s="146"/>
      <c r="E55" s="146"/>
      <c r="H55" s="140">
        <v>53</v>
      </c>
      <c r="I55" s="140">
        <v>151016</v>
      </c>
      <c r="J55" s="140" t="s">
        <v>147</v>
      </c>
      <c r="K55" s="140">
        <v>15008</v>
      </c>
      <c r="L55" s="140" t="s">
        <v>138</v>
      </c>
      <c r="M55" s="154"/>
      <c r="O55" s="139">
        <v>53</v>
      </c>
      <c r="P55" s="139">
        <v>140904</v>
      </c>
      <c r="Q55" s="139" t="s">
        <v>157</v>
      </c>
      <c r="R55" s="139">
        <v>14012</v>
      </c>
      <c r="S55" s="139" t="s">
        <v>136</v>
      </c>
      <c r="T55" s="160"/>
    </row>
    <row r="56" spans="1:20">
      <c r="A56" s="146"/>
      <c r="B56" s="146"/>
      <c r="E56" s="146"/>
      <c r="H56" s="140">
        <v>54</v>
      </c>
      <c r="I56" s="140">
        <v>151104</v>
      </c>
      <c r="J56" s="140" t="s">
        <v>103</v>
      </c>
      <c r="K56" s="140">
        <v>15006</v>
      </c>
      <c r="L56" s="140" t="s">
        <v>138</v>
      </c>
      <c r="M56" s="154"/>
      <c r="O56" s="139">
        <v>54</v>
      </c>
      <c r="P56" s="139">
        <v>140917</v>
      </c>
      <c r="Q56" s="139" t="s">
        <v>157</v>
      </c>
      <c r="R56" s="139">
        <v>14013</v>
      </c>
      <c r="S56" s="139" t="s">
        <v>136</v>
      </c>
      <c r="T56" s="160"/>
    </row>
    <row r="57" spans="1:20">
      <c r="A57" s="146"/>
      <c r="B57" s="146"/>
      <c r="E57" s="146"/>
      <c r="H57" s="140">
        <v>55</v>
      </c>
      <c r="I57" s="140">
        <v>151214</v>
      </c>
      <c r="J57" s="140" t="s">
        <v>158</v>
      </c>
      <c r="K57" s="140">
        <v>15007</v>
      </c>
      <c r="L57" s="140" t="s">
        <v>138</v>
      </c>
      <c r="M57" s="154"/>
      <c r="O57" s="139">
        <v>55</v>
      </c>
      <c r="P57" s="139">
        <v>140930</v>
      </c>
      <c r="Q57" s="139" t="s">
        <v>145</v>
      </c>
      <c r="R57" s="139">
        <v>14019</v>
      </c>
      <c r="S57" s="139" t="s">
        <v>136</v>
      </c>
      <c r="T57" s="160"/>
    </row>
    <row r="58" spans="1:20">
      <c r="A58" s="146"/>
      <c r="B58" s="146"/>
      <c r="H58" s="140">
        <v>56</v>
      </c>
      <c r="I58" s="140">
        <v>160204</v>
      </c>
      <c r="J58" s="140" t="s">
        <v>158</v>
      </c>
      <c r="K58" s="140">
        <v>16001</v>
      </c>
      <c r="L58" s="140" t="s">
        <v>159</v>
      </c>
      <c r="M58" s="154"/>
      <c r="O58" s="139">
        <v>56</v>
      </c>
      <c r="P58" s="139">
        <v>140930</v>
      </c>
      <c r="Q58" s="139" t="s">
        <v>157</v>
      </c>
      <c r="R58" s="139">
        <v>14014</v>
      </c>
      <c r="S58" s="139" t="s">
        <v>136</v>
      </c>
      <c r="T58" s="160"/>
    </row>
    <row r="59" spans="1:20">
      <c r="H59" s="139">
        <v>57</v>
      </c>
      <c r="I59" s="139"/>
      <c r="J59" s="139"/>
      <c r="K59" s="139"/>
      <c r="L59" s="139"/>
      <c r="M59" s="153"/>
      <c r="O59" s="139">
        <v>57</v>
      </c>
      <c r="P59" s="139">
        <v>141010</v>
      </c>
      <c r="Q59" s="139" t="s">
        <v>157</v>
      </c>
      <c r="R59" s="139">
        <v>14015</v>
      </c>
      <c r="S59" s="139" t="s">
        <v>136</v>
      </c>
      <c r="T59" s="160"/>
    </row>
    <row r="60" spans="1:20">
      <c r="H60" s="139">
        <v>58</v>
      </c>
      <c r="I60" s="139"/>
      <c r="J60" s="139"/>
      <c r="K60" s="139"/>
      <c r="L60" s="139"/>
      <c r="M60" s="153"/>
      <c r="O60" s="139">
        <v>58</v>
      </c>
      <c r="P60" s="139">
        <v>141018</v>
      </c>
      <c r="Q60" s="139" t="s">
        <v>140</v>
      </c>
      <c r="R60" s="139">
        <v>14019</v>
      </c>
      <c r="S60" s="139" t="s">
        <v>136</v>
      </c>
      <c r="T60" s="160"/>
    </row>
    <row r="61" spans="1:20">
      <c r="H61" s="139">
        <v>59</v>
      </c>
      <c r="I61" s="139"/>
      <c r="J61" s="139"/>
      <c r="K61" s="139"/>
      <c r="L61" s="139"/>
      <c r="M61" s="153"/>
      <c r="O61" s="139">
        <v>59</v>
      </c>
      <c r="P61" s="139">
        <v>141018</v>
      </c>
      <c r="Q61" s="139" t="s">
        <v>157</v>
      </c>
      <c r="R61" s="139">
        <v>14016</v>
      </c>
      <c r="S61" s="139" t="s">
        <v>136</v>
      </c>
      <c r="T61" s="160"/>
    </row>
    <row r="62" spans="1:20">
      <c r="H62" s="139">
        <v>60</v>
      </c>
      <c r="I62" s="139"/>
      <c r="J62" s="139"/>
      <c r="K62" s="139"/>
      <c r="L62" s="139"/>
      <c r="M62" s="153"/>
      <c r="O62" s="139">
        <v>60</v>
      </c>
      <c r="P62" s="139">
        <v>141027</v>
      </c>
      <c r="Q62" s="139" t="s">
        <v>145</v>
      </c>
      <c r="R62" s="139">
        <v>14020</v>
      </c>
      <c r="S62" s="139" t="s">
        <v>136</v>
      </c>
      <c r="T62" s="160"/>
    </row>
    <row r="63" spans="1:20">
      <c r="H63" s="139">
        <v>61</v>
      </c>
      <c r="I63" s="139"/>
      <c r="J63" s="139"/>
      <c r="K63" s="139"/>
      <c r="L63" s="139"/>
      <c r="M63" s="153"/>
      <c r="O63" s="139">
        <v>61</v>
      </c>
      <c r="P63" s="139">
        <v>141103</v>
      </c>
      <c r="Q63" s="139" t="s">
        <v>157</v>
      </c>
      <c r="R63" s="139">
        <v>14017</v>
      </c>
      <c r="S63" s="139" t="s">
        <v>136</v>
      </c>
      <c r="T63" s="160"/>
    </row>
    <row r="64" spans="1:20">
      <c r="H64" s="139">
        <v>62</v>
      </c>
      <c r="I64" s="139"/>
      <c r="J64" s="139"/>
      <c r="K64" s="139"/>
      <c r="L64" s="139"/>
      <c r="M64" s="153"/>
      <c r="O64" s="139">
        <v>62</v>
      </c>
      <c r="P64" s="139">
        <v>141105</v>
      </c>
      <c r="Q64" s="139" t="s">
        <v>140</v>
      </c>
      <c r="R64" s="139">
        <v>14020</v>
      </c>
      <c r="S64" s="139" t="s">
        <v>136</v>
      </c>
      <c r="T64" s="160"/>
    </row>
    <row r="65" spans="8:20">
      <c r="H65" s="139">
        <v>63</v>
      </c>
      <c r="I65" s="139"/>
      <c r="J65" s="139"/>
      <c r="K65" s="139"/>
      <c r="L65" s="139"/>
      <c r="M65" s="153"/>
      <c r="O65" s="139">
        <v>63</v>
      </c>
      <c r="P65" s="139">
        <v>141118</v>
      </c>
      <c r="Q65" s="139" t="s">
        <v>145</v>
      </c>
      <c r="R65" s="139">
        <v>14021</v>
      </c>
      <c r="S65" s="139" t="s">
        <v>136</v>
      </c>
      <c r="T65" s="160"/>
    </row>
    <row r="66" spans="8:20">
      <c r="H66" s="139">
        <v>64</v>
      </c>
      <c r="I66" s="139"/>
      <c r="J66" s="139"/>
      <c r="K66" s="139"/>
      <c r="L66" s="139"/>
      <c r="M66" s="153"/>
      <c r="O66" s="139">
        <v>64</v>
      </c>
      <c r="P66" s="139">
        <v>141118</v>
      </c>
      <c r="Q66" s="139" t="s">
        <v>145</v>
      </c>
      <c r="R66" s="139">
        <v>14022</v>
      </c>
      <c r="S66" s="139" t="s">
        <v>136</v>
      </c>
      <c r="T66" s="160"/>
    </row>
    <row r="67" spans="8:20">
      <c r="H67" s="139">
        <v>65</v>
      </c>
      <c r="I67" s="139"/>
      <c r="J67" s="139"/>
      <c r="K67" s="139"/>
      <c r="L67" s="139"/>
      <c r="M67" s="153"/>
      <c r="O67" s="139">
        <v>65</v>
      </c>
      <c r="P67" s="139">
        <v>141124</v>
      </c>
      <c r="Q67" s="139" t="s">
        <v>157</v>
      </c>
      <c r="R67" s="139">
        <v>14018</v>
      </c>
      <c r="S67" s="139" t="s">
        <v>136</v>
      </c>
      <c r="T67" s="160"/>
    </row>
    <row r="68" spans="8:20">
      <c r="H68" s="139">
        <v>66</v>
      </c>
      <c r="I68" s="139"/>
      <c r="J68" s="139"/>
      <c r="K68" s="139"/>
      <c r="L68" s="139"/>
      <c r="M68" s="153"/>
      <c r="O68" s="139">
        <v>66</v>
      </c>
      <c r="P68" s="139">
        <v>141127</v>
      </c>
      <c r="Q68" s="139" t="s">
        <v>155</v>
      </c>
      <c r="R68" s="139">
        <v>14019</v>
      </c>
      <c r="S68" s="139" t="s">
        <v>136</v>
      </c>
      <c r="T68" s="160"/>
    </row>
    <row r="69" spans="8:20">
      <c r="H69" s="139">
        <v>67</v>
      </c>
      <c r="I69" s="139"/>
      <c r="J69" s="139"/>
      <c r="K69" s="139"/>
      <c r="L69" s="139"/>
      <c r="M69" s="153"/>
      <c r="O69" s="139">
        <v>67</v>
      </c>
      <c r="P69" s="139">
        <v>141216</v>
      </c>
      <c r="Q69" s="139" t="s">
        <v>155</v>
      </c>
      <c r="R69" s="139">
        <v>14020</v>
      </c>
      <c r="S69" s="139" t="s">
        <v>136</v>
      </c>
      <c r="T69" s="160"/>
    </row>
    <row r="70" spans="8:20">
      <c r="O70" s="139">
        <v>68</v>
      </c>
      <c r="P70" s="139">
        <v>141223</v>
      </c>
      <c r="Q70" s="139" t="s">
        <v>155</v>
      </c>
      <c r="R70" s="139">
        <v>14021</v>
      </c>
      <c r="S70" s="139" t="s">
        <v>136</v>
      </c>
      <c r="T70" s="160"/>
    </row>
    <row r="71" spans="8:20">
      <c r="L71" s="147"/>
      <c r="O71" s="139">
        <v>69</v>
      </c>
      <c r="P71" s="139">
        <v>141225</v>
      </c>
      <c r="Q71" s="139" t="s">
        <v>145</v>
      </c>
      <c r="R71" s="139">
        <v>14023</v>
      </c>
      <c r="S71" s="139" t="s">
        <v>136</v>
      </c>
      <c r="T71" s="160"/>
    </row>
    <row r="72" spans="8:20">
      <c r="L72" s="147"/>
      <c r="O72" s="139">
        <v>70</v>
      </c>
      <c r="P72" s="139">
        <v>150114</v>
      </c>
      <c r="Q72" s="139" t="s">
        <v>155</v>
      </c>
      <c r="R72" s="139">
        <v>15001</v>
      </c>
      <c r="S72" s="139" t="s">
        <v>136</v>
      </c>
      <c r="T72" s="160">
        <v>42084</v>
      </c>
    </row>
    <row r="73" spans="8:20">
      <c r="L73" s="147"/>
      <c r="O73" s="139">
        <v>71</v>
      </c>
      <c r="P73" s="139">
        <v>150423</v>
      </c>
      <c r="Q73" s="139" t="s">
        <v>140</v>
      </c>
      <c r="R73" s="139">
        <v>14021</v>
      </c>
      <c r="S73" s="139" t="s">
        <v>136</v>
      </c>
      <c r="T73" s="160">
        <v>42082</v>
      </c>
    </row>
    <row r="74" spans="8:20">
      <c r="L74" s="147"/>
      <c r="O74" s="139">
        <v>72</v>
      </c>
      <c r="P74" s="139">
        <v>150126</v>
      </c>
      <c r="Q74" s="139" t="s">
        <v>140</v>
      </c>
      <c r="R74" s="139">
        <v>14022</v>
      </c>
      <c r="S74" s="139" t="s">
        <v>136</v>
      </c>
      <c r="T74" s="160">
        <v>42087</v>
      </c>
    </row>
    <row r="75" spans="8:20">
      <c r="L75" s="147"/>
      <c r="O75" s="139">
        <v>73</v>
      </c>
      <c r="P75" s="139">
        <v>150205</v>
      </c>
      <c r="Q75" s="139" t="s">
        <v>140</v>
      </c>
      <c r="R75" s="139">
        <v>15001</v>
      </c>
      <c r="S75" s="139" t="s">
        <v>136</v>
      </c>
      <c r="T75" s="160">
        <v>42088</v>
      </c>
    </row>
    <row r="76" spans="8:20">
      <c r="L76" s="147"/>
      <c r="O76" s="139">
        <v>74</v>
      </c>
      <c r="P76" s="139">
        <v>150217</v>
      </c>
      <c r="Q76" s="139" t="s">
        <v>145</v>
      </c>
      <c r="R76" s="139">
        <v>15002</v>
      </c>
      <c r="S76" s="139" t="s">
        <v>136</v>
      </c>
      <c r="T76" s="160">
        <v>42159</v>
      </c>
    </row>
    <row r="77" spans="8:20">
      <c r="L77" s="147"/>
      <c r="O77" s="139">
        <v>75</v>
      </c>
      <c r="P77" s="139">
        <v>150224</v>
      </c>
      <c r="Q77" s="139" t="s">
        <v>145</v>
      </c>
      <c r="R77" s="139">
        <v>15001</v>
      </c>
      <c r="S77" s="139" t="s">
        <v>136</v>
      </c>
      <c r="T77" s="160">
        <v>42157</v>
      </c>
    </row>
    <row r="78" spans="8:20">
      <c r="L78" s="147"/>
      <c r="O78" s="139">
        <v>76</v>
      </c>
      <c r="P78" s="139">
        <v>150225</v>
      </c>
      <c r="Q78" s="139" t="s">
        <v>155</v>
      </c>
      <c r="R78" s="139">
        <v>15002</v>
      </c>
      <c r="S78" s="139" t="s">
        <v>136</v>
      </c>
      <c r="T78" s="160">
        <v>42160</v>
      </c>
    </row>
    <row r="79" spans="8:20">
      <c r="L79" s="147"/>
      <c r="O79" s="139">
        <v>77</v>
      </c>
      <c r="P79" s="139">
        <v>150227</v>
      </c>
      <c r="Q79" s="139" t="s">
        <v>155</v>
      </c>
      <c r="R79" s="139">
        <v>15003</v>
      </c>
      <c r="S79" s="139" t="s">
        <v>136</v>
      </c>
      <c r="T79" s="160">
        <v>42164</v>
      </c>
    </row>
    <row r="80" spans="8:20">
      <c r="L80" s="147"/>
      <c r="O80" s="139">
        <v>78</v>
      </c>
      <c r="P80" s="139">
        <v>150228</v>
      </c>
      <c r="Q80" s="139" t="s">
        <v>145</v>
      </c>
      <c r="R80" s="139">
        <v>15003</v>
      </c>
      <c r="S80" s="139" t="s">
        <v>136</v>
      </c>
      <c r="T80" s="160">
        <v>42165</v>
      </c>
    </row>
    <row r="81" spans="12:20">
      <c r="L81" s="147"/>
      <c r="O81" s="139">
        <v>79</v>
      </c>
      <c r="P81" s="139">
        <v>150318</v>
      </c>
      <c r="Q81" s="139" t="s">
        <v>155</v>
      </c>
      <c r="R81" s="139">
        <v>15004</v>
      </c>
      <c r="S81" s="139" t="s">
        <v>136</v>
      </c>
      <c r="T81" s="160">
        <v>42167</v>
      </c>
    </row>
    <row r="82" spans="12:20">
      <c r="L82" s="147"/>
      <c r="O82" s="139">
        <v>80</v>
      </c>
      <c r="P82" s="139">
        <v>150319</v>
      </c>
      <c r="Q82" s="139" t="s">
        <v>145</v>
      </c>
      <c r="R82" s="139">
        <v>15004</v>
      </c>
      <c r="S82" s="139" t="s">
        <v>136</v>
      </c>
      <c r="T82" s="160">
        <v>42170</v>
      </c>
    </row>
    <row r="83" spans="12:20">
      <c r="L83" s="147"/>
      <c r="O83" s="139">
        <v>81</v>
      </c>
      <c r="P83" s="139">
        <v>150323</v>
      </c>
      <c r="Q83" s="139" t="s">
        <v>140</v>
      </c>
      <c r="R83" s="139">
        <v>15002</v>
      </c>
      <c r="S83" s="139" t="s">
        <v>136</v>
      </c>
      <c r="T83" s="160">
        <v>42172</v>
      </c>
    </row>
    <row r="84" spans="12:20">
      <c r="L84" s="147"/>
      <c r="O84" s="139">
        <v>82</v>
      </c>
      <c r="P84" s="139">
        <v>150403</v>
      </c>
      <c r="Q84" s="139" t="s">
        <v>140</v>
      </c>
      <c r="R84" s="139">
        <v>15003</v>
      </c>
      <c r="S84" s="139" t="s">
        <v>136</v>
      </c>
      <c r="T84" s="160">
        <v>42173</v>
      </c>
    </row>
    <row r="85" spans="12:20">
      <c r="L85" s="147"/>
      <c r="O85" s="140">
        <v>83</v>
      </c>
      <c r="P85" s="140">
        <v>150411</v>
      </c>
      <c r="Q85" s="140" t="s">
        <v>152</v>
      </c>
      <c r="R85" s="140">
        <v>15001</v>
      </c>
      <c r="S85" s="140" t="s">
        <v>138</v>
      </c>
      <c r="T85" s="161"/>
    </row>
    <row r="86" spans="12:20">
      <c r="O86" s="140">
        <v>84</v>
      </c>
      <c r="P86" s="140">
        <v>150422</v>
      </c>
      <c r="Q86" s="140" t="s">
        <v>145</v>
      </c>
      <c r="R86" s="140">
        <v>15005</v>
      </c>
      <c r="S86" s="140" t="s">
        <v>138</v>
      </c>
      <c r="T86" s="161"/>
    </row>
    <row r="87" spans="12:20">
      <c r="O87" s="140">
        <v>85</v>
      </c>
      <c r="P87" s="140">
        <v>150427</v>
      </c>
      <c r="Q87" s="140" t="s">
        <v>155</v>
      </c>
      <c r="R87" s="140">
        <v>15005</v>
      </c>
      <c r="S87" s="140" t="s">
        <v>138</v>
      </c>
      <c r="T87" s="161"/>
    </row>
    <row r="88" spans="12:20">
      <c r="O88" s="140">
        <v>86</v>
      </c>
      <c r="P88" s="140">
        <v>150508</v>
      </c>
      <c r="Q88" s="140" t="s">
        <v>155</v>
      </c>
      <c r="R88" s="140">
        <v>15006</v>
      </c>
      <c r="S88" s="140" t="s">
        <v>138</v>
      </c>
      <c r="T88" s="161"/>
    </row>
    <row r="89" spans="12:20">
      <c r="O89" s="140">
        <v>87</v>
      </c>
      <c r="P89" s="140">
        <v>150520</v>
      </c>
      <c r="Q89" s="140" t="s">
        <v>140</v>
      </c>
      <c r="R89" s="140">
        <v>15004</v>
      </c>
      <c r="S89" s="140" t="s">
        <v>138</v>
      </c>
      <c r="T89" s="161"/>
    </row>
    <row r="90" spans="12:20">
      <c r="O90" s="140">
        <v>88</v>
      </c>
      <c r="P90" s="140">
        <v>150527</v>
      </c>
      <c r="Q90" s="140" t="s">
        <v>155</v>
      </c>
      <c r="R90" s="140">
        <v>15007</v>
      </c>
      <c r="S90" s="140" t="s">
        <v>138</v>
      </c>
      <c r="T90" s="161"/>
    </row>
    <row r="91" spans="12:20">
      <c r="O91" s="140">
        <v>89</v>
      </c>
      <c r="P91" s="140">
        <v>150623</v>
      </c>
      <c r="Q91" s="140" t="s">
        <v>155</v>
      </c>
      <c r="R91" s="140">
        <v>15008</v>
      </c>
      <c r="S91" s="140" t="s">
        <v>138</v>
      </c>
      <c r="T91" s="161"/>
    </row>
    <row r="92" spans="12:20">
      <c r="O92" s="140">
        <v>90</v>
      </c>
      <c r="P92" s="140">
        <v>150625</v>
      </c>
      <c r="Q92" s="140" t="s">
        <v>140</v>
      </c>
      <c r="R92" s="140">
        <v>15005</v>
      </c>
      <c r="S92" s="140" t="s">
        <v>138</v>
      </c>
      <c r="T92" s="161"/>
    </row>
    <row r="93" spans="12:20">
      <c r="O93" s="140">
        <v>91</v>
      </c>
      <c r="P93" s="140">
        <v>150722</v>
      </c>
      <c r="Q93" s="140" t="s">
        <v>145</v>
      </c>
      <c r="R93" s="140">
        <v>15006</v>
      </c>
      <c r="S93" s="140" t="s">
        <v>138</v>
      </c>
      <c r="T93" s="161"/>
    </row>
    <row r="94" spans="12:20">
      <c r="O94" s="140">
        <v>92</v>
      </c>
      <c r="P94" s="140">
        <v>150729</v>
      </c>
      <c r="Q94" s="140" t="s">
        <v>155</v>
      </c>
      <c r="R94" s="140">
        <v>15009</v>
      </c>
      <c r="S94" s="140" t="s">
        <v>138</v>
      </c>
      <c r="T94" s="161"/>
    </row>
    <row r="95" spans="12:20">
      <c r="O95" s="140">
        <v>93</v>
      </c>
      <c r="P95" s="140">
        <v>150812</v>
      </c>
      <c r="Q95" s="140" t="s">
        <v>145</v>
      </c>
      <c r="R95" s="140">
        <v>15007</v>
      </c>
      <c r="S95" s="140" t="s">
        <v>138</v>
      </c>
      <c r="T95" s="161"/>
    </row>
    <row r="96" spans="12:20">
      <c r="O96" s="140">
        <v>94</v>
      </c>
      <c r="P96" s="140">
        <v>150908</v>
      </c>
      <c r="Q96" s="140" t="s">
        <v>145</v>
      </c>
      <c r="R96" s="140">
        <v>15008</v>
      </c>
      <c r="S96" s="140" t="s">
        <v>138</v>
      </c>
      <c r="T96" s="161"/>
    </row>
    <row r="97" spans="15:20">
      <c r="O97" s="140">
        <v>95</v>
      </c>
      <c r="P97" s="140">
        <v>150911</v>
      </c>
      <c r="Q97" s="140" t="s">
        <v>155</v>
      </c>
      <c r="R97" s="140">
        <v>15010</v>
      </c>
      <c r="S97" s="140" t="s">
        <v>138</v>
      </c>
      <c r="T97" s="161"/>
    </row>
    <row r="98" spans="15:20">
      <c r="O98" s="140">
        <v>96</v>
      </c>
      <c r="P98" s="140">
        <v>150922</v>
      </c>
      <c r="Q98" s="140" t="s">
        <v>140</v>
      </c>
      <c r="R98" s="140">
        <v>15006</v>
      </c>
      <c r="S98" s="140" t="s">
        <v>138</v>
      </c>
      <c r="T98" s="161"/>
    </row>
    <row r="99" spans="15:20">
      <c r="O99" s="140">
        <v>97</v>
      </c>
      <c r="P99" s="140">
        <v>151007</v>
      </c>
      <c r="Q99" s="140" t="s">
        <v>155</v>
      </c>
      <c r="R99" s="140">
        <v>15011</v>
      </c>
      <c r="S99" s="140" t="s">
        <v>138</v>
      </c>
      <c r="T99" s="161"/>
    </row>
    <row r="100" spans="15:20">
      <c r="O100" s="140">
        <v>98</v>
      </c>
      <c r="P100" s="140">
        <v>151023</v>
      </c>
      <c r="Q100" s="140" t="s">
        <v>140</v>
      </c>
      <c r="R100" s="140">
        <v>15007</v>
      </c>
      <c r="S100" s="140" t="s">
        <v>138</v>
      </c>
      <c r="T100" s="161"/>
    </row>
    <row r="101" spans="15:20">
      <c r="O101" s="140">
        <v>99</v>
      </c>
      <c r="P101" s="140">
        <v>151030</v>
      </c>
      <c r="Q101" s="140" t="s">
        <v>140</v>
      </c>
      <c r="R101" s="140">
        <v>15008</v>
      </c>
      <c r="S101" s="140" t="s">
        <v>138</v>
      </c>
      <c r="T101" s="161"/>
    </row>
    <row r="102" spans="15:20">
      <c r="O102" s="140">
        <v>100</v>
      </c>
      <c r="P102" s="140">
        <v>151111</v>
      </c>
      <c r="Q102" s="140" t="s">
        <v>155</v>
      </c>
      <c r="R102" s="140">
        <v>15013</v>
      </c>
      <c r="S102" s="140" t="s">
        <v>138</v>
      </c>
      <c r="T102" s="161"/>
    </row>
    <row r="103" spans="15:20">
      <c r="O103" s="140">
        <v>101</v>
      </c>
      <c r="P103" s="140">
        <v>151125</v>
      </c>
      <c r="Q103" s="140" t="s">
        <v>140</v>
      </c>
      <c r="R103" s="140">
        <v>15009</v>
      </c>
      <c r="S103" s="140" t="s">
        <v>138</v>
      </c>
      <c r="T103" s="161"/>
    </row>
    <row r="104" spans="15:20">
      <c r="O104" s="140">
        <v>102</v>
      </c>
      <c r="P104" s="140">
        <v>151209</v>
      </c>
      <c r="Q104" s="140" t="s">
        <v>155</v>
      </c>
      <c r="R104" s="140">
        <v>15014</v>
      </c>
      <c r="S104" s="140" t="s">
        <v>138</v>
      </c>
      <c r="T104" s="161"/>
    </row>
    <row r="105" spans="15:20">
      <c r="O105" s="140">
        <v>103</v>
      </c>
      <c r="P105" s="140">
        <v>151028</v>
      </c>
      <c r="Q105" s="140" t="s">
        <v>155</v>
      </c>
      <c r="R105" s="140">
        <v>15012</v>
      </c>
      <c r="S105" s="140" t="s">
        <v>138</v>
      </c>
      <c r="T105" s="161"/>
    </row>
    <row r="106" spans="15:20">
      <c r="O106" s="140">
        <v>104</v>
      </c>
      <c r="P106" s="140">
        <v>160106</v>
      </c>
      <c r="Q106" s="140" t="s">
        <v>155</v>
      </c>
      <c r="R106" s="140">
        <v>16001</v>
      </c>
      <c r="S106" s="140" t="s">
        <v>138</v>
      </c>
      <c r="T106" s="161"/>
    </row>
  </sheetData>
  <mergeCells count="14">
    <mergeCell ref="B40:B41"/>
    <mergeCell ref="C40:C41"/>
    <mergeCell ref="D40:D41"/>
    <mergeCell ref="AY1:BE1"/>
    <mergeCell ref="BG1:BL1"/>
    <mergeCell ref="BN1:BS1"/>
    <mergeCell ref="BU1:BZ1"/>
    <mergeCell ref="AC1:AH1"/>
    <mergeCell ref="A1:F1"/>
    <mergeCell ref="H1:M1"/>
    <mergeCell ref="O1:T1"/>
    <mergeCell ref="AQ1:AW1"/>
    <mergeCell ref="V1:AA1"/>
    <mergeCell ref="AJ1:AO1"/>
  </mergeCells>
  <phoneticPr fontId="7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D152"/>
  <sheetViews>
    <sheetView tabSelected="1" zoomScaleNormal="100" workbookViewId="0">
      <pane ySplit="6" topLeftCell="A139" activePane="bottomLeft" state="frozen"/>
      <selection activeCell="R1" activeCellId="1" sqref="C1:C1048576 R1:R1048576"/>
      <selection pane="bottomLeft" activeCell="G140" sqref="G140"/>
    </sheetView>
  </sheetViews>
  <sheetFormatPr defaultRowHeight="16.5" outlineLevelRow="1"/>
  <cols>
    <col min="1" max="1" width="2.125" style="240" customWidth="1"/>
    <col min="2" max="2" width="5.5" style="240" customWidth="1"/>
    <col min="3" max="3" width="9.75" style="240" customWidth="1"/>
    <col min="4" max="4" width="11.875" style="240" customWidth="1"/>
    <col min="5" max="5" width="19.125" style="240" customWidth="1"/>
    <col min="6" max="6" width="7.875" style="417" customWidth="1"/>
    <col min="7" max="10" width="7.875" style="418" customWidth="1"/>
    <col min="11" max="12" width="7.875" style="419" customWidth="1"/>
    <col min="13" max="13" width="7.875" style="523" customWidth="1"/>
    <col min="14" max="14" width="10.75" style="509" hidden="1" customWidth="1"/>
    <col min="15" max="15" width="7.875" style="417" customWidth="1"/>
    <col min="16" max="16" width="20" style="240" customWidth="1"/>
    <col min="17" max="17" width="5.5" style="240" customWidth="1"/>
    <col min="18" max="18" width="7.25" style="240" customWidth="1"/>
    <col min="19" max="19" width="18.125" style="240" customWidth="1"/>
    <col min="20" max="20" width="12.625" style="240" bestFit="1" customWidth="1"/>
    <col min="21" max="21" width="6.625" style="240" bestFit="1" customWidth="1"/>
    <col min="22" max="22" width="7.75" style="240" bestFit="1" customWidth="1"/>
    <col min="23" max="23" width="7.125" style="240" bestFit="1" customWidth="1"/>
    <col min="24" max="24" width="7.75" style="240" bestFit="1" customWidth="1"/>
    <col min="25" max="26" width="6.75" style="240" bestFit="1" customWidth="1"/>
    <col min="27" max="27" width="7.25" style="240" bestFit="1" customWidth="1"/>
    <col min="28" max="28" width="11.25" style="496" hidden="1" customWidth="1"/>
    <col min="29" max="29" width="10.25" style="240" bestFit="1" customWidth="1"/>
    <col min="30" max="30" width="16.125" style="240" customWidth="1"/>
    <col min="31" max="16384" width="9" style="240"/>
  </cols>
  <sheetData>
    <row r="2" spans="2:30">
      <c r="B2" s="239" t="s">
        <v>433</v>
      </c>
      <c r="C2" s="239"/>
      <c r="D2" s="239"/>
    </row>
    <row r="3" spans="2:30">
      <c r="B3" s="241" t="s">
        <v>434</v>
      </c>
      <c r="C3" s="241"/>
      <c r="D3" s="241"/>
    </row>
    <row r="4" spans="2:30">
      <c r="B4" s="241"/>
      <c r="C4" s="241"/>
      <c r="D4" s="241"/>
    </row>
    <row r="5" spans="2:30" ht="17.25" thickBot="1">
      <c r="B5" s="241" t="s">
        <v>435</v>
      </c>
      <c r="C5" s="241"/>
      <c r="D5" s="241"/>
      <c r="R5" s="240" t="s">
        <v>436</v>
      </c>
    </row>
    <row r="6" spans="2:30" ht="36.75" customHeight="1" thickBot="1">
      <c r="B6" s="242" t="s">
        <v>43</v>
      </c>
      <c r="C6" s="243" t="s">
        <v>437</v>
      </c>
      <c r="D6" s="243" t="s">
        <v>438</v>
      </c>
      <c r="E6" s="244" t="s">
        <v>0</v>
      </c>
      <c r="F6" s="244" t="s">
        <v>1</v>
      </c>
      <c r="G6" s="510" t="s">
        <v>2</v>
      </c>
      <c r="H6" s="510" t="s">
        <v>3</v>
      </c>
      <c r="I6" s="510" t="s">
        <v>4</v>
      </c>
      <c r="J6" s="510" t="s">
        <v>5</v>
      </c>
      <c r="K6" s="518" t="s">
        <v>6</v>
      </c>
      <c r="L6" s="519" t="s">
        <v>7</v>
      </c>
      <c r="M6" s="524" t="s">
        <v>8</v>
      </c>
      <c r="N6" s="497" t="s">
        <v>608</v>
      </c>
      <c r="O6" s="247" t="s">
        <v>424</v>
      </c>
      <c r="P6" s="248" t="s">
        <v>439</v>
      </c>
      <c r="R6" s="249" t="s">
        <v>43</v>
      </c>
      <c r="S6" s="250" t="s">
        <v>0</v>
      </c>
      <c r="T6" s="250" t="s">
        <v>82</v>
      </c>
      <c r="U6" s="250" t="s">
        <v>162</v>
      </c>
      <c r="V6" s="250" t="s">
        <v>3</v>
      </c>
      <c r="W6" s="250" t="s">
        <v>4</v>
      </c>
      <c r="X6" s="250" t="s">
        <v>46</v>
      </c>
      <c r="Y6" s="250" t="s">
        <v>163</v>
      </c>
      <c r="Z6" s="251" t="s">
        <v>7</v>
      </c>
      <c r="AA6" s="252" t="s">
        <v>47</v>
      </c>
      <c r="AB6" s="506" t="s">
        <v>609</v>
      </c>
      <c r="AC6" s="253" t="s">
        <v>440</v>
      </c>
      <c r="AD6" s="254" t="s">
        <v>273</v>
      </c>
    </row>
    <row r="7" spans="2:30">
      <c r="B7" s="669">
        <v>1</v>
      </c>
      <c r="C7" s="255"/>
      <c r="D7" s="665" t="s">
        <v>350</v>
      </c>
      <c r="E7" s="256" t="s">
        <v>272</v>
      </c>
      <c r="F7" s="257" t="s">
        <v>246</v>
      </c>
      <c r="G7" s="511">
        <v>3.8940000000000001</v>
      </c>
      <c r="H7" s="511">
        <v>4.4690000000000003</v>
      </c>
      <c r="I7" s="511">
        <v>3.6054870000000001</v>
      </c>
      <c r="J7" s="512">
        <v>5.5975760000000001</v>
      </c>
      <c r="K7" s="520">
        <v>0.13819999999999999</v>
      </c>
      <c r="L7" s="520">
        <v>9.8599999999999993E-2</v>
      </c>
      <c r="M7" s="525">
        <v>45.324544000000003</v>
      </c>
      <c r="N7" s="498"/>
      <c r="O7" s="260">
        <v>91.3</v>
      </c>
      <c r="P7" s="261"/>
      <c r="R7" s="645">
        <f>IF(B7="","",B7)</f>
        <v>1</v>
      </c>
      <c r="S7" s="647" t="str">
        <f>IFERROR(IF(E8="","",E8),"")</f>
        <v>101G16005</v>
      </c>
      <c r="T7" s="647" t="str">
        <f>IFERROR(IF(B7="","","Ref. 대비 차이"),"")</f>
        <v>Ref. 대비 차이</v>
      </c>
      <c r="U7" s="649">
        <f t="shared" ref="U7:AA7" si="0">IFERROR(IF(1-(G7/G8)="","",1-(G7/G8)),"")</f>
        <v>-9.0697071780254657E-3</v>
      </c>
      <c r="V7" s="649">
        <f t="shared" si="0"/>
        <v>-4.8568747067104789E-2</v>
      </c>
      <c r="W7" s="649">
        <f t="shared" si="0"/>
        <v>-3.9144068456077985E-2</v>
      </c>
      <c r="X7" s="649">
        <f t="shared" si="0"/>
        <v>-4.8436058068802357E-2</v>
      </c>
      <c r="Y7" s="649">
        <f t="shared" si="0"/>
        <v>4.3227665706052631E-3</v>
      </c>
      <c r="Z7" s="649">
        <f t="shared" si="0"/>
        <v>-2.0325203252031798E-3</v>
      </c>
      <c r="AA7" s="649">
        <f t="shared" si="0"/>
        <v>-4.6441844907192831E-2</v>
      </c>
      <c r="AB7" s="507"/>
      <c r="AC7" s="649">
        <f>IFERROR(IF(1-(O7/O8)="","",1-(O7/O8)),"")</f>
        <v>4.362050163576936E-3</v>
      </c>
      <c r="AD7" s="654" t="s">
        <v>275</v>
      </c>
    </row>
    <row r="8" spans="2:30" ht="17.25" outlineLevel="1" thickBot="1">
      <c r="B8" s="670"/>
      <c r="C8" s="262"/>
      <c r="D8" s="666"/>
      <c r="E8" s="263" t="s">
        <v>255</v>
      </c>
      <c r="F8" s="264" t="s">
        <v>243</v>
      </c>
      <c r="G8" s="513">
        <v>3.859</v>
      </c>
      <c r="H8" s="513">
        <v>4.2619999999999996</v>
      </c>
      <c r="I8" s="513">
        <v>3.4696699999999998</v>
      </c>
      <c r="J8" s="514">
        <v>5.3389769999999999</v>
      </c>
      <c r="K8" s="521">
        <v>0.13880000000000001</v>
      </c>
      <c r="L8" s="521">
        <v>9.8400000000000001E-2</v>
      </c>
      <c r="M8" s="526">
        <v>43.313008000000004</v>
      </c>
      <c r="N8" s="499"/>
      <c r="O8" s="267">
        <v>91.7</v>
      </c>
      <c r="P8" s="268"/>
      <c r="R8" s="646"/>
      <c r="S8" s="648"/>
      <c r="T8" s="648"/>
      <c r="U8" s="650"/>
      <c r="V8" s="650"/>
      <c r="W8" s="650"/>
      <c r="X8" s="650"/>
      <c r="Y8" s="650"/>
      <c r="Z8" s="650"/>
      <c r="AA8" s="650"/>
      <c r="AB8" s="508"/>
      <c r="AC8" s="650"/>
      <c r="AD8" s="655"/>
    </row>
    <row r="9" spans="2:30">
      <c r="B9" s="669">
        <v>2</v>
      </c>
      <c r="C9" s="255"/>
      <c r="D9" s="665" t="s">
        <v>350</v>
      </c>
      <c r="E9" s="256" t="s">
        <v>205</v>
      </c>
      <c r="F9" s="257" t="s">
        <v>246</v>
      </c>
      <c r="G9" s="511">
        <v>3.8940000000000001</v>
      </c>
      <c r="H9" s="511">
        <v>4.4690000000000003</v>
      </c>
      <c r="I9" s="511">
        <v>3.6054870000000001</v>
      </c>
      <c r="J9" s="512">
        <v>5.5975760000000001</v>
      </c>
      <c r="K9" s="520">
        <v>0.13819999999999999</v>
      </c>
      <c r="L9" s="520">
        <v>9.8599999999999993E-2</v>
      </c>
      <c r="M9" s="525">
        <v>45.324544000000003</v>
      </c>
      <c r="N9" s="498"/>
      <c r="O9" s="260">
        <v>75.099999999999994</v>
      </c>
      <c r="P9" s="261"/>
      <c r="R9" s="645">
        <f>IF(B9="","",B9)</f>
        <v>2</v>
      </c>
      <c r="S9" s="647" t="str">
        <f>IFERROR(IF(E10="","",E10),"")</f>
        <v>101G16007</v>
      </c>
      <c r="T9" s="647" t="str">
        <f>IFERROR(IF(B9="","","Ref. 대비 차이"),"")</f>
        <v>Ref. 대비 차이</v>
      </c>
      <c r="U9" s="649">
        <f t="shared" ref="U9:AA9" si="1">IFERROR(IF(1-(G9/G10)="","",1-(G9/G10)),"")</f>
        <v>-3.3496521515075095E-3</v>
      </c>
      <c r="V9" s="649">
        <f t="shared" si="1"/>
        <v>7.9911209766925229E-3</v>
      </c>
      <c r="W9" s="649">
        <f t="shared" si="1"/>
        <v>1.1302806231927143E-2</v>
      </c>
      <c r="X9" s="649">
        <f t="shared" si="1"/>
        <v>9.818539660054415E-3</v>
      </c>
      <c r="Y9" s="649">
        <f t="shared" si="1"/>
        <v>0</v>
      </c>
      <c r="Z9" s="649">
        <f t="shared" si="1"/>
        <v>-1.0152284263957867E-3</v>
      </c>
      <c r="AA9" s="649">
        <f t="shared" si="1"/>
        <v>8.9972151284366531E-3</v>
      </c>
      <c r="AB9" s="507"/>
      <c r="AC9" s="649">
        <f t="shared" ref="AC9" si="2">IFERROR(IF(1-(O9/O10)="","",1-(O9/O10)),"")</f>
        <v>-2.6702269692921998E-3</v>
      </c>
      <c r="AD9" s="654" t="s">
        <v>274</v>
      </c>
    </row>
    <row r="10" spans="2:30" ht="17.25" outlineLevel="1" thickBot="1">
      <c r="B10" s="670"/>
      <c r="C10" s="262"/>
      <c r="D10" s="666"/>
      <c r="E10" s="240" t="s">
        <v>257</v>
      </c>
      <c r="F10" s="264" t="s">
        <v>249</v>
      </c>
      <c r="G10" s="513">
        <v>3.8809999999999998</v>
      </c>
      <c r="H10" s="513">
        <v>4.5049999999999999</v>
      </c>
      <c r="I10" s="513">
        <v>3.6467049999999999</v>
      </c>
      <c r="J10" s="514">
        <v>5.6530810000000002</v>
      </c>
      <c r="K10" s="521">
        <v>0.13819999999999999</v>
      </c>
      <c r="L10" s="521">
        <v>9.8500000000000004E-2</v>
      </c>
      <c r="M10" s="526">
        <v>45.736041</v>
      </c>
      <c r="N10" s="499"/>
      <c r="O10" s="267">
        <v>74.900000000000006</v>
      </c>
      <c r="P10" s="268"/>
      <c r="R10" s="646"/>
      <c r="S10" s="648"/>
      <c r="T10" s="648"/>
      <c r="U10" s="650"/>
      <c r="V10" s="650"/>
      <c r="W10" s="650"/>
      <c r="X10" s="650"/>
      <c r="Y10" s="650"/>
      <c r="Z10" s="650"/>
      <c r="AA10" s="650"/>
      <c r="AB10" s="508"/>
      <c r="AC10" s="650"/>
      <c r="AD10" s="655"/>
    </row>
    <row r="11" spans="2:30">
      <c r="B11" s="645">
        <v>3</v>
      </c>
      <c r="C11" s="269"/>
      <c r="D11" s="665" t="s">
        <v>350</v>
      </c>
      <c r="E11" s="270" t="s">
        <v>205</v>
      </c>
      <c r="F11" s="271" t="s">
        <v>246</v>
      </c>
      <c r="G11" s="426">
        <v>3.8940000000000001</v>
      </c>
      <c r="H11" s="426">
        <v>4.4690000000000003</v>
      </c>
      <c r="I11" s="426">
        <v>3.6054870000000001</v>
      </c>
      <c r="J11" s="512">
        <v>5.5975760000000001</v>
      </c>
      <c r="K11" s="428">
        <v>0.13819999999999999</v>
      </c>
      <c r="L11" s="428">
        <v>9.8599999999999993E-2</v>
      </c>
      <c r="M11" s="429">
        <v>45.324544000000003</v>
      </c>
      <c r="N11" s="500"/>
      <c r="O11" s="274">
        <v>75.099999999999994</v>
      </c>
      <c r="P11" s="275"/>
      <c r="R11" s="645">
        <f>IF(B11="","",B11)</f>
        <v>3</v>
      </c>
      <c r="S11" s="647" t="str">
        <f>IFERROR(IF(E12="","",E12),"")</f>
        <v>101G16008</v>
      </c>
      <c r="T11" s="647" t="str">
        <f>IFERROR(IF(B11="","","Ref. 대비 차이"),"")</f>
        <v>Ref. 대비 차이</v>
      </c>
      <c r="U11" s="649">
        <f t="shared" ref="U11:AA11" si="3">IFERROR(IF(1-(G11/G12)="","",1-(G11/G12)),"")</f>
        <v>-1.0641058915131119E-2</v>
      </c>
      <c r="V11" s="649">
        <f t="shared" si="3"/>
        <v>-1.2460353420933545E-2</v>
      </c>
      <c r="W11" s="649">
        <f t="shared" si="3"/>
        <v>-1.800218282371091E-3</v>
      </c>
      <c r="X11" s="649">
        <f t="shared" si="3"/>
        <v>-1.0249813022850107E-2</v>
      </c>
      <c r="Y11" s="649">
        <f t="shared" si="3"/>
        <v>3.6049026676280294E-3</v>
      </c>
      <c r="Z11" s="649">
        <f t="shared" si="3"/>
        <v>-4.0733197556008793E-3</v>
      </c>
      <c r="AA11" s="649">
        <f t="shared" si="3"/>
        <v>-8.3530067042079104E-3</v>
      </c>
      <c r="AB11" s="507"/>
      <c r="AC11" s="649">
        <f>IFERROR(IF(1-(O11/O12)="","",1-(O11/O12)),"")</f>
        <v>-4.88826815642458E-2</v>
      </c>
      <c r="AD11" s="654" t="s">
        <v>274</v>
      </c>
    </row>
    <row r="12" spans="2:30" ht="17.25" outlineLevel="1" thickBot="1">
      <c r="B12" s="646"/>
      <c r="C12" s="276"/>
      <c r="D12" s="666"/>
      <c r="E12" s="240" t="s">
        <v>259</v>
      </c>
      <c r="F12" s="277" t="s">
        <v>252</v>
      </c>
      <c r="G12" s="488">
        <v>3.8530000000000002</v>
      </c>
      <c r="H12" s="488">
        <v>4.4139999999999997</v>
      </c>
      <c r="I12" s="488">
        <v>3.599008</v>
      </c>
      <c r="J12" s="514">
        <v>5.5407840000000004</v>
      </c>
      <c r="K12" s="489">
        <v>0.13869999999999999</v>
      </c>
      <c r="L12" s="489">
        <v>9.8199999999999996E-2</v>
      </c>
      <c r="M12" s="527">
        <v>44.949083999999999</v>
      </c>
      <c r="N12" s="501"/>
      <c r="O12" s="280">
        <v>71.599999999999994</v>
      </c>
      <c r="P12" s="281"/>
      <c r="R12" s="646"/>
      <c r="S12" s="648"/>
      <c r="T12" s="648"/>
      <c r="U12" s="650"/>
      <c r="V12" s="650"/>
      <c r="W12" s="650"/>
      <c r="X12" s="650"/>
      <c r="Y12" s="650"/>
      <c r="Z12" s="650"/>
      <c r="AA12" s="650"/>
      <c r="AB12" s="508"/>
      <c r="AC12" s="650"/>
      <c r="AD12" s="655"/>
    </row>
    <row r="13" spans="2:30">
      <c r="B13" s="645">
        <v>4</v>
      </c>
      <c r="C13" s="269"/>
      <c r="D13" s="658" t="s">
        <v>351</v>
      </c>
      <c r="E13" s="270" t="s">
        <v>276</v>
      </c>
      <c r="F13" s="271" t="s">
        <v>227</v>
      </c>
      <c r="G13" s="426">
        <v>3.8959999999999999</v>
      </c>
      <c r="H13" s="426">
        <v>4.6760000000000002</v>
      </c>
      <c r="I13" s="426">
        <v>3.770553</v>
      </c>
      <c r="J13" s="512">
        <v>5.8398539999999999</v>
      </c>
      <c r="K13" s="428">
        <v>0.1386</v>
      </c>
      <c r="L13" s="428">
        <v>9.8900000000000002E-2</v>
      </c>
      <c r="M13" s="429">
        <v>47.280081000000003</v>
      </c>
      <c r="N13" s="500"/>
      <c r="O13" s="274">
        <v>89.605000000000004</v>
      </c>
      <c r="P13" s="275"/>
      <c r="R13" s="645">
        <f>IF(B13="","",B13)</f>
        <v>4</v>
      </c>
      <c r="S13" s="647" t="str">
        <f>IFERROR(IF(E14="","",E14),"")</f>
        <v>101G16005</v>
      </c>
      <c r="T13" s="647" t="str">
        <f>IFERROR(IF(B13="","","Ref. 대비 차이"),"")</f>
        <v>Ref. 대비 차이</v>
      </c>
      <c r="U13" s="649">
        <f t="shared" ref="U13:AA13" si="4">IFERROR(IF(1-(G13/G14)="","",1-(G13/G14)),"")</f>
        <v>-1.4319187711533399E-2</v>
      </c>
      <c r="V13" s="649">
        <f t="shared" si="4"/>
        <v>-3.5658914728682323E-2</v>
      </c>
      <c r="W13" s="649">
        <f t="shared" si="4"/>
        <v>-2.1038430636842298E-2</v>
      </c>
      <c r="X13" s="649">
        <f t="shared" si="4"/>
        <v>-3.6550868851914942E-2</v>
      </c>
      <c r="Y13" s="649">
        <f t="shared" si="4"/>
        <v>2.1598272138229069E-3</v>
      </c>
      <c r="Z13" s="649">
        <f t="shared" si="4"/>
        <v>0</v>
      </c>
      <c r="AA13" s="649">
        <f t="shared" si="4"/>
        <v>-3.5658915170173611E-2</v>
      </c>
      <c r="AB13" s="507"/>
      <c r="AC13" s="649">
        <f>IFERROR(IF(1-(O13/O14)="","",1-(O13/O14)),"")</f>
        <v>2.1063441600297161E-2</v>
      </c>
      <c r="AD13" s="654"/>
    </row>
    <row r="14" spans="2:30" ht="17.25" outlineLevel="1" thickBot="1">
      <c r="B14" s="646"/>
      <c r="C14" s="276"/>
      <c r="D14" s="660"/>
      <c r="E14" s="282" t="s">
        <v>255</v>
      </c>
      <c r="F14" s="277" t="s">
        <v>217</v>
      </c>
      <c r="G14" s="488">
        <v>3.8410000000000002</v>
      </c>
      <c r="H14" s="488">
        <v>4.5149999999999997</v>
      </c>
      <c r="I14" s="488">
        <v>3.6928610000000002</v>
      </c>
      <c r="J14" s="514">
        <v>5.6339290000000002</v>
      </c>
      <c r="K14" s="489">
        <v>0.1389</v>
      </c>
      <c r="L14" s="489">
        <v>9.8900000000000002E-2</v>
      </c>
      <c r="M14" s="527">
        <v>45.652174000000002</v>
      </c>
      <c r="N14" s="501"/>
      <c r="O14" s="280">
        <v>91.533000000000001</v>
      </c>
      <c r="P14" s="281"/>
      <c r="R14" s="646"/>
      <c r="S14" s="648"/>
      <c r="T14" s="648"/>
      <c r="U14" s="650"/>
      <c r="V14" s="650"/>
      <c r="W14" s="650"/>
      <c r="X14" s="650"/>
      <c r="Y14" s="650"/>
      <c r="Z14" s="650"/>
      <c r="AA14" s="650"/>
      <c r="AB14" s="508"/>
      <c r="AC14" s="650"/>
      <c r="AD14" s="655"/>
    </row>
    <row r="15" spans="2:30">
      <c r="B15" s="645">
        <v>5</v>
      </c>
      <c r="C15" s="269"/>
      <c r="D15" s="658" t="s">
        <v>351</v>
      </c>
      <c r="E15" s="270" t="s">
        <v>205</v>
      </c>
      <c r="F15" s="271" t="s">
        <v>227</v>
      </c>
      <c r="G15" s="426">
        <v>3.8959999999999999</v>
      </c>
      <c r="H15" s="426">
        <v>4.6760000000000002</v>
      </c>
      <c r="I15" s="426">
        <v>3.770553</v>
      </c>
      <c r="J15" s="512">
        <v>5.8398539999999999</v>
      </c>
      <c r="K15" s="428">
        <v>0.1386</v>
      </c>
      <c r="L15" s="428">
        <v>9.8900000000000002E-2</v>
      </c>
      <c r="M15" s="429">
        <v>47.280081000000003</v>
      </c>
      <c r="N15" s="500"/>
      <c r="O15" s="274">
        <v>89.605000000000004</v>
      </c>
      <c r="P15" s="275"/>
      <c r="R15" s="645">
        <f>IF(B15="","",B15)</f>
        <v>5</v>
      </c>
      <c r="S15" s="647" t="str">
        <f>IFERROR(IF(E16="","",E16),"")</f>
        <v>101G16007</v>
      </c>
      <c r="T15" s="647" t="str">
        <f>IFERROR(IF(B15="","","Ref. 대비 차이"),"")</f>
        <v>Ref. 대비 차이</v>
      </c>
      <c r="U15" s="649">
        <f t="shared" ref="U15:AA15" si="5">IFERROR(IF(1-(G15/G16)="","",1-(G15/G16)),"")</f>
        <v>3.132769766285437E-2</v>
      </c>
      <c r="V15" s="649">
        <f t="shared" si="5"/>
        <v>3.4100596760443525E-3</v>
      </c>
      <c r="W15" s="649">
        <f t="shared" si="5"/>
        <v>-2.8820484331479213E-2</v>
      </c>
      <c r="X15" s="649">
        <f t="shared" si="5"/>
        <v>4.3445081407101904E-3</v>
      </c>
      <c r="Y15" s="649">
        <f t="shared" si="5"/>
        <v>0</v>
      </c>
      <c r="Z15" s="649">
        <f t="shared" si="5"/>
        <v>-1.0121457489877805E-3</v>
      </c>
      <c r="AA15" s="649">
        <f t="shared" si="5"/>
        <v>4.4177413044156344E-3</v>
      </c>
      <c r="AB15" s="507"/>
      <c r="AC15" s="649">
        <f>IFERROR(IF(1-(O15/O16)="","",1-(O15/O16)),"")</f>
        <v>-1.2405798411424973E-2</v>
      </c>
      <c r="AD15" s="654"/>
    </row>
    <row r="16" spans="2:30" ht="17.25" outlineLevel="1" thickBot="1">
      <c r="B16" s="646"/>
      <c r="C16" s="276"/>
      <c r="D16" s="660"/>
      <c r="E16" s="282" t="s">
        <v>257</v>
      </c>
      <c r="F16" s="277" t="s">
        <v>232</v>
      </c>
      <c r="G16" s="488">
        <v>4.0220000000000002</v>
      </c>
      <c r="H16" s="488">
        <v>4.6920000000000002</v>
      </c>
      <c r="I16" s="488">
        <v>3.6649280000000002</v>
      </c>
      <c r="J16" s="514">
        <v>5.8653360000000001</v>
      </c>
      <c r="K16" s="489">
        <v>0.1386</v>
      </c>
      <c r="L16" s="489">
        <v>9.8799999999999999E-2</v>
      </c>
      <c r="M16" s="527">
        <v>47.489879000000002</v>
      </c>
      <c r="N16" s="501"/>
      <c r="O16" s="280">
        <v>88.507000000000005</v>
      </c>
      <c r="P16" s="281"/>
      <c r="R16" s="646"/>
      <c r="S16" s="648"/>
      <c r="T16" s="648"/>
      <c r="U16" s="650"/>
      <c r="V16" s="650"/>
      <c r="W16" s="650"/>
      <c r="X16" s="650"/>
      <c r="Y16" s="650"/>
      <c r="Z16" s="650"/>
      <c r="AA16" s="650"/>
      <c r="AB16" s="508"/>
      <c r="AC16" s="650"/>
      <c r="AD16" s="655"/>
    </row>
    <row r="17" spans="2:30">
      <c r="B17" s="645">
        <v>6</v>
      </c>
      <c r="C17" s="269"/>
      <c r="D17" s="658" t="s">
        <v>351</v>
      </c>
      <c r="E17" s="270" t="s">
        <v>205</v>
      </c>
      <c r="F17" s="271" t="s">
        <v>227</v>
      </c>
      <c r="G17" s="426">
        <v>3.8959999999999999</v>
      </c>
      <c r="H17" s="426">
        <v>4.6760000000000002</v>
      </c>
      <c r="I17" s="426">
        <v>3.770553</v>
      </c>
      <c r="J17" s="512">
        <v>5.8398539999999999</v>
      </c>
      <c r="K17" s="428">
        <v>0.1386</v>
      </c>
      <c r="L17" s="428">
        <v>9.8900000000000002E-2</v>
      </c>
      <c r="M17" s="429">
        <v>47.280081000000003</v>
      </c>
      <c r="N17" s="500"/>
      <c r="O17" s="274">
        <v>89.605000000000004</v>
      </c>
      <c r="P17" s="275"/>
      <c r="R17" s="645">
        <f>IF(B17="","",B17)</f>
        <v>6</v>
      </c>
      <c r="S17" s="647" t="str">
        <f>IFERROR(IF(E18="","",E18),"")</f>
        <v>101G16008</v>
      </c>
      <c r="T17" s="647" t="str">
        <f>IFERROR(IF(B17="","","Ref. 대비 차이"),"")</f>
        <v>Ref. 대비 차이</v>
      </c>
      <c r="U17" s="649">
        <f t="shared" ref="U17:AA17" si="6">IFERROR(IF(1-(G17/G18)="","",1-(G17/G18)),"")</f>
        <v>-1.0373443983402453E-2</v>
      </c>
      <c r="V17" s="649">
        <f t="shared" si="6"/>
        <v>-1.1245674740484546E-2</v>
      </c>
      <c r="W17" s="649">
        <f t="shared" si="6"/>
        <v>-8.632174599270126E-4</v>
      </c>
      <c r="X17" s="649">
        <f t="shared" si="6"/>
        <v>-1.2963481406625066E-2</v>
      </c>
      <c r="Y17" s="649">
        <f t="shared" si="6"/>
        <v>2.8776978417267562E-3</v>
      </c>
      <c r="Z17" s="649">
        <f t="shared" si="6"/>
        <v>-2.0263424518744966E-3</v>
      </c>
      <c r="AA17" s="649">
        <f t="shared" si="6"/>
        <v>-9.2007013932857706E-3</v>
      </c>
      <c r="AB17" s="507"/>
      <c r="AC17" s="649">
        <f t="shared" ref="AC17" si="7">IFERROR(IF(1-(O17/O18)="","",1-(O17/O18)),"")</f>
        <v>3.1433420167976456E-2</v>
      </c>
      <c r="AD17" s="654"/>
    </row>
    <row r="18" spans="2:30" ht="17.25" thickBot="1">
      <c r="B18" s="646"/>
      <c r="C18" s="276"/>
      <c r="D18" s="660"/>
      <c r="E18" s="282" t="s">
        <v>259</v>
      </c>
      <c r="F18" s="277" t="s">
        <v>237</v>
      </c>
      <c r="G18" s="488">
        <v>3.8559999999999999</v>
      </c>
      <c r="H18" s="488">
        <v>4.6239999999999997</v>
      </c>
      <c r="I18" s="488">
        <v>3.7673009999999998</v>
      </c>
      <c r="J18" s="514">
        <v>5.7651180000000002</v>
      </c>
      <c r="K18" s="489">
        <v>0.13900000000000001</v>
      </c>
      <c r="L18" s="489">
        <v>9.8699999999999996E-2</v>
      </c>
      <c r="M18" s="527">
        <v>46.849037000000003</v>
      </c>
      <c r="N18" s="501"/>
      <c r="O18" s="280">
        <v>92.513000000000005</v>
      </c>
      <c r="P18" s="281"/>
      <c r="R18" s="646"/>
      <c r="S18" s="648"/>
      <c r="T18" s="648"/>
      <c r="U18" s="650"/>
      <c r="V18" s="650"/>
      <c r="W18" s="650"/>
      <c r="X18" s="650"/>
      <c r="Y18" s="650"/>
      <c r="Z18" s="650"/>
      <c r="AA18" s="650"/>
      <c r="AB18" s="508"/>
      <c r="AC18" s="650"/>
      <c r="AD18" s="655"/>
    </row>
    <row r="19" spans="2:30">
      <c r="B19" s="645">
        <v>7</v>
      </c>
      <c r="C19" s="269"/>
      <c r="D19" s="658" t="s">
        <v>271</v>
      </c>
      <c r="E19" s="270" t="s">
        <v>205</v>
      </c>
      <c r="F19" s="271" t="s">
        <v>244</v>
      </c>
      <c r="G19" s="426">
        <v>3.84</v>
      </c>
      <c r="H19" s="426">
        <v>4.4340000000000002</v>
      </c>
      <c r="I19" s="426">
        <v>3.6275550000000001</v>
      </c>
      <c r="J19" s="512">
        <v>5.6324199999999998</v>
      </c>
      <c r="K19" s="428">
        <v>0.1384</v>
      </c>
      <c r="L19" s="428">
        <v>9.7000000000000003E-2</v>
      </c>
      <c r="M19" s="429">
        <v>45.71134</v>
      </c>
      <c r="N19" s="500"/>
      <c r="O19" s="274">
        <v>159.80000000000001</v>
      </c>
      <c r="P19" s="275"/>
      <c r="R19" s="645">
        <f>IF(B19="","",B19)</f>
        <v>7</v>
      </c>
      <c r="S19" s="647" t="str">
        <f>IFERROR(IF(E20="","",E20),"")</f>
        <v>101G16002</v>
      </c>
      <c r="T19" s="647" t="str">
        <f>IFERROR(IF(B19="","","Ref. 대비 차이"),"")</f>
        <v>Ref. 대비 차이</v>
      </c>
      <c r="U19" s="649">
        <f t="shared" ref="U19:AA19" si="8">IFERROR(IF(1-(G19/G20)="","",1-(G19/G20)),"")</f>
        <v>-2.6109660574411553E-3</v>
      </c>
      <c r="V19" s="649">
        <f t="shared" si="8"/>
        <v>-3.2363213038416827E-2</v>
      </c>
      <c r="W19" s="649">
        <f t="shared" si="8"/>
        <v>-2.9674908671845968E-2</v>
      </c>
      <c r="X19" s="649">
        <f t="shared" si="8"/>
        <v>-3.3624232570131918E-2</v>
      </c>
      <c r="Y19" s="649">
        <f t="shared" si="8"/>
        <v>4.3165467625900789E-3</v>
      </c>
      <c r="Z19" s="649">
        <f t="shared" si="8"/>
        <v>-3.1023784901758056E-3</v>
      </c>
      <c r="AA19" s="649">
        <f t="shared" si="8"/>
        <v>-2.9170325937986075E-2</v>
      </c>
      <c r="AB19" s="507"/>
      <c r="AC19" s="649">
        <f t="shared" ref="AC19" si="9">IFERROR(IF(1-(O19/O20)="","",1-(O19/O20)),"")</f>
        <v>4.9431919576467753E-2</v>
      </c>
      <c r="AD19" s="654"/>
    </row>
    <row r="20" spans="2:30" ht="17.25" thickBot="1">
      <c r="B20" s="646"/>
      <c r="C20" s="276"/>
      <c r="D20" s="660"/>
      <c r="E20" s="282" t="s">
        <v>264</v>
      </c>
      <c r="F20" s="277" t="s">
        <v>213</v>
      </c>
      <c r="G20" s="488">
        <v>3.83</v>
      </c>
      <c r="H20" s="488">
        <v>4.2949999999999999</v>
      </c>
      <c r="I20" s="488">
        <v>3.5230100000000002</v>
      </c>
      <c r="J20" s="514">
        <v>5.4491949999999996</v>
      </c>
      <c r="K20" s="489">
        <v>0.13900000000000001</v>
      </c>
      <c r="L20" s="489">
        <v>9.6699999999999994E-2</v>
      </c>
      <c r="M20" s="527">
        <v>44.415719000000003</v>
      </c>
      <c r="N20" s="501"/>
      <c r="O20" s="280">
        <v>168.11</v>
      </c>
      <c r="P20" s="281"/>
      <c r="R20" s="646"/>
      <c r="S20" s="648"/>
      <c r="T20" s="648"/>
      <c r="U20" s="650"/>
      <c r="V20" s="650"/>
      <c r="W20" s="650"/>
      <c r="X20" s="650"/>
      <c r="Y20" s="650"/>
      <c r="Z20" s="650"/>
      <c r="AA20" s="650"/>
      <c r="AB20" s="508"/>
      <c r="AC20" s="650"/>
      <c r="AD20" s="655"/>
    </row>
    <row r="21" spans="2:30">
      <c r="B21" s="645">
        <v>8</v>
      </c>
      <c r="C21" s="269"/>
      <c r="D21" s="658" t="s">
        <v>277</v>
      </c>
      <c r="E21" s="270" t="s">
        <v>205</v>
      </c>
      <c r="F21" s="271" t="s">
        <v>244</v>
      </c>
      <c r="G21" s="426">
        <v>3.84</v>
      </c>
      <c r="H21" s="426">
        <v>4.4340000000000002</v>
      </c>
      <c r="I21" s="426">
        <v>3.6275550000000001</v>
      </c>
      <c r="J21" s="512">
        <v>5.6324199999999998</v>
      </c>
      <c r="K21" s="428">
        <v>0.1384</v>
      </c>
      <c r="L21" s="428">
        <v>9.7000000000000003E-2</v>
      </c>
      <c r="M21" s="429">
        <v>45.71134</v>
      </c>
      <c r="N21" s="500"/>
      <c r="O21" s="274">
        <v>159.80000000000001</v>
      </c>
      <c r="P21" s="275"/>
      <c r="R21" s="645">
        <f>IF(B21="","",B21)</f>
        <v>8</v>
      </c>
      <c r="S21" s="647" t="str">
        <f>IFERROR(IF(E22="","",E22),"")</f>
        <v>101G16003</v>
      </c>
      <c r="T21" s="647" t="str">
        <f>IFERROR(IF(B21="","","Ref. 대비 차이"),"")</f>
        <v>Ref. 대비 차이</v>
      </c>
      <c r="U21" s="649">
        <f t="shared" ref="U21:AA21" si="10">IFERROR(IF(1-(G21/G22)="","",1-(G21/G22)),"")</f>
        <v>-2.3492560689115649E-3</v>
      </c>
      <c r="V21" s="649">
        <f t="shared" si="10"/>
        <v>-3.3325565136331781E-2</v>
      </c>
      <c r="W21" s="649">
        <f t="shared" si="10"/>
        <v>-3.0903913538951944E-2</v>
      </c>
      <c r="X21" s="649">
        <f t="shared" si="10"/>
        <v>-3.5843927321252078E-2</v>
      </c>
      <c r="Y21" s="649">
        <f t="shared" si="10"/>
        <v>4.3165467625900789E-3</v>
      </c>
      <c r="Z21" s="649">
        <f t="shared" si="10"/>
        <v>-2.0661157024794985E-3</v>
      </c>
      <c r="AA21" s="649">
        <f t="shared" si="10"/>
        <v>-3.1195001537610789E-2</v>
      </c>
      <c r="AB21" s="507"/>
      <c r="AC21" s="649">
        <f t="shared" ref="AC21" si="11">IFERROR(IF(1-(O21/O22)="","",1-(O21/O22)),"")</f>
        <v>4.372075209747095E-2</v>
      </c>
      <c r="AD21" s="654"/>
    </row>
    <row r="22" spans="2:30" ht="17.25" thickBot="1">
      <c r="B22" s="646"/>
      <c r="C22" s="276"/>
      <c r="D22" s="660"/>
      <c r="E22" s="282" t="s">
        <v>266</v>
      </c>
      <c r="F22" s="277" t="s">
        <v>241</v>
      </c>
      <c r="G22" s="488">
        <v>3.831</v>
      </c>
      <c r="H22" s="488">
        <v>4.2910000000000004</v>
      </c>
      <c r="I22" s="488">
        <v>3.5188100000000002</v>
      </c>
      <c r="J22" s="514">
        <v>5.4375179999999999</v>
      </c>
      <c r="K22" s="489">
        <v>0.13900000000000001</v>
      </c>
      <c r="L22" s="489">
        <v>9.6799999999999997E-2</v>
      </c>
      <c r="M22" s="527">
        <v>44.328512000000003</v>
      </c>
      <c r="N22" s="501"/>
      <c r="O22" s="280">
        <v>167.10599999999999</v>
      </c>
      <c r="P22" s="281"/>
      <c r="R22" s="646"/>
      <c r="S22" s="648"/>
      <c r="T22" s="648"/>
      <c r="U22" s="650"/>
      <c r="V22" s="650"/>
      <c r="W22" s="650"/>
      <c r="X22" s="650"/>
      <c r="Y22" s="650"/>
      <c r="Z22" s="650"/>
      <c r="AA22" s="650"/>
      <c r="AB22" s="508"/>
      <c r="AC22" s="650"/>
      <c r="AD22" s="655"/>
    </row>
    <row r="23" spans="2:30">
      <c r="B23" s="645">
        <v>9</v>
      </c>
      <c r="C23" s="269"/>
      <c r="D23" s="658" t="s">
        <v>270</v>
      </c>
      <c r="E23" s="270" t="s">
        <v>205</v>
      </c>
      <c r="F23" s="271" t="s">
        <v>244</v>
      </c>
      <c r="G23" s="426">
        <v>3.84</v>
      </c>
      <c r="H23" s="426">
        <v>4.4340000000000002</v>
      </c>
      <c r="I23" s="426">
        <v>3.6275550000000001</v>
      </c>
      <c r="J23" s="512">
        <v>5.6324199999999998</v>
      </c>
      <c r="K23" s="428">
        <v>0.1384</v>
      </c>
      <c r="L23" s="428">
        <v>9.7000000000000003E-2</v>
      </c>
      <c r="M23" s="429">
        <v>45.71134</v>
      </c>
      <c r="N23" s="500"/>
      <c r="O23" s="274">
        <v>159.80000000000001</v>
      </c>
      <c r="P23" s="275"/>
      <c r="R23" s="645">
        <f>IF(B23="","",B23)</f>
        <v>9</v>
      </c>
      <c r="S23" s="647" t="str">
        <f>IFERROR(IF(E24="","",E24),"")</f>
        <v>101G16004</v>
      </c>
      <c r="T23" s="647" t="str">
        <f>IFERROR(IF(B23="","","Ref. 대비 차이"),"")</f>
        <v>Ref. 대비 차이</v>
      </c>
      <c r="U23" s="649">
        <f t="shared" ref="U23:AA23" si="12">IFERROR(IF(1-(G23/G24)="","",1-(G23/G24)),"")</f>
        <v>1.0405827263267886E-3</v>
      </c>
      <c r="V23" s="649">
        <f t="shared" si="12"/>
        <v>-1.1174458380843966E-2</v>
      </c>
      <c r="W23" s="649">
        <f t="shared" si="12"/>
        <v>-1.2227749046106684E-2</v>
      </c>
      <c r="X23" s="649">
        <f t="shared" si="12"/>
        <v>-1.1772656260244707E-2</v>
      </c>
      <c r="Y23" s="649">
        <f t="shared" si="12"/>
        <v>5.0323508267433592E-3</v>
      </c>
      <c r="Z23" s="649">
        <f t="shared" si="12"/>
        <v>-5.1813471502590858E-3</v>
      </c>
      <c r="AA23" s="649">
        <f t="shared" si="12"/>
        <v>-5.9622034701927173E-3</v>
      </c>
      <c r="AB23" s="507"/>
      <c r="AC23" s="649">
        <f t="shared" ref="AC23" si="13">IFERROR(IF(1-(O23/O24)="","",1-(O23/O24)),"")</f>
        <v>4.3783696452186049E-2</v>
      </c>
      <c r="AD23" s="654"/>
    </row>
    <row r="24" spans="2:30" ht="17.25" thickBot="1">
      <c r="B24" s="646"/>
      <c r="C24" s="276"/>
      <c r="D24" s="660"/>
      <c r="E24" s="282" t="s">
        <v>267</v>
      </c>
      <c r="F24" s="277" t="s">
        <v>250</v>
      </c>
      <c r="G24" s="488">
        <v>3.8439999999999999</v>
      </c>
      <c r="H24" s="488">
        <v>4.3849999999999998</v>
      </c>
      <c r="I24" s="488">
        <v>3.5837340000000002</v>
      </c>
      <c r="J24" s="514">
        <v>5.5668829999999998</v>
      </c>
      <c r="K24" s="489">
        <v>0.1391</v>
      </c>
      <c r="L24" s="489">
        <v>9.6500000000000002E-2</v>
      </c>
      <c r="M24" s="527">
        <v>45.440415000000002</v>
      </c>
      <c r="N24" s="501"/>
      <c r="O24" s="280">
        <v>167.11699999999999</v>
      </c>
      <c r="P24" s="281"/>
      <c r="R24" s="646"/>
      <c r="S24" s="648"/>
      <c r="T24" s="648"/>
      <c r="U24" s="650"/>
      <c r="V24" s="650"/>
      <c r="W24" s="650"/>
      <c r="X24" s="650"/>
      <c r="Y24" s="650"/>
      <c r="Z24" s="650"/>
      <c r="AA24" s="650"/>
      <c r="AB24" s="508"/>
      <c r="AC24" s="650"/>
      <c r="AD24" s="655"/>
    </row>
    <row r="25" spans="2:30">
      <c r="B25" s="667">
        <v>10</v>
      </c>
      <c r="C25" s="283"/>
      <c r="D25" s="658" t="s">
        <v>287</v>
      </c>
      <c r="E25" s="270" t="s">
        <v>205</v>
      </c>
      <c r="F25" s="271" t="s">
        <v>246</v>
      </c>
      <c r="G25" s="426">
        <v>3.6890000000000001</v>
      </c>
      <c r="H25" s="426">
        <v>4.2169999999999996</v>
      </c>
      <c r="I25" s="426">
        <v>3.59124</v>
      </c>
      <c r="J25" s="512">
        <v>5.2448309999999996</v>
      </c>
      <c r="K25" s="428">
        <v>0.14030000000000001</v>
      </c>
      <c r="L25" s="428">
        <v>9.8400000000000001E-2</v>
      </c>
      <c r="M25" s="429">
        <v>42.855691</v>
      </c>
      <c r="N25" s="500"/>
      <c r="O25" s="274">
        <v>126.40900000000001</v>
      </c>
      <c r="P25" s="275"/>
      <c r="R25" s="645">
        <f>IF(B25="","",B25)</f>
        <v>10</v>
      </c>
      <c r="S25" s="647" t="str">
        <f>IFERROR(IF(E26="","",E26),"")</f>
        <v>101G16001</v>
      </c>
      <c r="T25" s="647" t="str">
        <f>IFERROR(IF(B25="","","Ref. 대비 차이"),"")</f>
        <v>Ref. 대비 차이</v>
      </c>
      <c r="U25" s="649">
        <f t="shared" ref="U25:AA25" si="14">IFERROR(IF(1-(G25/G26)="","",1-(G25/G26)),"")</f>
        <v>1.0831302464121562E-3</v>
      </c>
      <c r="V25" s="649">
        <f t="shared" si="14"/>
        <v>7.0638097480575368E-3</v>
      </c>
      <c r="W25" s="649">
        <f t="shared" si="14"/>
        <v>5.9872051894462874E-3</v>
      </c>
      <c r="X25" s="649">
        <f t="shared" si="14"/>
        <v>-2.1949636790548066E-3</v>
      </c>
      <c r="Y25" s="649">
        <f t="shared" si="14"/>
        <v>1.42348754448407E-3</v>
      </c>
      <c r="Z25" s="649">
        <f t="shared" si="14"/>
        <v>1.0060362173038184E-2</v>
      </c>
      <c r="AA25" s="649">
        <f t="shared" si="14"/>
        <v>-3.0270073569107492E-3</v>
      </c>
      <c r="AB25" s="507"/>
      <c r="AC25" s="649">
        <f t="shared" ref="AC25" si="15">IFERROR(IF(1-(O25/O26)="","",1-(O25/O26)),"")</f>
        <v>-6.3769823578117002E-3</v>
      </c>
      <c r="AD25" s="654"/>
    </row>
    <row r="26" spans="2:30" ht="17.25" thickBot="1">
      <c r="B26" s="668"/>
      <c r="C26" s="284"/>
      <c r="D26" s="660"/>
      <c r="E26" s="282" t="s">
        <v>282</v>
      </c>
      <c r="F26" s="277" t="s">
        <v>218</v>
      </c>
      <c r="G26" s="488">
        <v>3.6930000000000001</v>
      </c>
      <c r="H26" s="488">
        <v>4.2469999999999999</v>
      </c>
      <c r="I26" s="488">
        <v>3.6128710000000002</v>
      </c>
      <c r="J26" s="514">
        <v>5.2333439999999998</v>
      </c>
      <c r="K26" s="489">
        <v>0.14050000000000001</v>
      </c>
      <c r="L26" s="489">
        <v>9.9400000000000002E-2</v>
      </c>
      <c r="M26" s="527">
        <v>42.726357999999998</v>
      </c>
      <c r="N26" s="501"/>
      <c r="O26" s="280">
        <v>125.608</v>
      </c>
      <c r="P26" s="281"/>
      <c r="R26" s="646"/>
      <c r="S26" s="648"/>
      <c r="T26" s="648"/>
      <c r="U26" s="650"/>
      <c r="V26" s="650"/>
      <c r="W26" s="650"/>
      <c r="X26" s="650"/>
      <c r="Y26" s="650"/>
      <c r="Z26" s="650"/>
      <c r="AA26" s="650"/>
      <c r="AB26" s="508"/>
      <c r="AC26" s="650"/>
      <c r="AD26" s="655"/>
    </row>
    <row r="27" spans="2:30">
      <c r="B27" s="667">
        <v>11</v>
      </c>
      <c r="C27" s="283"/>
      <c r="D27" s="658" t="s">
        <v>286</v>
      </c>
      <c r="E27" s="270" t="s">
        <v>205</v>
      </c>
      <c r="F27" s="271" t="s">
        <v>246</v>
      </c>
      <c r="G27" s="426">
        <v>3.6890000000000001</v>
      </c>
      <c r="H27" s="426">
        <v>4.2169999999999996</v>
      </c>
      <c r="I27" s="426">
        <v>3.59124</v>
      </c>
      <c r="J27" s="512">
        <v>5.2448309999999996</v>
      </c>
      <c r="K27" s="428">
        <v>0.14030000000000001</v>
      </c>
      <c r="L27" s="428">
        <v>9.8400000000000001E-2</v>
      </c>
      <c r="M27" s="429">
        <v>42.855691</v>
      </c>
      <c r="N27" s="500"/>
      <c r="O27" s="274"/>
      <c r="P27" s="275"/>
      <c r="R27" s="645">
        <f>IF(B27="","",B27)</f>
        <v>11</v>
      </c>
      <c r="S27" s="647" t="str">
        <f>IFERROR(IF(E28="","",E28),"")</f>
        <v>101G17001</v>
      </c>
      <c r="T27" s="647" t="str">
        <f>IFERROR(IF(B27="","","Ref. 대비 차이"),"")</f>
        <v>Ref. 대비 차이</v>
      </c>
      <c r="U27" s="649">
        <f t="shared" ref="U27:AA27" si="16">IFERROR(IF(1-(G27/G28)="","",1-(G27/G28)),"")</f>
        <v>1.0831302464121562E-3</v>
      </c>
      <c r="V27" s="649">
        <f t="shared" si="16"/>
        <v>9.8614698285984792E-3</v>
      </c>
      <c r="W27" s="649">
        <f t="shared" si="16"/>
        <v>8.7878293572952737E-3</v>
      </c>
      <c r="X27" s="649">
        <f t="shared" si="16"/>
        <v>4.7504063197065793E-3</v>
      </c>
      <c r="Y27" s="649">
        <f t="shared" si="16"/>
        <v>7.1225071225067271E-4</v>
      </c>
      <c r="Z27" s="649">
        <f t="shared" si="16"/>
        <v>6.0606060606060996E-3</v>
      </c>
      <c r="AA27" s="649">
        <f t="shared" si="16"/>
        <v>3.8240406216595302E-3</v>
      </c>
      <c r="AB27" s="507"/>
      <c r="AC27" s="649" t="str">
        <f t="shared" ref="AC27" si="17">IFERROR(IF(1-(O27/O28)="","",1-(O27/O28)),"")</f>
        <v/>
      </c>
      <c r="AD27" s="654"/>
    </row>
    <row r="28" spans="2:30" ht="17.25" thickBot="1">
      <c r="B28" s="668"/>
      <c r="C28" s="284"/>
      <c r="D28" s="660"/>
      <c r="E28" s="282" t="s">
        <v>283</v>
      </c>
      <c r="F28" s="277" t="s">
        <v>243</v>
      </c>
      <c r="G28" s="488">
        <v>3.6930000000000001</v>
      </c>
      <c r="H28" s="488">
        <v>4.2590000000000003</v>
      </c>
      <c r="I28" s="488">
        <v>3.6230790000000002</v>
      </c>
      <c r="J28" s="514">
        <v>5.2698650000000002</v>
      </c>
      <c r="K28" s="489">
        <v>0.1404</v>
      </c>
      <c r="L28" s="489">
        <v>9.9000000000000005E-2</v>
      </c>
      <c r="M28" s="527">
        <v>43.020201999999998</v>
      </c>
      <c r="N28" s="501"/>
      <c r="O28" s="280"/>
      <c r="P28" s="281"/>
      <c r="R28" s="646"/>
      <c r="S28" s="648"/>
      <c r="T28" s="648"/>
      <c r="U28" s="650"/>
      <c r="V28" s="650"/>
      <c r="W28" s="650"/>
      <c r="X28" s="650"/>
      <c r="Y28" s="650"/>
      <c r="Z28" s="650"/>
      <c r="AA28" s="650"/>
      <c r="AB28" s="508"/>
      <c r="AC28" s="650"/>
      <c r="AD28" s="655"/>
    </row>
    <row r="29" spans="2:30">
      <c r="B29" s="667">
        <v>12</v>
      </c>
      <c r="C29" s="283"/>
      <c r="D29" s="658" t="s">
        <v>286</v>
      </c>
      <c r="E29" s="270" t="s">
        <v>205</v>
      </c>
      <c r="F29" s="271" t="s">
        <v>246</v>
      </c>
      <c r="G29" s="426">
        <v>3.6890000000000001</v>
      </c>
      <c r="H29" s="426">
        <v>4.2169999999999996</v>
      </c>
      <c r="I29" s="426">
        <v>3.59124</v>
      </c>
      <c r="J29" s="512">
        <v>5.2448309999999996</v>
      </c>
      <c r="K29" s="428">
        <v>0.14030000000000001</v>
      </c>
      <c r="L29" s="428">
        <v>9.8400000000000001E-2</v>
      </c>
      <c r="M29" s="429">
        <v>42.855691</v>
      </c>
      <c r="N29" s="500"/>
      <c r="O29" s="274"/>
      <c r="P29" s="275"/>
      <c r="R29" s="645">
        <f>IF(B29="","",B29)</f>
        <v>12</v>
      </c>
      <c r="S29" s="647" t="str">
        <f>IFERROR(IF(E30="","",E30),"")</f>
        <v>101G17002</v>
      </c>
      <c r="T29" s="647" t="str">
        <f>IFERROR(IF(B29="","","Ref. 대비 차이"),"")</f>
        <v>Ref. 대비 차이</v>
      </c>
      <c r="U29" s="649">
        <f t="shared" ref="U29:AA29" si="18">IFERROR(IF(1-(G29/G30)="","",1-(G29/G30)),"")</f>
        <v>-1.9011406844107182E-3</v>
      </c>
      <c r="V29" s="649">
        <f t="shared" si="18"/>
        <v>-1.638949144372126E-2</v>
      </c>
      <c r="W29" s="649">
        <f t="shared" si="18"/>
        <v>-1.4460820870225488E-2</v>
      </c>
      <c r="X29" s="649">
        <f t="shared" si="18"/>
        <v>-1.9476219197754219E-2</v>
      </c>
      <c r="Y29" s="649">
        <f t="shared" si="18"/>
        <v>0</v>
      </c>
      <c r="Z29" s="649">
        <f t="shared" si="18"/>
        <v>4.0485829959513442E-3</v>
      </c>
      <c r="AA29" s="649">
        <f t="shared" si="18"/>
        <v>-2.0521157737879658E-2</v>
      </c>
      <c r="AB29" s="507"/>
      <c r="AC29" s="649" t="str">
        <f t="shared" ref="AC29" si="19">IFERROR(IF(1-(O29/O30)="","",1-(O29/O30)),"")</f>
        <v/>
      </c>
      <c r="AD29" s="654"/>
    </row>
    <row r="30" spans="2:30" ht="17.25" thickBot="1">
      <c r="B30" s="668"/>
      <c r="C30" s="284"/>
      <c r="D30" s="660"/>
      <c r="E30" s="282" t="s">
        <v>284</v>
      </c>
      <c r="F30" s="277" t="s">
        <v>249</v>
      </c>
      <c r="G30" s="488">
        <v>3.6819999999999999</v>
      </c>
      <c r="H30" s="488">
        <v>4.149</v>
      </c>
      <c r="I30" s="488">
        <v>3.5400480000000001</v>
      </c>
      <c r="J30" s="514">
        <v>5.1446329999999998</v>
      </c>
      <c r="K30" s="489">
        <v>0.14030000000000001</v>
      </c>
      <c r="L30" s="489">
        <v>9.8799999999999999E-2</v>
      </c>
      <c r="M30" s="527">
        <v>41.993926999999999</v>
      </c>
      <c r="N30" s="501"/>
      <c r="O30" s="280"/>
      <c r="P30" s="281"/>
      <c r="R30" s="646"/>
      <c r="S30" s="648"/>
      <c r="T30" s="648"/>
      <c r="U30" s="650"/>
      <c r="V30" s="650"/>
      <c r="W30" s="650"/>
      <c r="X30" s="650"/>
      <c r="Y30" s="650"/>
      <c r="Z30" s="650"/>
      <c r="AA30" s="650"/>
      <c r="AB30" s="508"/>
      <c r="AC30" s="650"/>
      <c r="AD30" s="655"/>
    </row>
    <row r="31" spans="2:30">
      <c r="B31" s="667">
        <v>13</v>
      </c>
      <c r="C31" s="283"/>
      <c r="D31" s="658" t="s">
        <v>286</v>
      </c>
      <c r="E31" s="270" t="s">
        <v>205</v>
      </c>
      <c r="F31" s="271" t="s">
        <v>246</v>
      </c>
      <c r="G31" s="426">
        <v>3.6890000000000001</v>
      </c>
      <c r="H31" s="426">
        <v>4.2169999999999996</v>
      </c>
      <c r="I31" s="426">
        <v>3.59124</v>
      </c>
      <c r="J31" s="512">
        <v>5.2448309999999996</v>
      </c>
      <c r="K31" s="428">
        <v>0.14030000000000001</v>
      </c>
      <c r="L31" s="428">
        <v>9.8400000000000001E-2</v>
      </c>
      <c r="M31" s="429">
        <v>42.855691</v>
      </c>
      <c r="N31" s="500"/>
      <c r="O31" s="274"/>
      <c r="P31" s="275"/>
      <c r="R31" s="645">
        <f>IF(B31="","",B31)</f>
        <v>13</v>
      </c>
      <c r="S31" s="647" t="str">
        <f>IFERROR(IF(E32="","",E32),"")</f>
        <v>101G17003</v>
      </c>
      <c r="T31" s="647" t="str">
        <f>IFERROR(IF(B31="","","Ref. 대비 차이"),"")</f>
        <v>Ref. 대비 차이</v>
      </c>
      <c r="U31" s="649">
        <f t="shared" ref="U31:AA31" si="20">IFERROR(IF(1-(G31/G32)="","",1-(G31/G32)),"")</f>
        <v>-4.3561121698882932E-3</v>
      </c>
      <c r="V31" s="649">
        <f t="shared" si="20"/>
        <v>-2.9289724188430455E-2</v>
      </c>
      <c r="W31" s="649">
        <f t="shared" si="20"/>
        <v>-2.4825311921594428E-2</v>
      </c>
      <c r="X31" s="649">
        <f t="shared" si="20"/>
        <v>-3.724471240301841E-2</v>
      </c>
      <c r="Y31" s="649">
        <f t="shared" si="20"/>
        <v>1.42348754448407E-3</v>
      </c>
      <c r="Z31" s="649">
        <f t="shared" si="20"/>
        <v>1.0060362173038184E-2</v>
      </c>
      <c r="AA31" s="649">
        <f t="shared" si="20"/>
        <v>-3.9749979765779875E-2</v>
      </c>
      <c r="AB31" s="507"/>
      <c r="AC31" s="649" t="str">
        <f t="shared" ref="AC31" si="21">IFERROR(IF(1-(O31/O32)="","",1-(O31/O32)),"")</f>
        <v/>
      </c>
      <c r="AD31" s="654"/>
    </row>
    <row r="32" spans="2:30" ht="17.25" thickBot="1">
      <c r="B32" s="668"/>
      <c r="C32" s="284"/>
      <c r="D32" s="660"/>
      <c r="E32" s="282" t="s">
        <v>285</v>
      </c>
      <c r="F32" s="277" t="s">
        <v>252</v>
      </c>
      <c r="G32" s="488">
        <v>3.673</v>
      </c>
      <c r="H32" s="488">
        <v>4.0970000000000004</v>
      </c>
      <c r="I32" s="488">
        <v>3.5042460000000002</v>
      </c>
      <c r="J32" s="514">
        <v>5.0565030000000002</v>
      </c>
      <c r="K32" s="489">
        <v>0.14050000000000001</v>
      </c>
      <c r="L32" s="489">
        <v>9.9400000000000002E-2</v>
      </c>
      <c r="M32" s="527">
        <v>41.217303999999999</v>
      </c>
      <c r="N32" s="501"/>
      <c r="O32" s="280"/>
      <c r="P32" s="281"/>
      <c r="R32" s="646"/>
      <c r="S32" s="648"/>
      <c r="T32" s="648"/>
      <c r="U32" s="650"/>
      <c r="V32" s="650"/>
      <c r="W32" s="650"/>
      <c r="X32" s="650"/>
      <c r="Y32" s="650"/>
      <c r="Z32" s="650"/>
      <c r="AA32" s="650"/>
      <c r="AB32" s="508"/>
      <c r="AC32" s="650"/>
      <c r="AD32" s="655"/>
    </row>
    <row r="33" spans="2:30">
      <c r="B33" s="645">
        <v>14</v>
      </c>
      <c r="C33" s="269"/>
      <c r="D33" s="663" t="s">
        <v>289</v>
      </c>
      <c r="E33" s="270" t="s">
        <v>205</v>
      </c>
      <c r="F33" s="271" t="s">
        <v>246</v>
      </c>
      <c r="G33" s="426">
        <v>3.778</v>
      </c>
      <c r="H33" s="426">
        <v>4.2370000000000001</v>
      </c>
      <c r="I33" s="426">
        <v>3.5232709999999998</v>
      </c>
      <c r="J33" s="512">
        <v>5.2589129999999997</v>
      </c>
      <c r="K33" s="428">
        <v>0.14019999999999999</v>
      </c>
      <c r="L33" s="428">
        <v>9.8699999999999996E-2</v>
      </c>
      <c r="M33" s="429">
        <v>42.928064999999997</v>
      </c>
      <c r="N33" s="500"/>
      <c r="O33" s="274"/>
      <c r="P33" s="275"/>
      <c r="R33" s="645">
        <f>IF(B33="","",B33)</f>
        <v>14</v>
      </c>
      <c r="S33" s="647" t="str">
        <f>IFERROR(IF(E34="","",E34),"")</f>
        <v>101G16001</v>
      </c>
      <c r="T33" s="647" t="str">
        <f>IFERROR(IF(B33="","","Ref. 대비 차이"),"")</f>
        <v>Ref. 대비 차이</v>
      </c>
      <c r="U33" s="649">
        <f t="shared" ref="U33:AA33" si="22">IFERROR(IF(1-(G33/G34)="","",1-(G33/G34)),"")</f>
        <v>1.3319404544267499E-2</v>
      </c>
      <c r="V33" s="649">
        <f t="shared" si="22"/>
        <v>8.6262669829631156E-2</v>
      </c>
      <c r="W33" s="649">
        <f t="shared" si="22"/>
        <v>7.3927883902671909E-2</v>
      </c>
      <c r="X33" s="649">
        <f t="shared" si="22"/>
        <v>7.1407622070246202E-2</v>
      </c>
      <c r="Y33" s="649">
        <f t="shared" si="22"/>
        <v>1.4245014245014564E-3</v>
      </c>
      <c r="Z33" s="649">
        <f t="shared" si="22"/>
        <v>2.083333333333337E-2</v>
      </c>
      <c r="AA33" s="649">
        <f t="shared" si="22"/>
        <v>6.6821444049022016E-2</v>
      </c>
      <c r="AB33" s="507"/>
      <c r="AC33" s="649" t="str">
        <f t="shared" ref="AC33" si="23">IFERROR(IF(1-(O33/O34)="","",1-(O33/O34)),"")</f>
        <v/>
      </c>
      <c r="AD33" s="654"/>
    </row>
    <row r="34" spans="2:30" ht="17.25" thickBot="1">
      <c r="B34" s="646"/>
      <c r="C34" s="276"/>
      <c r="D34" s="664"/>
      <c r="E34" s="282" t="s">
        <v>282</v>
      </c>
      <c r="F34" s="277" t="s">
        <v>214</v>
      </c>
      <c r="G34" s="488">
        <v>3.8290000000000002</v>
      </c>
      <c r="H34" s="488">
        <v>4.6369999999999996</v>
      </c>
      <c r="I34" s="488">
        <v>3.804532</v>
      </c>
      <c r="J34" s="514">
        <v>5.6633170000000002</v>
      </c>
      <c r="K34" s="489">
        <v>0.1404</v>
      </c>
      <c r="L34" s="489">
        <v>0.1008</v>
      </c>
      <c r="M34" s="527">
        <v>46.001984</v>
      </c>
      <c r="N34" s="501"/>
      <c r="O34" s="280"/>
      <c r="P34" s="281"/>
      <c r="R34" s="646"/>
      <c r="S34" s="648"/>
      <c r="T34" s="648"/>
      <c r="U34" s="650"/>
      <c r="V34" s="650"/>
      <c r="W34" s="650"/>
      <c r="X34" s="650"/>
      <c r="Y34" s="650"/>
      <c r="Z34" s="650"/>
      <c r="AA34" s="650"/>
      <c r="AB34" s="508"/>
      <c r="AC34" s="650"/>
      <c r="AD34" s="655"/>
    </row>
    <row r="35" spans="2:30">
      <c r="B35" s="645">
        <v>15</v>
      </c>
      <c r="C35" s="269"/>
      <c r="D35" s="663" t="s">
        <v>288</v>
      </c>
      <c r="E35" s="270" t="s">
        <v>205</v>
      </c>
      <c r="F35" s="271" t="s">
        <v>246</v>
      </c>
      <c r="G35" s="426">
        <v>3.778</v>
      </c>
      <c r="H35" s="426">
        <v>4.2370000000000001</v>
      </c>
      <c r="I35" s="426">
        <v>3.5232709999999998</v>
      </c>
      <c r="J35" s="512">
        <v>5.2589129999999997</v>
      </c>
      <c r="K35" s="428">
        <v>0.14019999999999999</v>
      </c>
      <c r="L35" s="428">
        <v>9.8699999999999996E-2</v>
      </c>
      <c r="M35" s="429">
        <v>42.928064999999997</v>
      </c>
      <c r="N35" s="500"/>
      <c r="O35" s="274">
        <v>126.40900000000001</v>
      </c>
      <c r="P35" s="275"/>
      <c r="R35" s="645">
        <f>IF(B35="","",B35)</f>
        <v>15</v>
      </c>
      <c r="S35" s="647" t="str">
        <f>IFERROR(IF(E36="","",E36),"")</f>
        <v>101G17001</v>
      </c>
      <c r="T35" s="647" t="str">
        <f>IFERROR(IF(B35="","","Ref. 대비 차이"),"")</f>
        <v>Ref. 대비 차이</v>
      </c>
      <c r="U35" s="649">
        <f t="shared" ref="U35:AA35" si="24">IFERROR(IF(1-(G35/G36)="","",1-(G35/G36)),"")</f>
        <v>1.5856236786468969E-3</v>
      </c>
      <c r="V35" s="649">
        <f t="shared" si="24"/>
        <v>1.8303985171455039E-2</v>
      </c>
      <c r="W35" s="649">
        <f t="shared" si="24"/>
        <v>1.6744751724122597E-2</v>
      </c>
      <c r="X35" s="649">
        <f t="shared" si="24"/>
        <v>1.6528172941304486E-2</v>
      </c>
      <c r="Y35" s="649">
        <f t="shared" si="24"/>
        <v>7.1275837491102667E-4</v>
      </c>
      <c r="Z35" s="649">
        <f t="shared" si="24"/>
        <v>4.0363269424823489E-3</v>
      </c>
      <c r="AA35" s="649">
        <f t="shared" si="24"/>
        <v>1.432548352350016E-2</v>
      </c>
      <c r="AB35" s="507"/>
      <c r="AC35" s="649">
        <f t="shared" ref="AC35" si="25">IFERROR(IF(1-(O35/O36)="","",1-(O35/O36)),"")</f>
        <v>-6.3769823578117002E-3</v>
      </c>
      <c r="AD35" s="654"/>
    </row>
    <row r="36" spans="2:30" ht="17.25" thickBot="1">
      <c r="B36" s="646"/>
      <c r="C36" s="276"/>
      <c r="D36" s="664"/>
      <c r="E36" s="282" t="s">
        <v>283</v>
      </c>
      <c r="F36" s="277" t="s">
        <v>243</v>
      </c>
      <c r="G36" s="488">
        <v>3.7839999999999998</v>
      </c>
      <c r="H36" s="488">
        <v>4.3159999999999998</v>
      </c>
      <c r="I36" s="488">
        <v>3.583272</v>
      </c>
      <c r="J36" s="514">
        <v>5.3472939999999998</v>
      </c>
      <c r="K36" s="489">
        <v>0.14030000000000001</v>
      </c>
      <c r="L36" s="489">
        <v>9.9099999999999994E-2</v>
      </c>
      <c r="M36" s="527">
        <v>43.551968000000002</v>
      </c>
      <c r="N36" s="501"/>
      <c r="O36" s="280">
        <v>125.608</v>
      </c>
      <c r="P36" s="281"/>
      <c r="R36" s="646"/>
      <c r="S36" s="648"/>
      <c r="T36" s="648"/>
      <c r="U36" s="650"/>
      <c r="V36" s="650"/>
      <c r="W36" s="650"/>
      <c r="X36" s="650"/>
      <c r="Y36" s="650"/>
      <c r="Z36" s="650"/>
      <c r="AA36" s="650"/>
      <c r="AB36" s="508"/>
      <c r="AC36" s="650"/>
      <c r="AD36" s="655"/>
    </row>
    <row r="37" spans="2:30">
      <c r="B37" s="645">
        <v>16</v>
      </c>
      <c r="C37" s="269"/>
      <c r="D37" s="663" t="s">
        <v>288</v>
      </c>
      <c r="E37" s="270" t="s">
        <v>205</v>
      </c>
      <c r="F37" s="271" t="s">
        <v>246</v>
      </c>
      <c r="G37" s="426">
        <v>3.778</v>
      </c>
      <c r="H37" s="426">
        <v>4.2370000000000001</v>
      </c>
      <c r="I37" s="426">
        <v>3.5232709999999998</v>
      </c>
      <c r="J37" s="512">
        <v>5.2589129999999997</v>
      </c>
      <c r="K37" s="428">
        <v>0.14019999999999999</v>
      </c>
      <c r="L37" s="428">
        <v>9.8699999999999996E-2</v>
      </c>
      <c r="M37" s="429">
        <v>42.928064999999997</v>
      </c>
      <c r="N37" s="500"/>
      <c r="O37" s="274">
        <v>126.40900000000001</v>
      </c>
      <c r="P37" s="275"/>
      <c r="R37" s="645">
        <f>IF(B37="","",B37)</f>
        <v>16</v>
      </c>
      <c r="S37" s="647" t="str">
        <f>IFERROR(IF(E38="","",E38),"")</f>
        <v>101G17002</v>
      </c>
      <c r="T37" s="647" t="str">
        <f>IFERROR(IF(B37="","","Ref. 대비 차이"),"")</f>
        <v>Ref. 대비 차이</v>
      </c>
      <c r="U37" s="649">
        <f t="shared" ref="U37:AA37" si="26">IFERROR(IF(1-(G37/G38)="","",1-(G37/G38)),"")</f>
        <v>-1.3252054068380037E-3</v>
      </c>
      <c r="V37" s="649">
        <f t="shared" si="26"/>
        <v>-1.7286914765906269E-2</v>
      </c>
      <c r="W37" s="649">
        <f t="shared" si="26"/>
        <v>-1.5940650330782402E-2</v>
      </c>
      <c r="X37" s="649">
        <f t="shared" si="26"/>
        <v>-2.4040921811750993E-2</v>
      </c>
      <c r="Y37" s="649">
        <f t="shared" si="26"/>
        <v>7.1275837491102667E-4</v>
      </c>
      <c r="Z37" s="649">
        <f t="shared" si="26"/>
        <v>6.0422960725076136E-3</v>
      </c>
      <c r="AA37" s="649">
        <f t="shared" si="26"/>
        <v>-2.3471039268083915E-2</v>
      </c>
      <c r="AB37" s="507"/>
      <c r="AC37" s="649">
        <f t="shared" ref="AC37" si="27">IFERROR(IF(1-(O37/O38)="","",1-(O37/O38)),"")</f>
        <v>-4.2032808507130426E-2</v>
      </c>
      <c r="AD37" s="654"/>
    </row>
    <row r="38" spans="2:30" ht="17.25" thickBot="1">
      <c r="B38" s="646"/>
      <c r="C38" s="276"/>
      <c r="D38" s="664"/>
      <c r="E38" s="282" t="s">
        <v>284</v>
      </c>
      <c r="F38" s="277" t="s">
        <v>249</v>
      </c>
      <c r="G38" s="488">
        <v>3.7730000000000001</v>
      </c>
      <c r="H38" s="488">
        <v>4.165</v>
      </c>
      <c r="I38" s="488">
        <v>3.4679890000000002</v>
      </c>
      <c r="J38" s="514">
        <v>5.1354519999999999</v>
      </c>
      <c r="K38" s="489">
        <v>0.14030000000000001</v>
      </c>
      <c r="L38" s="489">
        <v>9.9299999999999999E-2</v>
      </c>
      <c r="M38" s="527">
        <v>41.943604999999998</v>
      </c>
      <c r="N38" s="501"/>
      <c r="O38" s="280">
        <v>121.31</v>
      </c>
      <c r="P38" s="281"/>
      <c r="R38" s="646"/>
      <c r="S38" s="648"/>
      <c r="T38" s="648"/>
      <c r="U38" s="650"/>
      <c r="V38" s="650"/>
      <c r="W38" s="650"/>
      <c r="X38" s="650"/>
      <c r="Y38" s="650"/>
      <c r="Z38" s="650"/>
      <c r="AA38" s="650"/>
      <c r="AB38" s="508"/>
      <c r="AC38" s="650"/>
      <c r="AD38" s="655"/>
    </row>
    <row r="39" spans="2:30">
      <c r="B39" s="645">
        <v>17</v>
      </c>
      <c r="C39" s="269"/>
      <c r="D39" s="663" t="s">
        <v>288</v>
      </c>
      <c r="E39" s="270" t="s">
        <v>290</v>
      </c>
      <c r="F39" s="271" t="s">
        <v>246</v>
      </c>
      <c r="G39" s="426">
        <v>3.778</v>
      </c>
      <c r="H39" s="426">
        <v>4.2370000000000001</v>
      </c>
      <c r="I39" s="426">
        <v>3.5232709999999998</v>
      </c>
      <c r="J39" s="512">
        <v>5.2589129999999997</v>
      </c>
      <c r="K39" s="428">
        <v>0.14019999999999999</v>
      </c>
      <c r="L39" s="428">
        <v>9.8699999999999996E-2</v>
      </c>
      <c r="M39" s="429">
        <v>42.928064999999997</v>
      </c>
      <c r="N39" s="500"/>
      <c r="O39" s="274">
        <v>126.40900000000001</v>
      </c>
      <c r="P39" s="275"/>
      <c r="R39" s="645">
        <f>IF(B39="","",B39)</f>
        <v>17</v>
      </c>
      <c r="S39" s="647" t="str">
        <f>IFERROR(IF(E40="","",E40),"")</f>
        <v>101G17003</v>
      </c>
      <c r="T39" s="647" t="str">
        <f>IFERROR(IF(B39="","","Ref. 대비 차이"),"")</f>
        <v>Ref. 대비 차이</v>
      </c>
      <c r="U39" s="649">
        <f t="shared" ref="U39:AA39" si="28">IFERROR(IF(1-(G39/G40)="","",1-(G39/G40)),"")</f>
        <v>-2.9200955667640915E-3</v>
      </c>
      <c r="V39" s="649">
        <f t="shared" si="28"/>
        <v>-3.518201807964827E-2</v>
      </c>
      <c r="W39" s="649">
        <f t="shared" si="28"/>
        <v>-3.2168183306937825E-2</v>
      </c>
      <c r="X39" s="649">
        <f t="shared" si="28"/>
        <v>-4.7637726100456135E-2</v>
      </c>
      <c r="Y39" s="649">
        <f t="shared" si="28"/>
        <v>2.135231316726105E-3</v>
      </c>
      <c r="Z39" s="649">
        <f t="shared" si="28"/>
        <v>1.3000000000000123E-2</v>
      </c>
      <c r="AA39" s="649">
        <f t="shared" si="28"/>
        <v>-4.8816638162716863E-2</v>
      </c>
      <c r="AB39" s="507"/>
      <c r="AC39" s="649">
        <f t="shared" ref="AC39" si="29">IFERROR(IF(1-(O39/O40)="","",1-(O39/O40)),"")</f>
        <v>3.3681152772999989E-2</v>
      </c>
      <c r="AD39" s="654"/>
    </row>
    <row r="40" spans="2:30" ht="17.25" thickBot="1">
      <c r="B40" s="646"/>
      <c r="C40" s="276"/>
      <c r="D40" s="664"/>
      <c r="E40" s="282" t="s">
        <v>285</v>
      </c>
      <c r="F40" s="277" t="s">
        <v>252</v>
      </c>
      <c r="G40" s="488">
        <v>3.7669999999999999</v>
      </c>
      <c r="H40" s="488">
        <v>4.093</v>
      </c>
      <c r="I40" s="488">
        <v>3.4134660000000001</v>
      </c>
      <c r="J40" s="514">
        <v>5.0197820000000002</v>
      </c>
      <c r="K40" s="489">
        <v>0.14050000000000001</v>
      </c>
      <c r="L40" s="489">
        <v>0.1</v>
      </c>
      <c r="M40" s="527">
        <v>40.93</v>
      </c>
      <c r="N40" s="501"/>
      <c r="O40" s="280">
        <v>130.815</v>
      </c>
      <c r="P40" s="281"/>
      <c r="R40" s="646"/>
      <c r="S40" s="648"/>
      <c r="T40" s="648"/>
      <c r="U40" s="650"/>
      <c r="V40" s="650"/>
      <c r="W40" s="650"/>
      <c r="X40" s="650"/>
      <c r="Y40" s="650"/>
      <c r="Z40" s="650"/>
      <c r="AA40" s="650"/>
      <c r="AB40" s="508"/>
      <c r="AC40" s="650"/>
      <c r="AD40" s="655"/>
    </row>
    <row r="41" spans="2:30">
      <c r="B41" s="667">
        <v>18</v>
      </c>
      <c r="C41" s="283"/>
      <c r="D41" s="658" t="s">
        <v>293</v>
      </c>
      <c r="E41" s="270" t="s">
        <v>205</v>
      </c>
      <c r="F41" s="271" t="s">
        <v>222</v>
      </c>
      <c r="G41" s="426">
        <v>3.7909999999999999</v>
      </c>
      <c r="H41" s="426">
        <v>4.3369999999999997</v>
      </c>
      <c r="I41" s="426">
        <v>3.5940590000000001</v>
      </c>
      <c r="J41" s="512">
        <v>5.207891</v>
      </c>
      <c r="K41" s="428">
        <v>0.14030000000000001</v>
      </c>
      <c r="L41" s="428">
        <v>0.1028</v>
      </c>
      <c r="M41" s="429">
        <v>42.188715999999999</v>
      </c>
      <c r="N41" s="500"/>
      <c r="O41" s="274">
        <v>96.4</v>
      </c>
      <c r="P41" s="275"/>
      <c r="R41" s="645">
        <f>IF(B41="","",B41)</f>
        <v>18</v>
      </c>
      <c r="S41" s="647" t="str">
        <f>IFERROR(IF(E42="","",E42),"")</f>
        <v>101G17004</v>
      </c>
      <c r="T41" s="647" t="str">
        <f>IFERROR(IF(B41="","","Ref. 대비 차이"),"")</f>
        <v>Ref. 대비 차이</v>
      </c>
      <c r="U41" s="649">
        <f t="shared" ref="U41:AA41" si="30">IFERROR(IF(1-(G41/G42)="","",1-(G41/G42)),"")</f>
        <v>2.3684210526315752E-3</v>
      </c>
      <c r="V41" s="649">
        <f t="shared" si="30"/>
        <v>2.953680912955936E-2</v>
      </c>
      <c r="W41" s="649">
        <f t="shared" si="30"/>
        <v>2.7232706530344375E-2</v>
      </c>
      <c r="X41" s="649">
        <f t="shared" si="30"/>
        <v>3.0969976931095156E-2</v>
      </c>
      <c r="Y41" s="649">
        <f t="shared" si="30"/>
        <v>0</v>
      </c>
      <c r="Z41" s="649">
        <f t="shared" si="30"/>
        <v>-9.7370983446931625E-4</v>
      </c>
      <c r="AA41" s="649">
        <f t="shared" si="30"/>
        <v>3.0480849483649264E-2</v>
      </c>
      <c r="AB41" s="507"/>
      <c r="AC41" s="649">
        <f t="shared" ref="AC41" si="31">IFERROR(IF(1-(O41/O42)="","",1-(O41/O42)),"")</f>
        <v>2.0325203252032464E-2</v>
      </c>
      <c r="AD41" s="654"/>
    </row>
    <row r="42" spans="2:30" ht="17.25" thickBot="1">
      <c r="B42" s="668"/>
      <c r="C42" s="284"/>
      <c r="D42" s="660"/>
      <c r="E42" s="282" t="s">
        <v>291</v>
      </c>
      <c r="F42" s="277" t="s">
        <v>232</v>
      </c>
      <c r="G42" s="488">
        <v>3.8</v>
      </c>
      <c r="H42" s="488">
        <v>4.4690000000000003</v>
      </c>
      <c r="I42" s="488">
        <v>3.6946750000000002</v>
      </c>
      <c r="J42" s="514">
        <v>5.3743340000000002</v>
      </c>
      <c r="K42" s="489">
        <v>0.14030000000000001</v>
      </c>
      <c r="L42" s="489">
        <v>0.1027</v>
      </c>
      <c r="M42" s="527">
        <v>43.515093</v>
      </c>
      <c r="N42" s="501"/>
      <c r="O42" s="280">
        <v>98.4</v>
      </c>
      <c r="P42" s="281"/>
      <c r="R42" s="646"/>
      <c r="S42" s="648"/>
      <c r="T42" s="648"/>
      <c r="U42" s="650"/>
      <c r="V42" s="650"/>
      <c r="W42" s="650"/>
      <c r="X42" s="650"/>
      <c r="Y42" s="650"/>
      <c r="Z42" s="650"/>
      <c r="AA42" s="650"/>
      <c r="AB42" s="508"/>
      <c r="AC42" s="650"/>
      <c r="AD42" s="655"/>
    </row>
    <row r="43" spans="2:30">
      <c r="B43" s="645">
        <v>19</v>
      </c>
      <c r="C43" s="269"/>
      <c r="D43" s="658" t="s">
        <v>300</v>
      </c>
      <c r="E43" s="270" t="s">
        <v>299</v>
      </c>
      <c r="F43" s="271" t="s">
        <v>232</v>
      </c>
      <c r="G43" s="426">
        <v>3.9319999999999999</v>
      </c>
      <c r="H43" s="426">
        <v>4.1840000000000002</v>
      </c>
      <c r="I43" s="426">
        <v>3.3429329999999999</v>
      </c>
      <c r="J43" s="512">
        <v>5.1919789999999999</v>
      </c>
      <c r="K43" s="428">
        <v>0.1394</v>
      </c>
      <c r="L43" s="428">
        <v>9.9500000000000005E-2</v>
      </c>
      <c r="M43" s="429">
        <v>42.050251000000003</v>
      </c>
      <c r="N43" s="500"/>
      <c r="O43" s="274"/>
      <c r="P43" s="275"/>
      <c r="R43" s="645">
        <f>IF(B43="","",B43)</f>
        <v>19</v>
      </c>
      <c r="S43" s="647" t="str">
        <f>IFERROR(IF(E44="","",E44),"")</f>
        <v>101G17008</v>
      </c>
      <c r="T43" s="647" t="str">
        <f>IFERROR(IF(B43="","","Ref. 대비 차이"),"")</f>
        <v>Ref. 대비 차이</v>
      </c>
      <c r="U43" s="649">
        <f t="shared" ref="U43:AA43" si="32">IFERROR(IF(1-(G43/G44)="","",1-(G43/G44)),"")</f>
        <v>7.5719333669864719E-3</v>
      </c>
      <c r="V43" s="649">
        <f t="shared" si="32"/>
        <v>9.4568275265094148E-2</v>
      </c>
      <c r="W43" s="649">
        <f t="shared" si="32"/>
        <v>8.7660075472192456E-2</v>
      </c>
      <c r="X43" s="649">
        <f t="shared" si="32"/>
        <v>9.4811393288257384E-2</v>
      </c>
      <c r="Y43" s="649">
        <f t="shared" si="32"/>
        <v>-2.8776978417264232E-3</v>
      </c>
      <c r="Z43" s="649">
        <f t="shared" si="32"/>
        <v>-1.006036217303885E-3</v>
      </c>
      <c r="AA43" s="649">
        <f t="shared" si="32"/>
        <v>9.5478270162099199E-2</v>
      </c>
      <c r="AB43" s="507"/>
      <c r="AC43" s="649" t="str">
        <f t="shared" ref="AC43" si="33">IFERROR(IF(1-(O43/O44)="","",1-(O43/O44)),"")</f>
        <v/>
      </c>
      <c r="AD43" s="654"/>
    </row>
    <row r="44" spans="2:30" ht="17.25" thickBot="1">
      <c r="B44" s="646"/>
      <c r="C44" s="276"/>
      <c r="D44" s="660"/>
      <c r="E44" s="282" t="s">
        <v>302</v>
      </c>
      <c r="F44" s="277" t="s">
        <v>222</v>
      </c>
      <c r="G44" s="488">
        <v>3.9620000000000002</v>
      </c>
      <c r="H44" s="488">
        <v>4.6210000000000004</v>
      </c>
      <c r="I44" s="488">
        <v>3.6641309999999998</v>
      </c>
      <c r="J44" s="514">
        <v>5.735798</v>
      </c>
      <c r="K44" s="489">
        <v>0.13900000000000001</v>
      </c>
      <c r="L44" s="489">
        <v>9.9400000000000002E-2</v>
      </c>
      <c r="M44" s="527">
        <v>46.488934</v>
      </c>
      <c r="N44" s="501"/>
      <c r="O44" s="280"/>
      <c r="P44" s="281"/>
      <c r="R44" s="646"/>
      <c r="S44" s="648"/>
      <c r="T44" s="648"/>
      <c r="U44" s="650"/>
      <c r="V44" s="650"/>
      <c r="W44" s="650"/>
      <c r="X44" s="650"/>
      <c r="Y44" s="650"/>
      <c r="Z44" s="650"/>
      <c r="AA44" s="650"/>
      <c r="AB44" s="508"/>
      <c r="AC44" s="650"/>
      <c r="AD44" s="655"/>
    </row>
    <row r="45" spans="2:30">
      <c r="B45" s="667">
        <v>20</v>
      </c>
      <c r="C45" s="283"/>
      <c r="D45" s="663" t="s">
        <v>301</v>
      </c>
      <c r="E45" s="270" t="s">
        <v>298</v>
      </c>
      <c r="F45" s="271" t="s">
        <v>233</v>
      </c>
      <c r="G45" s="426">
        <v>3.931</v>
      </c>
      <c r="H45" s="426">
        <v>4.4640000000000004</v>
      </c>
      <c r="I45" s="426">
        <v>3.567555</v>
      </c>
      <c r="J45" s="512">
        <v>5.5490539999999999</v>
      </c>
      <c r="K45" s="428">
        <v>0.1386</v>
      </c>
      <c r="L45" s="428">
        <v>9.9599999999999994E-2</v>
      </c>
      <c r="M45" s="429">
        <v>44.819277</v>
      </c>
      <c r="N45" s="500"/>
      <c r="O45" s="274">
        <v>92.9</v>
      </c>
      <c r="P45" s="275"/>
      <c r="R45" s="645">
        <f t="shared" ref="R45" si="34">IF(B45="","",B45)</f>
        <v>20</v>
      </c>
      <c r="S45" s="647" t="str">
        <f t="shared" ref="S45" si="35">IFERROR(IF(E46="","",E46),"")</f>
        <v>101G17008</v>
      </c>
      <c r="T45" s="647" t="str">
        <f t="shared" ref="T45" si="36">IFERROR(IF(B45="","","Ref. 대비 차이"),"")</f>
        <v>Ref. 대비 차이</v>
      </c>
      <c r="U45" s="649">
        <f t="shared" ref="U45" si="37">IFERROR(IF(1-(G45/G46)="","",1-(G45/G46)),"")</f>
        <v>5.0620096178183305E-3</v>
      </c>
      <c r="V45" s="649">
        <f t="shared" ref="V45" si="38">IFERROR(IF(1-(H45/H46)="","",1-(H45/H46)),"")</f>
        <v>3.9586919104991236E-2</v>
      </c>
      <c r="W45" s="649">
        <f t="shared" ref="W45" si="39">IFERROR(IF(1-(I45/I46)="","",1-(I45/I46)),"")</f>
        <v>3.4700461415536177E-2</v>
      </c>
      <c r="X45" s="649">
        <f t="shared" ref="X45" si="40">IFERROR(IF(1-(J45/J46)="","",1-(J45/J46)),"")</f>
        <v>4.1939968946656969E-2</v>
      </c>
      <c r="Y45" s="649">
        <f t="shared" ref="Y45" si="41">IFERROR(IF(1-(K45/K46)="","",1-(K45/K46)),"")</f>
        <v>2.1598272138229069E-3</v>
      </c>
      <c r="Z45" s="649">
        <f t="shared" ref="Z45" si="42">IFERROR(IF(1-(L45/L46)="","",1-(L45/L46)),"")</f>
        <v>-5.0454086781028806E-3</v>
      </c>
      <c r="AA45" s="649">
        <f t="shared" ref="AA45" si="43">IFERROR(IF(1-(M45/M46)="","",1-(M45/M46)),"")</f>
        <v>4.4408270764909386E-2</v>
      </c>
      <c r="AB45" s="507"/>
      <c r="AC45" s="649">
        <f t="shared" ref="AC45" si="44">IFERROR(IF(1-(O45/O46)="","",1-(O45/O46)),"")</f>
        <v>-4.6171171171171199E-2</v>
      </c>
      <c r="AD45" s="654"/>
    </row>
    <row r="46" spans="2:30" ht="17.25" thickBot="1">
      <c r="B46" s="668"/>
      <c r="C46" s="284"/>
      <c r="D46" s="664"/>
      <c r="E46" s="282" t="s">
        <v>294</v>
      </c>
      <c r="F46" s="277" t="s">
        <v>214</v>
      </c>
      <c r="G46" s="488">
        <v>3.9510000000000001</v>
      </c>
      <c r="H46" s="488">
        <v>4.6479999999999997</v>
      </c>
      <c r="I46" s="488">
        <v>3.6958009999999999</v>
      </c>
      <c r="J46" s="514">
        <v>5.7919689999999999</v>
      </c>
      <c r="K46" s="489">
        <v>0.1389</v>
      </c>
      <c r="L46" s="489">
        <v>9.9099999999999994E-2</v>
      </c>
      <c r="M46" s="527">
        <v>46.902118999999999</v>
      </c>
      <c r="N46" s="501"/>
      <c r="O46" s="280">
        <v>88.8</v>
      </c>
      <c r="P46" s="281"/>
      <c r="R46" s="646"/>
      <c r="S46" s="648"/>
      <c r="T46" s="648"/>
      <c r="U46" s="650"/>
      <c r="V46" s="650"/>
      <c r="W46" s="650"/>
      <c r="X46" s="650"/>
      <c r="Y46" s="650"/>
      <c r="Z46" s="650"/>
      <c r="AA46" s="650"/>
      <c r="AB46" s="508"/>
      <c r="AC46" s="650"/>
      <c r="AD46" s="655"/>
    </row>
    <row r="47" spans="2:30">
      <c r="B47" s="645">
        <v>21</v>
      </c>
      <c r="C47" s="269"/>
      <c r="D47" s="658" t="s">
        <v>309</v>
      </c>
      <c r="E47" s="270" t="s">
        <v>298</v>
      </c>
      <c r="F47" s="271" t="s">
        <v>227</v>
      </c>
      <c r="G47" s="426">
        <v>3.9969999999999999</v>
      </c>
      <c r="H47" s="426">
        <v>4.1360000000000001</v>
      </c>
      <c r="I47" s="426">
        <v>3.250842</v>
      </c>
      <c r="J47" s="512">
        <v>5.1436840000000004</v>
      </c>
      <c r="K47" s="428">
        <v>0.13880000000000001</v>
      </c>
      <c r="L47" s="428">
        <v>9.9599999999999994E-2</v>
      </c>
      <c r="M47" s="429">
        <v>41.526103999999997</v>
      </c>
      <c r="N47" s="500"/>
      <c r="O47" s="274"/>
      <c r="P47" s="285" t="s">
        <v>313</v>
      </c>
      <c r="R47" s="645">
        <f t="shared" ref="R47" si="45">IF(B47="","",B47)</f>
        <v>21</v>
      </c>
      <c r="S47" s="647" t="str">
        <f t="shared" ref="S47" si="46">IFERROR(IF(E48="","",E48),"")</f>
        <v>101G17006</v>
      </c>
      <c r="T47" s="647" t="str">
        <f t="shared" ref="T47" si="47">IFERROR(IF(B47="","","Ref. 대비 차이"),"")</f>
        <v>Ref. 대비 차이</v>
      </c>
      <c r="U47" s="649">
        <f t="shared" ref="U47" si="48">IFERROR(IF(1-(G47/G48)="","",1-(G47/G48)),"")</f>
        <v>6.9565217391305278E-3</v>
      </c>
      <c r="V47" s="649">
        <f t="shared" ref="V47" si="49">IFERROR(IF(1-(H47/H48)="","",1-(H47/H48)),"")</f>
        <v>7.7403524425607717E-2</v>
      </c>
      <c r="W47" s="649">
        <f t="shared" ref="W47" si="50">IFERROR(IF(1-(I47/I48)="","",1-(I47/I48)),"")</f>
        <v>7.0940604755323378E-2</v>
      </c>
      <c r="X47" s="649">
        <f t="shared" ref="X47" si="51">IFERROR(IF(1-(J47/J48)="","",1-(J47/J48)),"")</f>
        <v>7.5574952580767185E-2</v>
      </c>
      <c r="Y47" s="649">
        <f t="shared" ref="Y47" si="52">IFERROR(IF(1-(K47/K48)="","",1-(K47/K48)),"")</f>
        <v>-6.526468455402501E-3</v>
      </c>
      <c r="Z47" s="649">
        <f t="shared" ref="Z47" si="53">IFERROR(IF(1-(L47/L48)="","",1-(L47/L48)),"")</f>
        <v>5.9880239520958556E-3</v>
      </c>
      <c r="AA47" s="649">
        <f t="shared" ref="AA47" si="54">IFERROR(IF(1-(M47/M48)="","",1-(M47/M48)),"")</f>
        <v>7.1845724453934112E-2</v>
      </c>
      <c r="AB47" s="507"/>
      <c r="AC47" s="649" t="str">
        <f t="shared" ref="AC47" si="55">IFERROR(IF(1-(O47/O48)="","",1-(O47/O48)),"")</f>
        <v/>
      </c>
      <c r="AD47" s="654"/>
    </row>
    <row r="48" spans="2:30" ht="17.25" thickBot="1">
      <c r="B48" s="646"/>
      <c r="C48" s="276"/>
      <c r="D48" s="660"/>
      <c r="E48" s="282" t="s">
        <v>311</v>
      </c>
      <c r="F48" s="277" t="s">
        <v>218</v>
      </c>
      <c r="G48" s="488">
        <v>4.0250000000000004</v>
      </c>
      <c r="H48" s="488">
        <v>4.4829999999999997</v>
      </c>
      <c r="I48" s="488">
        <v>3.4990679999999998</v>
      </c>
      <c r="J48" s="514">
        <v>5.5641980000000002</v>
      </c>
      <c r="K48" s="489">
        <v>0.13789999999999999</v>
      </c>
      <c r="L48" s="489">
        <v>0.1002</v>
      </c>
      <c r="M48" s="527">
        <v>44.740518999999999</v>
      </c>
      <c r="N48" s="501"/>
      <c r="O48" s="280"/>
      <c r="P48" s="281"/>
      <c r="R48" s="646"/>
      <c r="S48" s="648"/>
      <c r="T48" s="648"/>
      <c r="U48" s="650"/>
      <c r="V48" s="650"/>
      <c r="W48" s="650"/>
      <c r="X48" s="650"/>
      <c r="Y48" s="650"/>
      <c r="Z48" s="650"/>
      <c r="AA48" s="650"/>
      <c r="AB48" s="508"/>
      <c r="AC48" s="650"/>
      <c r="AD48" s="655"/>
    </row>
    <row r="49" spans="2:30">
      <c r="B49" s="667">
        <v>22</v>
      </c>
      <c r="C49" s="283"/>
      <c r="D49" s="658" t="s">
        <v>308</v>
      </c>
      <c r="E49" s="270" t="s">
        <v>298</v>
      </c>
      <c r="F49" s="271" t="s">
        <v>227</v>
      </c>
      <c r="G49" s="426">
        <v>3.9969999999999999</v>
      </c>
      <c r="H49" s="426">
        <v>4.1360000000000001</v>
      </c>
      <c r="I49" s="426">
        <v>3.250842</v>
      </c>
      <c r="J49" s="512">
        <v>5.1436840000000004</v>
      </c>
      <c r="K49" s="428">
        <v>0.13880000000000001</v>
      </c>
      <c r="L49" s="428">
        <v>9.9599999999999994E-2</v>
      </c>
      <c r="M49" s="429">
        <v>41.526103999999997</v>
      </c>
      <c r="N49" s="500"/>
      <c r="O49" s="274">
        <v>77.599999999999994</v>
      </c>
      <c r="P49" s="285" t="s">
        <v>322</v>
      </c>
      <c r="R49" s="645">
        <f t="shared" ref="R49" si="56">IF(B49="","",B49)</f>
        <v>22</v>
      </c>
      <c r="S49" s="647" t="str">
        <f t="shared" ref="S49" si="57">IFERROR(IF(E50="","",E50),"")</f>
        <v>101G17007</v>
      </c>
      <c r="T49" s="647" t="str">
        <f t="shared" ref="T49" si="58">IFERROR(IF(B49="","","Ref. 대비 차이"),"")</f>
        <v>Ref. 대비 차이</v>
      </c>
      <c r="U49" s="649">
        <f t="shared" ref="U49" si="59">IFERROR(IF(1-(G49/G50)="","",1-(G49/G50)),"")</f>
        <v>-2.2567703109328541E-3</v>
      </c>
      <c r="V49" s="649">
        <f t="shared" ref="V49" si="60">IFERROR(IF(1-(H49/H50)="","",1-(H49/H50)),"")</f>
        <v>-2.8088491175739527E-2</v>
      </c>
      <c r="W49" s="649">
        <f t="shared" ref="W49" si="61">IFERROR(IF(1-(I49/I50)="","",1-(I49/I50)),"")</f>
        <v>-2.5773374791190795E-2</v>
      </c>
      <c r="X49" s="649">
        <f t="shared" ref="X49" si="62">IFERROR(IF(1-(J49/J50)="","",1-(J49/J50)),"")</f>
        <v>-2.7717920453662392E-2</v>
      </c>
      <c r="Y49" s="649">
        <f t="shared" ref="Y49" si="63">IFERROR(IF(1-(K49/K50)="","",1-(K49/K50)),"")</f>
        <v>7.1994240460759862E-4</v>
      </c>
      <c r="Z49" s="649">
        <f t="shared" ref="Z49" si="64">IFERROR(IF(1-(L49/L50)="","",1-(L49/L50)),"")</f>
        <v>1.0030090270812808E-3</v>
      </c>
      <c r="AA49" s="649">
        <f t="shared" ref="AA49" si="65">IFERROR(IF(1-(M49/M50)="","",1-(M49/M50)),"")</f>
        <v>-2.9120702252801056E-2</v>
      </c>
      <c r="AB49" s="507"/>
      <c r="AC49" s="649">
        <f t="shared" ref="AC49" si="66">IFERROR(IF(1-(O49/O50)="","",1-(O49/O50)),"")</f>
        <v>1.647655259822578E-2</v>
      </c>
      <c r="AD49" s="654"/>
    </row>
    <row r="50" spans="2:30" ht="17.25" thickBot="1">
      <c r="B50" s="668"/>
      <c r="C50" s="284"/>
      <c r="D50" s="660"/>
      <c r="E50" s="282" t="s">
        <v>312</v>
      </c>
      <c r="F50" s="277" t="s">
        <v>233</v>
      </c>
      <c r="G50" s="488">
        <v>3.988</v>
      </c>
      <c r="H50" s="488">
        <v>4.0229999999999997</v>
      </c>
      <c r="I50" s="488">
        <v>3.169162</v>
      </c>
      <c r="J50" s="514">
        <v>5.0049570000000001</v>
      </c>
      <c r="K50" s="489">
        <v>0.1389</v>
      </c>
      <c r="L50" s="489">
        <v>9.9699999999999997E-2</v>
      </c>
      <c r="M50" s="527">
        <v>40.351053</v>
      </c>
      <c r="N50" s="501"/>
      <c r="O50" s="280">
        <v>78.900000000000006</v>
      </c>
      <c r="P50" s="281"/>
      <c r="R50" s="646"/>
      <c r="S50" s="648"/>
      <c r="T50" s="648"/>
      <c r="U50" s="650"/>
      <c r="V50" s="650"/>
      <c r="W50" s="650"/>
      <c r="X50" s="650"/>
      <c r="Y50" s="650"/>
      <c r="Z50" s="650"/>
      <c r="AA50" s="650"/>
      <c r="AB50" s="508"/>
      <c r="AC50" s="650"/>
      <c r="AD50" s="655"/>
    </row>
    <row r="51" spans="2:30">
      <c r="B51" s="645">
        <v>23</v>
      </c>
      <c r="C51" s="269"/>
      <c r="D51" s="663" t="s">
        <v>310</v>
      </c>
      <c r="E51" s="270" t="s">
        <v>298</v>
      </c>
      <c r="F51" s="271" t="s">
        <v>246</v>
      </c>
      <c r="G51" s="426">
        <v>3.8519999999999999</v>
      </c>
      <c r="H51" s="426">
        <v>3.972</v>
      </c>
      <c r="I51" s="426">
        <v>3.2394590000000001</v>
      </c>
      <c r="J51" s="512">
        <v>5.0302259999999999</v>
      </c>
      <c r="K51" s="428">
        <v>0.1394</v>
      </c>
      <c r="L51" s="428">
        <v>9.7199999999999995E-2</v>
      </c>
      <c r="M51" s="429">
        <v>40.864198000000002</v>
      </c>
      <c r="N51" s="500"/>
      <c r="O51" s="274"/>
      <c r="P51" s="285" t="s">
        <v>321</v>
      </c>
      <c r="R51" s="645">
        <f t="shared" ref="R51" si="67">IF(B51="","",B51)</f>
        <v>23</v>
      </c>
      <c r="S51" s="647" t="str">
        <f t="shared" ref="S51" si="68">IFERROR(IF(E52="","",E52),"")</f>
        <v>101G17006</v>
      </c>
      <c r="T51" s="647" t="str">
        <f t="shared" ref="T51" si="69">IFERROR(IF(B51="","","Ref. 대비 차이"),"")</f>
        <v>Ref. 대비 차이</v>
      </c>
      <c r="U51" s="649">
        <f t="shared" ref="U51" si="70">IFERROR(IF(1-(G51/G52)="","",1-(G51/G52)),"")</f>
        <v>9.5140138853175849E-3</v>
      </c>
      <c r="V51" s="649">
        <f t="shared" ref="V51" si="71">IFERROR(IF(1-(H51/H52)="","",1-(H51/H52)),"")</f>
        <v>0.10560684530511144</v>
      </c>
      <c r="W51" s="649">
        <f t="shared" ref="W51" si="72">IFERROR(IF(1-(I51/I52)="","",1-(I51/I52)),"")</f>
        <v>9.7015919703504094E-2</v>
      </c>
      <c r="X51" s="649">
        <f t="shared" ref="X51" si="73">IFERROR(IF(1-(J51/J52)="","",1-(J51/J52)),"")</f>
        <v>0.10246931180688723</v>
      </c>
      <c r="Y51" s="649">
        <f t="shared" ref="Y51" si="74">IFERROR(IF(1-(K51/K52)="","",1-(K51/K52)),"")</f>
        <v>-5.0468637346792189E-3</v>
      </c>
      <c r="Z51" s="649">
        <f t="shared" ref="Z51" si="75">IFERROR(IF(1-(L51/L52)="","",1-(L51/L52)),"")</f>
        <v>6.1349693251534498E-3</v>
      </c>
      <c r="AA51" s="649">
        <f t="shared" ref="AA51" si="76">IFERROR(IF(1-(M51/M52)="","",1-(M51/M52)),"")</f>
        <v>0.10008589046602601</v>
      </c>
      <c r="AB51" s="507"/>
      <c r="AC51" s="649" t="str">
        <f t="shared" ref="AC51" si="77">IFERROR(IF(1-(O51/O52)="","",1-(O51/O52)),"")</f>
        <v/>
      </c>
      <c r="AD51" s="654"/>
    </row>
    <row r="52" spans="2:30" ht="17.25" thickBot="1">
      <c r="B52" s="646"/>
      <c r="C52" s="276"/>
      <c r="D52" s="664"/>
      <c r="E52" s="282" t="s">
        <v>303</v>
      </c>
      <c r="F52" s="277" t="s">
        <v>214</v>
      </c>
      <c r="G52" s="488">
        <v>3.8889999999999998</v>
      </c>
      <c r="H52" s="488">
        <v>4.4409999999999998</v>
      </c>
      <c r="I52" s="488">
        <v>3.587504</v>
      </c>
      <c r="J52" s="514">
        <v>5.6045170000000004</v>
      </c>
      <c r="K52" s="489">
        <v>0.13869999999999999</v>
      </c>
      <c r="L52" s="489">
        <v>9.7799999999999998E-2</v>
      </c>
      <c r="M52" s="527">
        <v>45.408997999999997</v>
      </c>
      <c r="N52" s="501"/>
      <c r="O52" s="280"/>
      <c r="P52" s="281"/>
      <c r="R52" s="646"/>
      <c r="S52" s="648"/>
      <c r="T52" s="648"/>
      <c r="U52" s="650"/>
      <c r="V52" s="650"/>
      <c r="W52" s="650"/>
      <c r="X52" s="650"/>
      <c r="Y52" s="650"/>
      <c r="Z52" s="650"/>
      <c r="AA52" s="650"/>
      <c r="AB52" s="508"/>
      <c r="AC52" s="650"/>
      <c r="AD52" s="655"/>
    </row>
    <row r="53" spans="2:30">
      <c r="B53" s="667">
        <v>24</v>
      </c>
      <c r="C53" s="283"/>
      <c r="D53" s="663" t="s">
        <v>310</v>
      </c>
      <c r="E53" s="270" t="s">
        <v>298</v>
      </c>
      <c r="F53" s="271" t="s">
        <v>246</v>
      </c>
      <c r="G53" s="426">
        <v>3.8519999999999999</v>
      </c>
      <c r="H53" s="426">
        <v>3.972</v>
      </c>
      <c r="I53" s="426">
        <v>3.2394590000000001</v>
      </c>
      <c r="J53" s="512">
        <v>5.0302259999999999</v>
      </c>
      <c r="K53" s="428">
        <v>0.1394</v>
      </c>
      <c r="L53" s="428">
        <v>9.7199999999999995E-2</v>
      </c>
      <c r="M53" s="429">
        <v>40.864198000000002</v>
      </c>
      <c r="N53" s="500"/>
      <c r="O53" s="274">
        <v>55.4</v>
      </c>
      <c r="P53" s="285" t="s">
        <v>323</v>
      </c>
      <c r="R53" s="645">
        <f t="shared" ref="R53" si="78">IF(B53="","",B53)</f>
        <v>24</v>
      </c>
      <c r="S53" s="647" t="str">
        <f t="shared" ref="S53" si="79">IFERROR(IF(E54="","",E54),"")</f>
        <v>101G17007</v>
      </c>
      <c r="T53" s="647" t="str">
        <f t="shared" ref="T53" si="80">IFERROR(IF(B53="","","Ref. 대비 차이"),"")</f>
        <v>Ref. 대비 차이</v>
      </c>
      <c r="U53" s="649">
        <f t="shared" ref="U53" si="81">IFERROR(IF(1-(G53/G54)="","",1-(G53/G54)),"")</f>
        <v>1.0373443983402453E-3</v>
      </c>
      <c r="V53" s="649">
        <f t="shared" ref="V53" si="82">IFERROR(IF(1-(H53/H54)="","",1-(H53/H54)),"")</f>
        <v>-1.6636805733299287E-2</v>
      </c>
      <c r="W53" s="649">
        <f t="shared" ref="W53" si="83">IFERROR(IF(1-(I53/I54)="","",1-(I53/I54)),"")</f>
        <v>-1.7692587290352613E-2</v>
      </c>
      <c r="X53" s="649">
        <f t="shared" ref="X53" si="84">IFERROR(IF(1-(J53/J54)="","",1-(J53/J54)),"")</f>
        <v>-2.5012231330994839E-2</v>
      </c>
      <c r="Y53" s="649">
        <f t="shared" ref="Y53" si="85">IFERROR(IF(1-(K53/K54)="","",1-(K53/K54)),"")</f>
        <v>2.1474588403721517E-3</v>
      </c>
      <c r="Z53" s="649">
        <f t="shared" ref="Z53" si="86">IFERROR(IF(1-(L53/L54)="","",1-(L53/L54)),"")</f>
        <v>8.1632653061225469E-3</v>
      </c>
      <c r="AA53" s="649">
        <f t="shared" ref="AA53" si="87">IFERROR(IF(1-(M53/M54)="","",1-(M53/M54)),"")</f>
        <v>-2.5004197043761112E-2</v>
      </c>
      <c r="AB53" s="507"/>
      <c r="AC53" s="649">
        <f t="shared" ref="AC53" si="88">IFERROR(IF(1-(O53/O54)="","",1-(O53/O54)),"")</f>
        <v>7.1684587813619638E-3</v>
      </c>
      <c r="AD53" s="654"/>
    </row>
    <row r="54" spans="2:30" ht="17.25" thickBot="1">
      <c r="B54" s="668"/>
      <c r="C54" s="284"/>
      <c r="D54" s="664"/>
      <c r="E54" s="282" t="s">
        <v>306</v>
      </c>
      <c r="F54" s="277" t="s">
        <v>232</v>
      </c>
      <c r="G54" s="488">
        <v>3.8559999999999999</v>
      </c>
      <c r="H54" s="488">
        <v>3.907</v>
      </c>
      <c r="I54" s="488">
        <v>3.183141</v>
      </c>
      <c r="J54" s="514">
        <v>4.9074790000000004</v>
      </c>
      <c r="K54" s="489">
        <v>0.13969999999999999</v>
      </c>
      <c r="L54" s="489">
        <v>9.8000000000000004E-2</v>
      </c>
      <c r="M54" s="527">
        <v>39.867347000000002</v>
      </c>
      <c r="N54" s="501"/>
      <c r="O54" s="280">
        <v>55.8</v>
      </c>
      <c r="P54" s="281"/>
      <c r="R54" s="646"/>
      <c r="S54" s="648"/>
      <c r="T54" s="648"/>
      <c r="U54" s="650"/>
      <c r="V54" s="650"/>
      <c r="W54" s="650"/>
      <c r="X54" s="650"/>
      <c r="Y54" s="650"/>
      <c r="Z54" s="650"/>
      <c r="AA54" s="650"/>
      <c r="AB54" s="508"/>
      <c r="AC54" s="650"/>
      <c r="AD54" s="655"/>
    </row>
    <row r="55" spans="2:30">
      <c r="B55" s="645">
        <v>25</v>
      </c>
      <c r="C55" s="269"/>
      <c r="D55" s="658" t="s">
        <v>317</v>
      </c>
      <c r="E55" s="270" t="s">
        <v>298</v>
      </c>
      <c r="F55" s="271" t="s">
        <v>228</v>
      </c>
      <c r="G55" s="426">
        <v>3.831</v>
      </c>
      <c r="H55" s="426">
        <v>4.6379999999999999</v>
      </c>
      <c r="I55" s="426">
        <v>3.803366</v>
      </c>
      <c r="J55" s="512">
        <v>5.8403729999999996</v>
      </c>
      <c r="K55" s="428">
        <v>0.1386</v>
      </c>
      <c r="L55" s="428">
        <v>9.8100000000000007E-2</v>
      </c>
      <c r="M55" s="429">
        <v>47.278286999999999</v>
      </c>
      <c r="N55" s="500"/>
      <c r="O55" s="274">
        <v>33.817999999999998</v>
      </c>
      <c r="P55" s="275"/>
      <c r="R55" s="645">
        <f t="shared" ref="R55" si="89">IF(B55="","",B55)</f>
        <v>25</v>
      </c>
      <c r="S55" s="647" t="str">
        <f t="shared" ref="S55" si="90">IFERROR(IF(E56="","",E56),"")</f>
        <v>101G17009</v>
      </c>
      <c r="T55" s="647" t="str">
        <f t="shared" ref="T55" si="91">IFERROR(IF(B55="","","Ref. 대비 차이"),"")</f>
        <v>Ref. 대비 차이</v>
      </c>
      <c r="U55" s="649">
        <f t="shared" ref="U55" si="92">IFERROR(IF(1-(G55/G56)="","",1-(G55/G56)),"")</f>
        <v>4.9350649350650144E-3</v>
      </c>
      <c r="V55" s="649">
        <f t="shared" ref="V55" si="93">IFERROR(IF(1-(H55/H56)="","",1-(H55/H56)),"")</f>
        <v>4.0347610180012428E-2</v>
      </c>
      <c r="W55" s="649">
        <f t="shared" ref="W55" si="94">IFERROR(IF(1-(I55/I56)="","",1-(I55/I56)),"")</f>
        <v>3.5588017896830748E-2</v>
      </c>
      <c r="X55" s="649">
        <f t="shared" ref="X55" si="95">IFERROR(IF(1-(J55/J56)="","",1-(J55/J56)),"")</f>
        <v>4.0846648400122754E-2</v>
      </c>
      <c r="Y55" s="649">
        <f t="shared" ref="Y55" si="96">IFERROR(IF(1-(K55/K56)="","",1-(K55/K56)),"")</f>
        <v>-7.2202166064982976E-4</v>
      </c>
      <c r="Z55" s="649">
        <f t="shared" ref="Z55" si="97">IFERROR(IF(1-(L55/L56)="","",1-(L55/L56)),"")</f>
        <v>-2.0429009193054792E-3</v>
      </c>
      <c r="AA55" s="649">
        <f t="shared" ref="AA55" si="98">IFERROR(IF(1-(M55/M56)="","",1-(M55/M56)),"")</f>
        <v>4.230410292152198E-2</v>
      </c>
      <c r="AB55" s="507"/>
      <c r="AC55" s="649">
        <f t="shared" ref="AC55" si="99">IFERROR(IF(1-(O55/O56)="","",1-(O55/O56)),"")</f>
        <v>-3.0502483468933805E-2</v>
      </c>
      <c r="AD55" s="654"/>
    </row>
    <row r="56" spans="2:30" ht="17.25" thickBot="1">
      <c r="B56" s="646"/>
      <c r="C56" s="276"/>
      <c r="D56" s="660"/>
      <c r="E56" s="282" t="s">
        <v>319</v>
      </c>
      <c r="F56" s="277" t="s">
        <v>242</v>
      </c>
      <c r="G56" s="488">
        <v>3.85</v>
      </c>
      <c r="H56" s="488">
        <v>4.8330000000000002</v>
      </c>
      <c r="I56" s="488">
        <v>3.9437150000000001</v>
      </c>
      <c r="J56" s="514">
        <v>6.0890919999999999</v>
      </c>
      <c r="K56" s="489">
        <v>0.13850000000000001</v>
      </c>
      <c r="L56" s="489">
        <v>9.7900000000000001E-2</v>
      </c>
      <c r="M56" s="527">
        <v>49.366700999999999</v>
      </c>
      <c r="N56" s="501"/>
      <c r="O56" s="280">
        <v>32.817</v>
      </c>
      <c r="P56" s="281"/>
      <c r="R56" s="646"/>
      <c r="S56" s="648"/>
      <c r="T56" s="648"/>
      <c r="U56" s="650"/>
      <c r="V56" s="650"/>
      <c r="W56" s="650"/>
      <c r="X56" s="650"/>
      <c r="Y56" s="650"/>
      <c r="Z56" s="650"/>
      <c r="AA56" s="650"/>
      <c r="AB56" s="508"/>
      <c r="AC56" s="650"/>
      <c r="AD56" s="655"/>
    </row>
    <row r="57" spans="2:30">
      <c r="B57" s="645">
        <v>26</v>
      </c>
      <c r="C57" s="269"/>
      <c r="D57" s="658" t="s">
        <v>316</v>
      </c>
      <c r="E57" s="270" t="s">
        <v>298</v>
      </c>
      <c r="F57" s="271" t="s">
        <v>228</v>
      </c>
      <c r="G57" s="426">
        <v>3.831</v>
      </c>
      <c r="H57" s="426">
        <v>4.6379999999999999</v>
      </c>
      <c r="I57" s="426">
        <v>3.803366</v>
      </c>
      <c r="J57" s="512">
        <v>5.8403729999999996</v>
      </c>
      <c r="K57" s="428">
        <v>0.1386</v>
      </c>
      <c r="L57" s="428">
        <v>9.8100000000000007E-2</v>
      </c>
      <c r="M57" s="429">
        <v>47.278286999999999</v>
      </c>
      <c r="N57" s="500"/>
      <c r="O57" s="274">
        <v>33.817999999999998</v>
      </c>
      <c r="P57" s="275"/>
      <c r="R57" s="645">
        <f t="shared" ref="R57" si="100">IF(B57="","",B57)</f>
        <v>26</v>
      </c>
      <c r="S57" s="647" t="str">
        <f t="shared" ref="S57" si="101">IFERROR(IF(E58="","",E58),"")</f>
        <v>101G17006</v>
      </c>
      <c r="T57" s="647" t="str">
        <f t="shared" ref="T57" si="102">IFERROR(IF(B57="","","Ref. 대비 차이"),"")</f>
        <v>Ref. 대비 차이</v>
      </c>
      <c r="U57" s="649">
        <f t="shared" ref="U57" si="103">IFERROR(IF(1-(G57/G58)="","",1-(G57/G58)),"")</f>
        <v>-2.6171159382359921E-3</v>
      </c>
      <c r="V57" s="649">
        <f t="shared" ref="V57" si="104">IFERROR(IF(1-(H57/H58)="","",1-(H57/H58)),"")</f>
        <v>-2.1810971579643068E-2</v>
      </c>
      <c r="W57" s="649">
        <f t="shared" ref="W57" si="105">IFERROR(IF(1-(I57/I58)="","",1-(I57/I58)),"")</f>
        <v>-1.9143749750463845E-2</v>
      </c>
      <c r="X57" s="649">
        <f t="shared" ref="X57" si="106">IFERROR(IF(1-(J57/J58)="","",1-(J57/J58)),"")</f>
        <v>-3.132247712075964E-2</v>
      </c>
      <c r="Y57" s="649">
        <f t="shared" ref="Y57" si="107">IFERROR(IF(1-(K57/K58)="","",1-(K57/K58)),"")</f>
        <v>-4.3478260869564966E-3</v>
      </c>
      <c r="Z57" s="649">
        <f t="shared" ref="Z57" si="108">IFERROR(IF(1-(L57/L58)="","",1-(L57/L58)),"")</f>
        <v>1.5060240963855276E-2</v>
      </c>
      <c r="AA57" s="649">
        <f t="shared" ref="AA57" si="109">IFERROR(IF(1-(M57/M58)="","",1-(M57/M58)),"")</f>
        <v>-3.7434985984575064E-2</v>
      </c>
      <c r="AB57" s="507"/>
      <c r="AC57" s="649">
        <f t="shared" ref="AC57" si="110">IFERROR(IF(1-(O57/O58)="","",1-(O57/O58)),"")</f>
        <v>8.6493787142085443E-2</v>
      </c>
      <c r="AD57" s="654"/>
    </row>
    <row r="58" spans="2:30" ht="17.25" thickBot="1">
      <c r="B58" s="646"/>
      <c r="C58" s="276"/>
      <c r="D58" s="660"/>
      <c r="E58" s="282" t="s">
        <v>320</v>
      </c>
      <c r="F58" s="277" t="s">
        <v>232</v>
      </c>
      <c r="G58" s="488">
        <v>3.8210000000000002</v>
      </c>
      <c r="H58" s="488">
        <v>4.5389999999999997</v>
      </c>
      <c r="I58" s="488">
        <v>3.7319230000000001</v>
      </c>
      <c r="J58" s="514">
        <v>5.6629940000000003</v>
      </c>
      <c r="K58" s="489">
        <v>0.13800000000000001</v>
      </c>
      <c r="L58" s="489">
        <v>9.9599999999999994E-2</v>
      </c>
      <c r="M58" s="527">
        <v>45.572288999999998</v>
      </c>
      <c r="N58" s="501"/>
      <c r="O58" s="280">
        <v>37.020000000000003</v>
      </c>
      <c r="P58" s="281"/>
      <c r="R58" s="646"/>
      <c r="S58" s="648"/>
      <c r="T58" s="648"/>
      <c r="U58" s="650"/>
      <c r="V58" s="650"/>
      <c r="W58" s="650"/>
      <c r="X58" s="650"/>
      <c r="Y58" s="650"/>
      <c r="Z58" s="650"/>
      <c r="AA58" s="650"/>
      <c r="AB58" s="508"/>
      <c r="AC58" s="650"/>
      <c r="AD58" s="655"/>
    </row>
    <row r="59" spans="2:30">
      <c r="B59" s="645">
        <v>27</v>
      </c>
      <c r="C59" s="269"/>
      <c r="D59" s="663" t="s">
        <v>318</v>
      </c>
      <c r="E59" s="270" t="s">
        <v>298</v>
      </c>
      <c r="F59" s="271" t="s">
        <v>228</v>
      </c>
      <c r="G59" s="426">
        <v>3.82</v>
      </c>
      <c r="H59" s="426">
        <v>4.37</v>
      </c>
      <c r="I59" s="426">
        <v>3.5939130000000001</v>
      </c>
      <c r="J59" s="512">
        <v>5.4442029999999999</v>
      </c>
      <c r="K59" s="428">
        <v>0.13919999999999999</v>
      </c>
      <c r="L59" s="428">
        <v>9.9099999999999994E-2</v>
      </c>
      <c r="M59" s="429">
        <v>44.096871999999998</v>
      </c>
      <c r="N59" s="500"/>
      <c r="O59" s="274"/>
      <c r="P59" s="275"/>
      <c r="R59" s="645">
        <f t="shared" ref="R59" si="111">IF(B59="","",B59)</f>
        <v>27</v>
      </c>
      <c r="S59" s="647" t="str">
        <f t="shared" ref="S59" si="112">IFERROR(IF(E60="","",E60),"")</f>
        <v>101G17009</v>
      </c>
      <c r="T59" s="647" t="str">
        <f t="shared" ref="T59" si="113">IFERROR(IF(B59="","","Ref. 대비 차이"),"")</f>
        <v>Ref. 대비 차이</v>
      </c>
      <c r="U59" s="649">
        <f t="shared" ref="U59" si="114">IFERROR(IF(1-(G59/G60)="","",1-(G59/G60)),"")</f>
        <v>1.0362694300518172E-2</v>
      </c>
      <c r="V59" s="649">
        <f t="shared" ref="V59" si="115">IFERROR(IF(1-(H59/H60)="","",1-(H59/H60)),"")</f>
        <v>0.10505836575875482</v>
      </c>
      <c r="W59" s="649">
        <f t="shared" ref="W59" si="116">IFERROR(IF(1-(I59/I60)="","",1-(I59/I60)),"")</f>
        <v>9.5687350865949372E-2</v>
      </c>
      <c r="X59" s="649">
        <f t="shared" ref="X59" si="117">IFERROR(IF(1-(J59/J60)="","",1-(J59/J60)),"")</f>
        <v>0.10609665650910272</v>
      </c>
      <c r="Y59" s="649">
        <f t="shared" ref="Y59" si="118">IFERROR(IF(1-(K59/K60)="","",1-(K59/K60)),"")</f>
        <v>-7.1890726096324187E-4</v>
      </c>
      <c r="Z59" s="649">
        <f t="shared" ref="Z59" si="119">IFERROR(IF(1-(L59/L60)="","",1-(L59/L60)),"")</f>
        <v>-5.0709939148072536E-3</v>
      </c>
      <c r="AA59" s="649">
        <f t="shared" ref="AA59" si="120">IFERROR(IF(1-(M59/M60)="","",1-(M59/M60)),"")</f>
        <v>0.10957371664468352</v>
      </c>
      <c r="AB59" s="507"/>
      <c r="AC59" s="649" t="str">
        <f t="shared" ref="AC59" si="121">IFERROR(IF(1-(O59/O60)="","",1-(O59/O60)),"")</f>
        <v/>
      </c>
      <c r="AD59" s="654"/>
    </row>
    <row r="60" spans="2:30" ht="17.25" thickBot="1">
      <c r="B60" s="646"/>
      <c r="C60" s="276"/>
      <c r="D60" s="664"/>
      <c r="E60" s="282" t="s">
        <v>314</v>
      </c>
      <c r="F60" s="277" t="s">
        <v>242</v>
      </c>
      <c r="G60" s="488">
        <v>3.86</v>
      </c>
      <c r="H60" s="488">
        <v>4.883</v>
      </c>
      <c r="I60" s="488">
        <v>3.9741930000000001</v>
      </c>
      <c r="J60" s="514">
        <v>6.0903710000000002</v>
      </c>
      <c r="K60" s="489">
        <v>0.1391</v>
      </c>
      <c r="L60" s="489">
        <v>9.8599999999999993E-2</v>
      </c>
      <c r="M60" s="527">
        <v>49.523327000000002</v>
      </c>
      <c r="N60" s="501"/>
      <c r="O60" s="280"/>
      <c r="P60" s="281"/>
      <c r="R60" s="646"/>
      <c r="S60" s="648"/>
      <c r="T60" s="648"/>
      <c r="U60" s="650"/>
      <c r="V60" s="650"/>
      <c r="W60" s="650"/>
      <c r="X60" s="650"/>
      <c r="Y60" s="650"/>
      <c r="Z60" s="650"/>
      <c r="AA60" s="650"/>
      <c r="AB60" s="508"/>
      <c r="AC60" s="650"/>
      <c r="AD60" s="655"/>
    </row>
    <row r="61" spans="2:30">
      <c r="B61" s="645">
        <v>28</v>
      </c>
      <c r="C61" s="269"/>
      <c r="D61" s="663" t="s">
        <v>318</v>
      </c>
      <c r="E61" s="270" t="s">
        <v>298</v>
      </c>
      <c r="F61" s="271" t="s">
        <v>228</v>
      </c>
      <c r="G61" s="426">
        <v>3.82</v>
      </c>
      <c r="H61" s="426">
        <v>4.37</v>
      </c>
      <c r="I61" s="426">
        <v>3.5939130000000001</v>
      </c>
      <c r="J61" s="512">
        <v>5.4442029999999999</v>
      </c>
      <c r="K61" s="428">
        <v>0.13919999999999999</v>
      </c>
      <c r="L61" s="428">
        <v>9.9099999999999994E-2</v>
      </c>
      <c r="M61" s="429">
        <v>44.096871999999998</v>
      </c>
      <c r="N61" s="500"/>
      <c r="O61" s="274"/>
      <c r="P61" s="275"/>
      <c r="R61" s="645">
        <f t="shared" ref="R61" si="122">IF(B61="","",B61)</f>
        <v>28</v>
      </c>
      <c r="S61" s="647" t="str">
        <f t="shared" ref="S61" si="123">IFERROR(IF(E62="","",E62),"")</f>
        <v>101G17006</v>
      </c>
      <c r="T61" s="647" t="str">
        <f t="shared" ref="T61" si="124">IFERROR(IF(B61="","","Ref. 대비 차이"),"")</f>
        <v>Ref. 대비 차이</v>
      </c>
      <c r="U61" s="649">
        <f t="shared" ref="U61" si="125">IFERROR(IF(1-(G61/G62)="","",1-(G61/G62)),"")</f>
        <v>-2.3615848858566935E-3</v>
      </c>
      <c r="V61" s="649">
        <f t="shared" ref="V61" si="126">IFERROR(IF(1-(H61/H62)="","",1-(H61/H62)),"")</f>
        <v>-2.5235145675615023E-3</v>
      </c>
      <c r="W61" s="649">
        <f t="shared" ref="W61" si="127">IFERROR(IF(1-(I61/I62)="","",1-(I61/I62)),"")</f>
        <v>-1.6141003352609928E-4</v>
      </c>
      <c r="X61" s="649">
        <f t="shared" ref="X61" si="128">IFERROR(IF(1-(J61/J62)="","",1-(J61/J62)),"")</f>
        <v>-6.7032769521622182E-3</v>
      </c>
      <c r="Y61" s="649">
        <f t="shared" ref="Y61" si="129">IFERROR(IF(1-(K61/K62)="","",1-(K61/K62)),"")</f>
        <v>-5.7803468208093012E-3</v>
      </c>
      <c r="Z61" s="649">
        <f t="shared" ref="Z61" si="130">IFERROR(IF(1-(L61/L62)="","",1-(L61/L62)),"")</f>
        <v>9.000000000000119E-3</v>
      </c>
      <c r="AA61" s="649">
        <f t="shared" ref="AA61" si="131">IFERROR(IF(1-(M61/M62)="","",1-(M61/M62)),"")</f>
        <v>-1.1628171598990544E-2</v>
      </c>
      <c r="AB61" s="507"/>
      <c r="AC61" s="649" t="str">
        <f t="shared" ref="AC61" si="132">IFERROR(IF(1-(O61/O62)="","",1-(O61/O62)),"")</f>
        <v/>
      </c>
      <c r="AD61" s="654"/>
    </row>
    <row r="62" spans="2:30" ht="17.25" thickBot="1">
      <c r="B62" s="646"/>
      <c r="C62" s="276"/>
      <c r="D62" s="664"/>
      <c r="E62" s="282" t="s">
        <v>303</v>
      </c>
      <c r="F62" s="277" t="s">
        <v>249</v>
      </c>
      <c r="G62" s="488">
        <v>3.8109999999999999</v>
      </c>
      <c r="H62" s="488">
        <v>4.359</v>
      </c>
      <c r="I62" s="488">
        <v>3.5933329999999999</v>
      </c>
      <c r="J62" s="514">
        <v>5.4079519999999999</v>
      </c>
      <c r="K62" s="489">
        <v>0.1384</v>
      </c>
      <c r="L62" s="489">
        <v>0.1</v>
      </c>
      <c r="M62" s="527">
        <v>43.59</v>
      </c>
      <c r="N62" s="501"/>
      <c r="O62" s="280"/>
      <c r="P62" s="281"/>
      <c r="R62" s="646"/>
      <c r="S62" s="648"/>
      <c r="T62" s="648"/>
      <c r="U62" s="650"/>
      <c r="V62" s="650"/>
      <c r="W62" s="650"/>
      <c r="X62" s="650"/>
      <c r="Y62" s="650"/>
      <c r="Z62" s="650"/>
      <c r="AA62" s="650"/>
      <c r="AB62" s="508"/>
      <c r="AC62" s="650"/>
      <c r="AD62" s="655"/>
    </row>
    <row r="63" spans="2:30">
      <c r="B63" s="645">
        <v>29</v>
      </c>
      <c r="C63" s="269"/>
      <c r="D63" s="658" t="s">
        <v>326</v>
      </c>
      <c r="E63" s="270" t="s">
        <v>298</v>
      </c>
      <c r="F63" s="271" t="s">
        <v>227</v>
      </c>
      <c r="G63" s="426">
        <v>3.8159999999999998</v>
      </c>
      <c r="H63" s="426">
        <v>4.5449999999999999</v>
      </c>
      <c r="I63" s="426">
        <v>3.741752</v>
      </c>
      <c r="J63" s="512">
        <v>5.6442249999999996</v>
      </c>
      <c r="K63" s="428">
        <v>0.13850000000000001</v>
      </c>
      <c r="L63" s="428">
        <v>9.98E-2</v>
      </c>
      <c r="M63" s="429">
        <v>45.541082000000003</v>
      </c>
      <c r="N63" s="500"/>
      <c r="O63" s="274">
        <v>34.200000000000003</v>
      </c>
      <c r="P63" s="285" t="s">
        <v>323</v>
      </c>
      <c r="R63" s="645">
        <f t="shared" ref="R63" si="133">IF(B63="","",B63)</f>
        <v>29</v>
      </c>
      <c r="S63" s="647" t="str">
        <f t="shared" ref="S63" si="134">IFERROR(IF(E64="","",E64),"")</f>
        <v>101G17010</v>
      </c>
      <c r="T63" s="647" t="str">
        <f t="shared" ref="T63" si="135">IFERROR(IF(B63="","","Ref. 대비 차이"),"")</f>
        <v>Ref. 대비 차이</v>
      </c>
      <c r="U63" s="649">
        <f t="shared" ref="U63" si="136">IFERROR(IF(1-(G63/G64)="","",1-(G63/G64)),"")</f>
        <v>-7.8678206136895135E-4</v>
      </c>
      <c r="V63" s="649">
        <f t="shared" ref="V63" si="137">IFERROR(IF(1-(H63/H64)="","",1-(H63/H64)),"")</f>
        <v>-8.2076308784382324E-3</v>
      </c>
      <c r="W63" s="649">
        <f t="shared" ref="W63" si="138">IFERROR(IF(1-(I63/I64)="","",1-(I63/I64)),"")</f>
        <v>-7.4150337716407666E-3</v>
      </c>
      <c r="X63" s="649">
        <f t="shared" ref="X63" si="139">IFERROR(IF(1-(J63/J64)="","",1-(J63/J64)),"")</f>
        <v>-4.9599670107087768E-3</v>
      </c>
      <c r="Y63" s="649">
        <f t="shared" ref="Y63" si="140">IFERROR(IF(1-(K63/K64)="","",1-(K63/K64)),"")</f>
        <v>2.1613832853025761E-3</v>
      </c>
      <c r="Z63" s="649">
        <f t="shared" ref="Z63" si="141">IFERROR(IF(1-(L63/L64)="","",1-(L63/L64)),"")</f>
        <v>-5.0352467270895485E-3</v>
      </c>
      <c r="AA63" s="649">
        <f t="shared" ref="AA63" si="142">IFERROR(IF(1-(M63/M64)="","",1-(M63/M64)),"")</f>
        <v>-3.156497682794468E-3</v>
      </c>
      <c r="AB63" s="507"/>
      <c r="AC63" s="649">
        <f t="shared" ref="AC63" si="143">IFERROR(IF(1-(O63/O64)="","",1-(O63/O64)),"")</f>
        <v>5.8139534883719923E-3</v>
      </c>
      <c r="AD63" s="654"/>
    </row>
    <row r="64" spans="2:30" ht="17.25" thickBot="1">
      <c r="B64" s="646"/>
      <c r="C64" s="276"/>
      <c r="D64" s="660"/>
      <c r="E64" s="282" t="s">
        <v>328</v>
      </c>
      <c r="F64" s="277" t="s">
        <v>232</v>
      </c>
      <c r="G64" s="488">
        <v>3.8130000000000002</v>
      </c>
      <c r="H64" s="488">
        <v>4.508</v>
      </c>
      <c r="I64" s="488">
        <v>3.7142110000000002</v>
      </c>
      <c r="J64" s="514">
        <v>5.6163679999999996</v>
      </c>
      <c r="K64" s="489">
        <v>0.13880000000000001</v>
      </c>
      <c r="L64" s="489">
        <v>9.9299999999999999E-2</v>
      </c>
      <c r="M64" s="527">
        <v>45.397784000000001</v>
      </c>
      <c r="N64" s="501"/>
      <c r="O64" s="280">
        <v>34.4</v>
      </c>
      <c r="P64" s="281"/>
      <c r="R64" s="646"/>
      <c r="S64" s="648"/>
      <c r="T64" s="648"/>
      <c r="U64" s="650"/>
      <c r="V64" s="650"/>
      <c r="W64" s="650"/>
      <c r="X64" s="650"/>
      <c r="Y64" s="650"/>
      <c r="Z64" s="650"/>
      <c r="AA64" s="650"/>
      <c r="AB64" s="508"/>
      <c r="AC64" s="650"/>
      <c r="AD64" s="655"/>
    </row>
    <row r="65" spans="2:30">
      <c r="B65" s="645">
        <v>30</v>
      </c>
      <c r="C65" s="269"/>
      <c r="D65" s="663" t="s">
        <v>327</v>
      </c>
      <c r="E65" s="270" t="s">
        <v>298</v>
      </c>
      <c r="F65" s="271" t="s">
        <v>227</v>
      </c>
      <c r="G65" s="426">
        <v>3.7909999999999999</v>
      </c>
      <c r="H65" s="426">
        <v>4.5270000000000001</v>
      </c>
      <c r="I65" s="426">
        <v>3.7515109999999998</v>
      </c>
      <c r="J65" s="512">
        <v>5.6022869999999996</v>
      </c>
      <c r="K65" s="428">
        <v>0.1394</v>
      </c>
      <c r="L65" s="428">
        <v>9.9699999999999997E-2</v>
      </c>
      <c r="M65" s="429">
        <v>45.406219</v>
      </c>
      <c r="N65" s="500"/>
      <c r="O65" s="274"/>
      <c r="P65" s="275"/>
      <c r="R65" s="645">
        <f t="shared" ref="R65" si="144">IF(B65="","",B65)</f>
        <v>30</v>
      </c>
      <c r="S65" s="647" t="str">
        <f t="shared" ref="S65" si="145">IFERROR(IF(E66="","",E66),"")</f>
        <v>101G17010</v>
      </c>
      <c r="T65" s="647" t="str">
        <f t="shared" ref="T65" si="146">IFERROR(IF(B65="","","Ref. 대비 차이"),"")</f>
        <v>Ref. 대비 차이</v>
      </c>
      <c r="U65" s="649">
        <f t="shared" ref="U65" si="147">IFERROR(IF(1-(G65/G66)="","",1-(G65/G66)),"")</f>
        <v>-2.6385224274405594E-4</v>
      </c>
      <c r="V65" s="649">
        <f t="shared" ref="V65" si="148">IFERROR(IF(1-(H65/H66)="","",1-(H65/H66)),"")</f>
        <v>-9.3645484949831381E-3</v>
      </c>
      <c r="W65" s="649">
        <f t="shared" ref="W65" si="149">IFERROR(IF(1-(I65/I66)="","",1-(I65/I66)),"")</f>
        <v>-9.098401532566136E-3</v>
      </c>
      <c r="X65" s="649">
        <f t="shared" ref="X65" si="150">IFERROR(IF(1-(J65/J66)="","",1-(J65/J66)),"")</f>
        <v>-1.2475290326241728E-2</v>
      </c>
      <c r="Y65" s="649">
        <f t="shared" ref="Y65" si="151">IFERROR(IF(1-(K65/K66)="","",1-(K65/K66)),"")</f>
        <v>1.4326647564469885E-3</v>
      </c>
      <c r="Z65" s="649">
        <f t="shared" ref="Z65" si="152">IFERROR(IF(1-(L65/L66)="","",1-(L65/L66)),"")</f>
        <v>3.9960039960039717E-3</v>
      </c>
      <c r="AA65" s="649">
        <f t="shared" ref="AA65" si="153">IFERROR(IF(1-(M65/M66)="","",1-(M65/M66)),"")</f>
        <v>-1.3414158782257379E-2</v>
      </c>
      <c r="AB65" s="507"/>
      <c r="AC65" s="649" t="str">
        <f t="shared" ref="AC65" si="154">IFERROR(IF(1-(O65/O66)="","",1-(O65/O66)),"")</f>
        <v/>
      </c>
      <c r="AD65" s="654"/>
    </row>
    <row r="66" spans="2:30" ht="17.25" thickBot="1">
      <c r="B66" s="646"/>
      <c r="C66" s="276"/>
      <c r="D66" s="664"/>
      <c r="E66" s="282" t="s">
        <v>324</v>
      </c>
      <c r="F66" s="277" t="s">
        <v>232</v>
      </c>
      <c r="G66" s="488">
        <v>3.79</v>
      </c>
      <c r="H66" s="488">
        <v>4.4850000000000003</v>
      </c>
      <c r="I66" s="488">
        <v>3.717686</v>
      </c>
      <c r="J66" s="514">
        <v>5.533258</v>
      </c>
      <c r="K66" s="489">
        <v>0.1396</v>
      </c>
      <c r="L66" s="489">
        <v>0.10009999999999999</v>
      </c>
      <c r="M66" s="527">
        <v>44.805194999999998</v>
      </c>
      <c r="N66" s="501"/>
      <c r="O66" s="280"/>
      <c r="P66" s="281"/>
      <c r="R66" s="646"/>
      <c r="S66" s="648"/>
      <c r="T66" s="648"/>
      <c r="U66" s="650"/>
      <c r="V66" s="650"/>
      <c r="W66" s="650"/>
      <c r="X66" s="650"/>
      <c r="Y66" s="650"/>
      <c r="Z66" s="650"/>
      <c r="AA66" s="650"/>
      <c r="AB66" s="508"/>
      <c r="AC66" s="650"/>
      <c r="AD66" s="655"/>
    </row>
    <row r="67" spans="2:30">
      <c r="B67" s="645">
        <v>31</v>
      </c>
      <c r="C67" s="269"/>
      <c r="D67" s="658" t="s">
        <v>331</v>
      </c>
      <c r="E67" s="270" t="s">
        <v>298</v>
      </c>
      <c r="F67" s="271" t="s">
        <v>232</v>
      </c>
      <c r="G67" s="426">
        <v>3.8679999999999999</v>
      </c>
      <c r="H67" s="426">
        <v>4.3659999999999997</v>
      </c>
      <c r="I67" s="426">
        <v>3.5460660000000002</v>
      </c>
      <c r="J67" s="512">
        <v>5.4222089999999996</v>
      </c>
      <c r="K67" s="428">
        <v>0.13919999999999999</v>
      </c>
      <c r="L67" s="428">
        <v>9.9500000000000005E-2</v>
      </c>
      <c r="M67" s="429">
        <v>43.879396999999997</v>
      </c>
      <c r="N67" s="500"/>
      <c r="O67" s="274"/>
      <c r="P67" s="275"/>
      <c r="R67" s="645">
        <f t="shared" ref="R67" si="155">IF(B67="","",B67)</f>
        <v>31</v>
      </c>
      <c r="S67" s="647" t="str">
        <f t="shared" ref="S67" si="156">IFERROR(IF(E68="","",E68),"")</f>
        <v>101G17005</v>
      </c>
      <c r="T67" s="647" t="str">
        <f t="shared" ref="T67" si="157">IFERROR(IF(B67="","","Ref. 대비 차이"),"")</f>
        <v>Ref. 대비 차이</v>
      </c>
      <c r="U67" s="649">
        <f t="shared" ref="U67" si="158">IFERROR(IF(1-(G67/G68)="","",1-(G67/G68)),"")</f>
        <v>2.5846471956592065E-4</v>
      </c>
      <c r="V67" s="649">
        <f t="shared" ref="V67" si="159">IFERROR(IF(1-(H67/H68)="","",1-(H67/H68)),"")</f>
        <v>4.3329532497149437E-3</v>
      </c>
      <c r="W67" s="649">
        <f t="shared" ref="W67" si="160">IFERROR(IF(1-(I67/I68)="","",1-(I67/I68)),"")</f>
        <v>4.0754630499494349E-3</v>
      </c>
      <c r="X67" s="649">
        <f t="shared" ref="X67" si="161">IFERROR(IF(1-(J67/J68)="","",1-(J67/J68)),"")</f>
        <v>4.5445507891279657E-3</v>
      </c>
      <c r="Y67" s="649">
        <f t="shared" ref="Y67" si="162">IFERROR(IF(1-(K67/K68)="","",1-(K67/K68)),"")</f>
        <v>-5.0541516245485862E-3</v>
      </c>
      <c r="Z67" s="649">
        <f t="shared" ref="Z67" si="163">IFERROR(IF(1-(L67/L68)="","",1-(L67/L68)),"")</f>
        <v>4.0040040040040248E-3</v>
      </c>
      <c r="AA67" s="649">
        <f t="shared" ref="AA67" si="164">IFERROR(IF(1-(M67/M68)="","",1-(M67/M68)),"")</f>
        <v>3.3027372782201692E-4</v>
      </c>
      <c r="AB67" s="507"/>
      <c r="AC67" s="649" t="str">
        <f t="shared" ref="AC67" si="165">IFERROR(IF(1-(O67/O68)="","",1-(O67/O68)),"")</f>
        <v/>
      </c>
      <c r="AD67" s="654"/>
    </row>
    <row r="68" spans="2:30" ht="17.25" thickBot="1">
      <c r="B68" s="646"/>
      <c r="C68" s="276"/>
      <c r="D68" s="660"/>
      <c r="E68" s="282" t="s">
        <v>333</v>
      </c>
      <c r="F68" s="277" t="s">
        <v>227</v>
      </c>
      <c r="G68" s="488">
        <v>3.8690000000000002</v>
      </c>
      <c r="H68" s="488">
        <v>4.3849999999999998</v>
      </c>
      <c r="I68" s="488">
        <v>3.5605769999999999</v>
      </c>
      <c r="J68" s="514">
        <v>5.4469630000000002</v>
      </c>
      <c r="K68" s="489">
        <v>0.13850000000000001</v>
      </c>
      <c r="L68" s="489">
        <v>9.9900000000000003E-2</v>
      </c>
      <c r="M68" s="527">
        <v>43.893894000000003</v>
      </c>
      <c r="N68" s="501"/>
      <c r="O68" s="280"/>
      <c r="P68" s="281"/>
      <c r="R68" s="646"/>
      <c r="S68" s="648"/>
      <c r="T68" s="648"/>
      <c r="U68" s="650"/>
      <c r="V68" s="650"/>
      <c r="W68" s="650"/>
      <c r="X68" s="650"/>
      <c r="Y68" s="650"/>
      <c r="Z68" s="650"/>
      <c r="AA68" s="650"/>
      <c r="AB68" s="508"/>
      <c r="AC68" s="650"/>
      <c r="AD68" s="655"/>
    </row>
    <row r="69" spans="2:30">
      <c r="B69" s="645">
        <v>32</v>
      </c>
      <c r="C69" s="269"/>
      <c r="D69" s="663" t="s">
        <v>332</v>
      </c>
      <c r="E69" s="270" t="s">
        <v>298</v>
      </c>
      <c r="F69" s="271" t="s">
        <v>227</v>
      </c>
      <c r="G69" s="426">
        <v>3.847</v>
      </c>
      <c r="H69" s="426">
        <v>4.3040000000000003</v>
      </c>
      <c r="I69" s="426">
        <v>3.5147919999999999</v>
      </c>
      <c r="J69" s="512">
        <v>5.3073800000000002</v>
      </c>
      <c r="K69" s="428">
        <v>0.13850000000000001</v>
      </c>
      <c r="L69" s="428">
        <v>0.10059999999999999</v>
      </c>
      <c r="M69" s="429">
        <v>42.783299999999997</v>
      </c>
      <c r="N69" s="500"/>
      <c r="O69" s="274">
        <v>41</v>
      </c>
      <c r="P69" s="275"/>
      <c r="R69" s="645">
        <f t="shared" ref="R69" si="166">IF(B69="","",B69)</f>
        <v>32</v>
      </c>
      <c r="S69" s="647" t="str">
        <f t="shared" ref="S69" si="167">IFERROR(IF(E70="","",E70),"")</f>
        <v>101G17005</v>
      </c>
      <c r="T69" s="647" t="str">
        <f t="shared" ref="T69" si="168">IFERROR(IF(B69="","","Ref. 대비 차이"),"")</f>
        <v>Ref. 대비 차이</v>
      </c>
      <c r="U69" s="649">
        <f t="shared" ref="U69" si="169">IFERROR(IF(1-(G69/G70)="","",1-(G69/G70)),"")</f>
        <v>0</v>
      </c>
      <c r="V69" s="649">
        <f t="shared" ref="V69" si="170">IFERROR(IF(1-(H69/H70)="","",1-(H69/H70)),"")</f>
        <v>-1.5813075289119682E-2</v>
      </c>
      <c r="W69" s="649">
        <f t="shared" ref="W69" si="171">IFERROR(IF(1-(I69/I70)="","",1-(I69/I70)),"")</f>
        <v>-1.5813231902064517E-2</v>
      </c>
      <c r="X69" s="649">
        <f t="shared" ref="X69" si="172">IFERROR(IF(1-(J69/J70)="","",1-(J69/J70)),"")</f>
        <v>-1.4323547000028469E-2</v>
      </c>
      <c r="Y69" s="649">
        <f t="shared" ref="Y69" si="173">IFERROR(IF(1-(K69/K70)="","",1-(K69/K70)),"")</f>
        <v>4.3134435657798953E-3</v>
      </c>
      <c r="Z69" s="649">
        <f t="shared" ref="Z69" si="174">IFERROR(IF(1-(L69/L70)="","",1-(L69/L70)),"")</f>
        <v>-4.9950049950049369E-3</v>
      </c>
      <c r="AA69" s="649">
        <f t="shared" ref="AA69" si="175">IFERROR(IF(1-(M69/M70)="","",1-(M69/M70)),"")</f>
        <v>-1.0764305676910224E-2</v>
      </c>
      <c r="AB69" s="507"/>
      <c r="AC69" s="649">
        <f t="shared" ref="AC69" si="176">IFERROR(IF(1-(O69/O70)="","",1-(O69/O70)),"")</f>
        <v>-7.3710073710073765E-3</v>
      </c>
      <c r="AD69" s="654"/>
    </row>
    <row r="70" spans="2:30" ht="17.25" thickBot="1">
      <c r="B70" s="646"/>
      <c r="C70" s="276"/>
      <c r="D70" s="664"/>
      <c r="E70" s="282" t="s">
        <v>329</v>
      </c>
      <c r="F70" s="277" t="s">
        <v>232</v>
      </c>
      <c r="G70" s="488">
        <v>3.847</v>
      </c>
      <c r="H70" s="488">
        <v>4.2370000000000001</v>
      </c>
      <c r="I70" s="488">
        <v>3.4600770000000001</v>
      </c>
      <c r="J70" s="514">
        <v>5.2324330000000003</v>
      </c>
      <c r="K70" s="489">
        <v>0.1391</v>
      </c>
      <c r="L70" s="489">
        <v>0.10009999999999999</v>
      </c>
      <c r="M70" s="527">
        <v>42.327672</v>
      </c>
      <c r="N70" s="501"/>
      <c r="O70" s="280">
        <v>40.700000000000003</v>
      </c>
      <c r="P70" s="281"/>
      <c r="R70" s="646"/>
      <c r="S70" s="648"/>
      <c r="T70" s="648"/>
      <c r="U70" s="650"/>
      <c r="V70" s="650"/>
      <c r="W70" s="650"/>
      <c r="X70" s="650"/>
      <c r="Y70" s="650"/>
      <c r="Z70" s="650"/>
      <c r="AA70" s="650"/>
      <c r="AB70" s="508"/>
      <c r="AC70" s="650"/>
      <c r="AD70" s="655"/>
    </row>
    <row r="71" spans="2:30">
      <c r="B71" s="645">
        <v>33</v>
      </c>
      <c r="C71" s="269"/>
      <c r="D71" s="658" t="s">
        <v>336</v>
      </c>
      <c r="E71" s="270" t="s">
        <v>298</v>
      </c>
      <c r="F71" s="271" t="s">
        <v>228</v>
      </c>
      <c r="G71" s="426">
        <v>3.819</v>
      </c>
      <c r="H71" s="426">
        <v>4.0199999999999996</v>
      </c>
      <c r="I71" s="426">
        <v>3.306937</v>
      </c>
      <c r="J71" s="512">
        <v>4.7977959999999999</v>
      </c>
      <c r="K71" s="428">
        <v>0.13739999999999999</v>
      </c>
      <c r="L71" s="428">
        <v>0.106</v>
      </c>
      <c r="M71" s="429">
        <v>37.924528000000002</v>
      </c>
      <c r="N71" s="500"/>
      <c r="O71" s="274">
        <v>39.6</v>
      </c>
      <c r="P71" s="275"/>
      <c r="R71" s="645">
        <f t="shared" ref="R71" si="177">IF(B71="","",B71)</f>
        <v>33</v>
      </c>
      <c r="S71" s="647" t="str">
        <f t="shared" ref="S71" si="178">IFERROR(IF(E72="","",E72),"")</f>
        <v>101G17011</v>
      </c>
      <c r="T71" s="647" t="str">
        <f t="shared" ref="T71" si="179">IFERROR(IF(B71="","","Ref. 대비 차이"),"")</f>
        <v>Ref. 대비 차이</v>
      </c>
      <c r="U71" s="649">
        <f t="shared" ref="U71" si="180">IFERROR(IF(1-(G71/G72)="","",1-(G71/G72)),"")</f>
        <v>2.6178010471200608E-4</v>
      </c>
      <c r="V71" s="649">
        <f t="shared" ref="V71" si="181">IFERROR(IF(1-(H71/H72)="","",1-(H71/H72)),"")</f>
        <v>-2.4937655860348684E-3</v>
      </c>
      <c r="W71" s="649">
        <f t="shared" ref="W71" si="182">IFERROR(IF(1-(I71/I72)="","",1-(I71/I72)),"")</f>
        <v>-2.7563437600348628E-3</v>
      </c>
      <c r="X71" s="649">
        <f t="shared" ref="X71" si="183">IFERROR(IF(1-(J71/J72)="","",1-(J71/J72)),"")</f>
        <v>9.7759373164406638E-3</v>
      </c>
      <c r="Y71" s="649">
        <f t="shared" ref="Y71" si="184">IFERROR(IF(1-(K71/K72)="","",1-(K71/K72)),"")</f>
        <v>5.0687907313541336E-3</v>
      </c>
      <c r="Z71" s="649">
        <f t="shared" ref="Z71" si="185">IFERROR(IF(1-(L71/L72)="","",1-(L71/L72)),"")</f>
        <v>-1.9230769230769162E-2</v>
      </c>
      <c r="AA71" s="649">
        <f t="shared" ref="AA71" si="186">IFERROR(IF(1-(M71/M72)="","",1-(M71/M72)),"")</f>
        <v>1.6421211103610722E-2</v>
      </c>
      <c r="AB71" s="507"/>
      <c r="AC71" s="649">
        <f t="shared" ref="AC71" si="187">IFERROR(IF(1-(O71/O72)="","",1-(O71/O72)),"")</f>
        <v>-3.6649214659685736E-2</v>
      </c>
      <c r="AD71" s="654"/>
    </row>
    <row r="72" spans="2:30" ht="17.25" thickBot="1">
      <c r="B72" s="646"/>
      <c r="C72" s="276"/>
      <c r="D72" s="660"/>
      <c r="E72" s="282" t="s">
        <v>338</v>
      </c>
      <c r="F72" s="277" t="s">
        <v>238</v>
      </c>
      <c r="G72" s="488">
        <v>3.82</v>
      </c>
      <c r="H72" s="488">
        <v>4.01</v>
      </c>
      <c r="I72" s="488">
        <v>3.297847</v>
      </c>
      <c r="J72" s="514">
        <v>4.8451620000000002</v>
      </c>
      <c r="K72" s="489">
        <v>0.1381</v>
      </c>
      <c r="L72" s="489">
        <v>0.104</v>
      </c>
      <c r="M72" s="527">
        <v>38.557692000000003</v>
      </c>
      <c r="N72" s="501"/>
      <c r="O72" s="280">
        <v>38.200000000000003</v>
      </c>
      <c r="P72" s="281"/>
      <c r="R72" s="646"/>
      <c r="S72" s="648"/>
      <c r="T72" s="648"/>
      <c r="U72" s="650"/>
      <c r="V72" s="650"/>
      <c r="W72" s="650"/>
      <c r="X72" s="650"/>
      <c r="Y72" s="650"/>
      <c r="Z72" s="650"/>
      <c r="AA72" s="650"/>
      <c r="AB72" s="508"/>
      <c r="AC72" s="650"/>
      <c r="AD72" s="655"/>
    </row>
    <row r="73" spans="2:30">
      <c r="B73" s="645">
        <v>34</v>
      </c>
      <c r="C73" s="269"/>
      <c r="D73" s="663" t="s">
        <v>337</v>
      </c>
      <c r="E73" s="270" t="s">
        <v>298</v>
      </c>
      <c r="F73" s="271" t="s">
        <v>244</v>
      </c>
      <c r="G73" s="426">
        <v>3.806</v>
      </c>
      <c r="H73" s="426">
        <v>4.476</v>
      </c>
      <c r="I73" s="426">
        <v>3.6946289999999999</v>
      </c>
      <c r="J73" s="512">
        <v>5.520194</v>
      </c>
      <c r="K73" s="428">
        <v>0.1384</v>
      </c>
      <c r="L73" s="428">
        <v>0.1008</v>
      </c>
      <c r="M73" s="429">
        <v>44.404761999999998</v>
      </c>
      <c r="N73" s="500"/>
      <c r="O73" s="274"/>
      <c r="P73" s="275"/>
      <c r="R73" s="645">
        <f t="shared" ref="R73" si="188">IF(B73="","",B73)</f>
        <v>34</v>
      </c>
      <c r="S73" s="647" t="str">
        <f t="shared" ref="S73" si="189">IFERROR(IF(E74="","",E74),"")</f>
        <v>101G17011</v>
      </c>
      <c r="T73" s="647" t="str">
        <f t="shared" ref="T73" si="190">IFERROR(IF(B73="","","Ref. 대비 차이"),"")</f>
        <v>Ref. 대비 차이</v>
      </c>
      <c r="U73" s="649">
        <f t="shared" ref="U73" si="191">IFERROR(IF(1-(G73/G74)="","",1-(G73/G74)),"")</f>
        <v>2.6267402153923314E-4</v>
      </c>
      <c r="V73" s="649">
        <f t="shared" ref="V73" si="192">IFERROR(IF(1-(H73/H74)="","",1-(H73/H74)),"")</f>
        <v>-6.5212502810882977E-3</v>
      </c>
      <c r="W73" s="649">
        <f t="shared" ref="W73" si="193">IFERROR(IF(1-(I73/I74)="","",1-(I73/I74)),"")</f>
        <v>-6.7857908776320919E-3</v>
      </c>
      <c r="X73" s="649">
        <f t="shared" ref="X73" si="194">IFERROR(IF(1-(J73/J74)="","",1-(J73/J74)),"")</f>
        <v>-7.6150753631256674E-3</v>
      </c>
      <c r="Y73" s="649">
        <f t="shared" ref="Y73" si="195">IFERROR(IF(1-(K73/K74)="","",1-(K73/K74)),"")</f>
        <v>3.5997120230382151E-3</v>
      </c>
      <c r="Z73" s="649">
        <f t="shared" ref="Z73" si="196">IFERROR(IF(1-(L73/L74)="","",1-(L73/L74)),"")</f>
        <v>-2.9850746268655914E-3</v>
      </c>
      <c r="AA73" s="649">
        <f t="shared" ref="AA73" si="197">IFERROR(IF(1-(M73/M74)="","",1-(M73/M74)),"")</f>
        <v>-3.5256584388496659E-3</v>
      </c>
      <c r="AB73" s="507"/>
      <c r="AC73" s="649" t="str">
        <f t="shared" ref="AC73" si="198">IFERROR(IF(1-(O73/O74)="","",1-(O73/O74)),"")</f>
        <v/>
      </c>
      <c r="AD73" s="654"/>
    </row>
    <row r="74" spans="2:30" ht="17.25" thickBot="1">
      <c r="B74" s="646"/>
      <c r="C74" s="276"/>
      <c r="D74" s="664"/>
      <c r="E74" s="282" t="s">
        <v>334</v>
      </c>
      <c r="F74" s="277" t="s">
        <v>247</v>
      </c>
      <c r="G74" s="488">
        <v>3.8069999999999999</v>
      </c>
      <c r="H74" s="488">
        <v>4.4470000000000001</v>
      </c>
      <c r="I74" s="488">
        <v>3.669727</v>
      </c>
      <c r="J74" s="514">
        <v>5.4784750000000004</v>
      </c>
      <c r="K74" s="489">
        <v>0.1389</v>
      </c>
      <c r="L74" s="489">
        <v>0.10050000000000001</v>
      </c>
      <c r="M74" s="527">
        <v>44.248756</v>
      </c>
      <c r="N74" s="501"/>
      <c r="O74" s="280"/>
      <c r="P74" s="281"/>
      <c r="R74" s="646"/>
      <c r="S74" s="648"/>
      <c r="T74" s="648"/>
      <c r="U74" s="650"/>
      <c r="V74" s="650"/>
      <c r="W74" s="650"/>
      <c r="X74" s="650"/>
      <c r="Y74" s="650"/>
      <c r="Z74" s="650"/>
      <c r="AA74" s="650"/>
      <c r="AB74" s="508"/>
      <c r="AC74" s="650"/>
      <c r="AD74" s="655"/>
    </row>
    <row r="75" spans="2:30">
      <c r="B75" s="645">
        <v>36</v>
      </c>
      <c r="C75" s="269"/>
      <c r="D75" s="663" t="s">
        <v>339</v>
      </c>
      <c r="E75" s="270" t="s">
        <v>298</v>
      </c>
      <c r="F75" s="271" t="s">
        <v>232</v>
      </c>
      <c r="G75" s="426">
        <v>3.9239999999999999</v>
      </c>
      <c r="H75" s="426">
        <v>4.2119999999999997</v>
      </c>
      <c r="I75" s="426">
        <v>3.3721649999999999</v>
      </c>
      <c r="J75" s="512">
        <v>5.1802820000000001</v>
      </c>
      <c r="K75" s="428">
        <v>0.1389</v>
      </c>
      <c r="L75" s="428">
        <v>0.1008</v>
      </c>
      <c r="M75" s="429">
        <v>41.785713999999999</v>
      </c>
      <c r="N75" s="500"/>
      <c r="O75" s="274">
        <v>41.2</v>
      </c>
      <c r="P75" s="275"/>
      <c r="R75" s="645">
        <f t="shared" ref="R75" si="199">IF(B75="","",B75)</f>
        <v>36</v>
      </c>
      <c r="S75" s="647" t="str">
        <f t="shared" ref="S75" si="200">IFERROR(IF(E76="","",E76),"")</f>
        <v>101G18001</v>
      </c>
      <c r="T75" s="647" t="str">
        <f t="shared" ref="T75" si="201">IFERROR(IF(B75="","","Ref. 대비 차이"),"")</f>
        <v>Ref. 대비 차이</v>
      </c>
      <c r="U75" s="649">
        <f t="shared" ref="U75" si="202">IFERROR(IF(1-(G75/G76)="","",1-(G75/G76)),"")</f>
        <v>3.8080731150038627E-3</v>
      </c>
      <c r="V75" s="649">
        <f t="shared" ref="V75" si="203">IFERROR(IF(1-(H75/H76)="","",1-(H75/H76)),"")</f>
        <v>3.3944954128440452E-2</v>
      </c>
      <c r="W75" s="649">
        <f t="shared" ref="W75" si="204">IFERROR(IF(1-(I75/I76)="","",1-(I75/I76)),"")</f>
        <v>3.0252234236115116E-2</v>
      </c>
      <c r="X75" s="649">
        <f t="shared" ref="X75" si="205">IFERROR(IF(1-(J75/J76)="","",1-(J75/J76)),"")</f>
        <v>3.5772565649052512E-2</v>
      </c>
      <c r="Y75" s="649">
        <f t="shared" ref="Y75" si="206">IFERROR(IF(1-(K75/K76)="","",1-(K75/K76)),"")</f>
        <v>2.1551724137930384E-3</v>
      </c>
      <c r="Z75" s="649">
        <f t="shared" ref="Z75" si="207">IFERROR(IF(1-(L75/L76)="","",1-(L75/L76)),"")</f>
        <v>-3.9840637450199168E-3</v>
      </c>
      <c r="AA75" s="649">
        <f t="shared" ref="AA75" si="208">IFERROR(IF(1-(M75/M76)="","",1-(M75/M76)),"")</f>
        <v>3.7778516449538335E-2</v>
      </c>
      <c r="AB75" s="507"/>
      <c r="AC75" s="649">
        <f t="shared" ref="AC75" si="209">IFERROR(IF(1-(O75/O76)="","",1-(O75/O76)),"")</f>
        <v>-7.8534031413612482E-2</v>
      </c>
      <c r="AD75" s="654"/>
    </row>
    <row r="76" spans="2:30" ht="17.25" thickBot="1">
      <c r="B76" s="646"/>
      <c r="C76" s="276"/>
      <c r="D76" s="664"/>
      <c r="E76" s="282" t="s">
        <v>340</v>
      </c>
      <c r="F76" s="277" t="s">
        <v>227</v>
      </c>
      <c r="G76" s="488">
        <v>3.9390000000000001</v>
      </c>
      <c r="H76" s="488">
        <v>4.3600000000000003</v>
      </c>
      <c r="I76" s="488">
        <v>3.477363</v>
      </c>
      <c r="J76" s="514">
        <v>5.3724689999999997</v>
      </c>
      <c r="K76" s="489">
        <v>0.13919999999999999</v>
      </c>
      <c r="L76" s="489">
        <v>0.1004</v>
      </c>
      <c r="M76" s="527">
        <v>43.426295000000003</v>
      </c>
      <c r="N76" s="501"/>
      <c r="O76" s="280">
        <v>38.200000000000003</v>
      </c>
      <c r="P76" s="281"/>
      <c r="R76" s="646"/>
      <c r="S76" s="648"/>
      <c r="T76" s="648"/>
      <c r="U76" s="650"/>
      <c r="V76" s="650"/>
      <c r="W76" s="650"/>
      <c r="X76" s="650"/>
      <c r="Y76" s="650"/>
      <c r="Z76" s="650"/>
      <c r="AA76" s="650"/>
      <c r="AB76" s="508"/>
      <c r="AC76" s="650"/>
      <c r="AD76" s="655"/>
    </row>
    <row r="77" spans="2:30">
      <c r="B77" s="645">
        <v>37</v>
      </c>
      <c r="C77" s="269"/>
      <c r="D77" s="658" t="s">
        <v>344</v>
      </c>
      <c r="E77" s="270" t="s">
        <v>298</v>
      </c>
      <c r="F77" s="271" t="s">
        <v>233</v>
      </c>
      <c r="G77" s="426">
        <v>3.8079999999999998</v>
      </c>
      <c r="H77" s="426">
        <v>4.5990000000000002</v>
      </c>
      <c r="I77" s="426">
        <v>3.7941630000000002</v>
      </c>
      <c r="J77" s="512">
        <v>5.7163950000000003</v>
      </c>
      <c r="K77" s="428">
        <v>0.1386</v>
      </c>
      <c r="L77" s="428">
        <v>9.9699999999999997E-2</v>
      </c>
      <c r="M77" s="429">
        <v>46.128385000000002</v>
      </c>
      <c r="N77" s="500"/>
      <c r="O77" s="274"/>
      <c r="P77" s="275"/>
      <c r="R77" s="645">
        <f t="shared" ref="R77" si="210">IF(B77="","",B77)</f>
        <v>37</v>
      </c>
      <c r="S77" s="647" t="str">
        <f t="shared" ref="S77" si="211">IFERROR(IF(E78="","",E78),"")</f>
        <v>101G18002</v>
      </c>
      <c r="T77" s="647" t="str">
        <f t="shared" ref="T77" si="212">IFERROR(IF(B77="","","Ref. 대비 차이"),"")</f>
        <v>Ref. 대비 차이</v>
      </c>
      <c r="U77" s="649">
        <f t="shared" ref="U77" si="213">IFERROR(IF(1-(G77/G78)="","",1-(G77/G78)),"")</f>
        <v>8.0750195363376021E-3</v>
      </c>
      <c r="V77" s="649">
        <f t="shared" ref="V77" si="214">IFERROR(IF(1-(H77/H78)="","",1-(H77/H78)),"")</f>
        <v>6.6192893401015196E-2</v>
      </c>
      <c r="W77" s="649">
        <f t="shared" ref="W77" si="215">IFERROR(IF(1-(I77/I78)="","",1-(I77/I78)),"")</f>
        <v>5.8590894677371441E-2</v>
      </c>
      <c r="X77" s="649">
        <f t="shared" ref="X77" si="216">IFERROR(IF(1-(J77/J78)="","",1-(J77/J78)),"")</f>
        <v>6.7917325609778034E-2</v>
      </c>
      <c r="Y77" s="649">
        <f t="shared" ref="Y77" si="217">IFERROR(IF(1-(K77/K78)="","",1-(K77/K78)),"")</f>
        <v>3.5945363048166534E-3</v>
      </c>
      <c r="Z77" s="649">
        <f t="shared" ref="Z77" si="218">IFERROR(IF(1-(L77/L78)="","",1-(L77/L78)),"")</f>
        <v>-6.0544904137236344E-3</v>
      </c>
      <c r="AA77" s="649">
        <f t="shared" ref="AA77" si="219">IFERROR(IF(1-(M77/M78)="","",1-(M77/M78)),"")</f>
        <v>7.1812589322050258E-2</v>
      </c>
      <c r="AB77" s="507"/>
      <c r="AC77" s="649" t="str">
        <f t="shared" ref="AC77" si="220">IFERROR(IF(1-(O77/O78)="","",1-(O77/O78)),"")</f>
        <v/>
      </c>
      <c r="AD77" s="654"/>
    </row>
    <row r="78" spans="2:30" ht="17.25" thickBot="1">
      <c r="B78" s="646"/>
      <c r="C78" s="276"/>
      <c r="D78" s="660"/>
      <c r="E78" s="282" t="s">
        <v>346</v>
      </c>
      <c r="F78" s="277" t="s">
        <v>213</v>
      </c>
      <c r="G78" s="488">
        <v>3.839</v>
      </c>
      <c r="H78" s="488">
        <v>4.9249999999999998</v>
      </c>
      <c r="I78" s="488">
        <v>4.0303019999999998</v>
      </c>
      <c r="J78" s="514">
        <v>6.1329269999999996</v>
      </c>
      <c r="K78" s="489">
        <v>0.1391</v>
      </c>
      <c r="L78" s="489">
        <v>9.9099999999999994E-2</v>
      </c>
      <c r="M78" s="527">
        <v>49.697274999999998</v>
      </c>
      <c r="N78" s="501"/>
      <c r="O78" s="280"/>
      <c r="P78" s="281"/>
      <c r="R78" s="646"/>
      <c r="S78" s="648"/>
      <c r="T78" s="648"/>
      <c r="U78" s="650"/>
      <c r="V78" s="650"/>
      <c r="W78" s="650"/>
      <c r="X78" s="650"/>
      <c r="Y78" s="650"/>
      <c r="Z78" s="650"/>
      <c r="AA78" s="650"/>
      <c r="AB78" s="508"/>
      <c r="AC78" s="650"/>
      <c r="AD78" s="655"/>
    </row>
    <row r="79" spans="2:30">
      <c r="B79" s="645">
        <v>38</v>
      </c>
      <c r="C79" s="269"/>
      <c r="D79" s="663" t="s">
        <v>345</v>
      </c>
      <c r="E79" s="270" t="s">
        <v>298</v>
      </c>
      <c r="F79" s="271" t="s">
        <v>252</v>
      </c>
      <c r="G79" s="426">
        <v>3.8290000000000002</v>
      </c>
      <c r="H79" s="426">
        <v>4.7229999999999999</v>
      </c>
      <c r="I79" s="426">
        <v>3.8750930000000001</v>
      </c>
      <c r="J79" s="512">
        <v>5.8520250000000003</v>
      </c>
      <c r="K79" s="428">
        <v>0.1386</v>
      </c>
      <c r="L79" s="428">
        <v>9.9900000000000003E-2</v>
      </c>
      <c r="M79" s="429">
        <v>47.277276999999998</v>
      </c>
      <c r="N79" s="500"/>
      <c r="O79" s="274">
        <v>20.6</v>
      </c>
      <c r="P79" s="275"/>
      <c r="R79" s="645">
        <f t="shared" ref="R79" si="221">IF(B79="","",B79)</f>
        <v>38</v>
      </c>
      <c r="S79" s="647" t="str">
        <f t="shared" ref="S79" si="222">IFERROR(IF(E80="","",E80),"")</f>
        <v>101G18002</v>
      </c>
      <c r="T79" s="647" t="str">
        <f t="shared" ref="T79" si="223">IFERROR(IF(B79="","","Ref. 대비 차이"),"")</f>
        <v>Ref. 대비 차이</v>
      </c>
      <c r="U79" s="649">
        <f t="shared" ref="U79" si="224">IFERROR(IF(1-(G79/G80)="","",1-(G79/G80)),"")</f>
        <v>3.6429872495445936E-3</v>
      </c>
      <c r="V79" s="649">
        <f t="shared" ref="V79" si="225">IFERROR(IF(1-(H79/H80)="","",1-(H79/H80)),"")</f>
        <v>2.2557947019867575E-2</v>
      </c>
      <c r="W79" s="649">
        <f t="shared" ref="W79" si="226">IFERROR(IF(1-(I79/I80)="","",1-(I79/I80)),"")</f>
        <v>1.8983914507069599E-2</v>
      </c>
      <c r="X79" s="649">
        <f t="shared" ref="X79" si="227">IFERROR(IF(1-(J79/J80)="","",1-(J79/J80)),"")</f>
        <v>2.2028987057314153E-2</v>
      </c>
      <c r="Y79" s="649">
        <f t="shared" ref="Y79" si="228">IFERROR(IF(1-(K79/K80)="","",1-(K79/K80)),"")</f>
        <v>2.1598272138229069E-3</v>
      </c>
      <c r="Z79" s="649">
        <f t="shared" ref="Z79" si="229">IFERROR(IF(1-(L79/L80)="","",1-(L79/L80)),"")</f>
        <v>-3.0120481927711218E-3</v>
      </c>
      <c r="AA79" s="649">
        <f t="shared" ref="AA79" si="230">IFERROR(IF(1-(M79/M80)="","",1-(M79/M80)),"")</f>
        <v>2.5493209638047909E-2</v>
      </c>
      <c r="AB79" s="507"/>
      <c r="AC79" s="649">
        <f t="shared" ref="AC79" si="231">IFERROR(IF(1-(O79/O80)="","",1-(O79/O80)),"")</f>
        <v>-5.6410256410256432E-2</v>
      </c>
      <c r="AD79" s="654"/>
    </row>
    <row r="80" spans="2:30" ht="17.25" thickBot="1">
      <c r="B80" s="646"/>
      <c r="C80" s="276"/>
      <c r="D80" s="664"/>
      <c r="E80" s="282" t="s">
        <v>342</v>
      </c>
      <c r="F80" s="277" t="s">
        <v>240</v>
      </c>
      <c r="G80" s="488">
        <v>3.843</v>
      </c>
      <c r="H80" s="488">
        <v>4.8319999999999999</v>
      </c>
      <c r="I80" s="488">
        <v>3.950081</v>
      </c>
      <c r="J80" s="514">
        <v>5.9838430000000002</v>
      </c>
      <c r="K80" s="489">
        <v>0.1389</v>
      </c>
      <c r="L80" s="489">
        <v>9.9599999999999994E-2</v>
      </c>
      <c r="M80" s="527">
        <v>48.514055999999997</v>
      </c>
      <c r="N80" s="501"/>
      <c r="O80" s="280">
        <v>19.5</v>
      </c>
      <c r="P80" s="281"/>
      <c r="R80" s="646"/>
      <c r="S80" s="648"/>
      <c r="T80" s="648"/>
      <c r="U80" s="650"/>
      <c r="V80" s="650"/>
      <c r="W80" s="650"/>
      <c r="X80" s="650"/>
      <c r="Y80" s="650"/>
      <c r="Z80" s="650"/>
      <c r="AA80" s="650"/>
      <c r="AB80" s="508"/>
      <c r="AC80" s="650"/>
      <c r="AD80" s="655"/>
    </row>
    <row r="81" spans="2:30">
      <c r="B81" s="645">
        <v>39</v>
      </c>
      <c r="C81" s="269"/>
      <c r="D81" s="658" t="s">
        <v>361</v>
      </c>
      <c r="E81" s="270" t="s">
        <v>298</v>
      </c>
      <c r="F81" s="271" t="s">
        <v>243</v>
      </c>
      <c r="G81" s="426">
        <v>3.7770000000000001</v>
      </c>
      <c r="H81" s="426">
        <v>3.8450000000000002</v>
      </c>
      <c r="I81" s="426">
        <v>3.19815</v>
      </c>
      <c r="J81" s="512">
        <v>4.6969690000000002</v>
      </c>
      <c r="K81" s="428">
        <v>0.1394</v>
      </c>
      <c r="L81" s="428">
        <v>0.1016</v>
      </c>
      <c r="M81" s="429">
        <v>37.844487999999998</v>
      </c>
      <c r="N81" s="500"/>
      <c r="O81" s="274"/>
      <c r="P81" s="275"/>
      <c r="R81" s="645">
        <f t="shared" ref="R81" si="232">IF(B81="","",B81)</f>
        <v>39</v>
      </c>
      <c r="S81" s="647" t="str">
        <f t="shared" ref="S81" si="233">IFERROR(IF(E82="","",E82),"")</f>
        <v>101G18003</v>
      </c>
      <c r="T81" s="647" t="str">
        <f t="shared" ref="T81" si="234">IFERROR(IF(B81="","","Ref. 대비 차이"),"")</f>
        <v>Ref. 대비 차이</v>
      </c>
      <c r="U81" s="649">
        <f t="shared" ref="U81" si="235">IFERROR(IF(1-(G81/G82)="","",1-(G81/G82)),"")</f>
        <v>-4.25418771603292E-3</v>
      </c>
      <c r="V81" s="649">
        <f t="shared" ref="V81" si="236">IFERROR(IF(1-(H81/H82)="","",1-(H81/H82)),"")</f>
        <v>1.2836970474967901E-2</v>
      </c>
      <c r="W81" s="649">
        <f t="shared" ref="W81" si="237">IFERROR(IF(1-(I81/I82)="","",1-(I81/I82)),"")</f>
        <v>1.7018792870862054E-2</v>
      </c>
      <c r="X81" s="649">
        <f t="shared" ref="X81" si="238">IFERROR(IF(1-(J81/J82)="","",1-(J81/J82)),"")</f>
        <v>1.4831322571984717E-2</v>
      </c>
      <c r="Y81" s="649">
        <f t="shared" ref="Y81" si="239">IFERROR(IF(1-(K81/K82)="","",1-(K81/K82)),"")</f>
        <v>2.1474588403721517E-3</v>
      </c>
      <c r="Z81" s="649">
        <f t="shared" ref="Z81" si="240">IFERROR(IF(1-(L81/L82)="","",1-(L81/L82)),"")</f>
        <v>-4.9455984174084922E-3</v>
      </c>
      <c r="AA81" s="649">
        <f t="shared" ref="AA81" si="241">IFERROR(IF(1-(M81/M82)="","",1-(M81/M82)),"")</f>
        <v>1.7695069528247509E-2</v>
      </c>
      <c r="AB81" s="507"/>
      <c r="AC81" s="649" t="str">
        <f t="shared" ref="AC81" si="242">IFERROR(IF(1-(O81/O82)="","",1-(O81/O82)),"")</f>
        <v/>
      </c>
      <c r="AD81" s="654"/>
    </row>
    <row r="82" spans="2:30" ht="17.25" thickBot="1">
      <c r="B82" s="646"/>
      <c r="C82" s="276"/>
      <c r="D82" s="660"/>
      <c r="E82" s="282" t="s">
        <v>363</v>
      </c>
      <c r="F82" s="277" t="s">
        <v>213</v>
      </c>
      <c r="G82" s="488">
        <v>3.7610000000000001</v>
      </c>
      <c r="H82" s="488">
        <v>3.895</v>
      </c>
      <c r="I82" s="488">
        <v>3.2535210000000001</v>
      </c>
      <c r="J82" s="514">
        <v>4.7676800000000004</v>
      </c>
      <c r="K82" s="489">
        <v>0.13969999999999999</v>
      </c>
      <c r="L82" s="489">
        <v>0.1011</v>
      </c>
      <c r="M82" s="527">
        <v>38.526212000000001</v>
      </c>
      <c r="N82" s="501"/>
      <c r="O82" s="280"/>
      <c r="P82" s="281"/>
      <c r="R82" s="646"/>
      <c r="S82" s="648"/>
      <c r="T82" s="648"/>
      <c r="U82" s="650"/>
      <c r="V82" s="650"/>
      <c r="W82" s="650"/>
      <c r="X82" s="650"/>
      <c r="Y82" s="650"/>
      <c r="Z82" s="650"/>
      <c r="AA82" s="650"/>
      <c r="AB82" s="508"/>
      <c r="AC82" s="650"/>
      <c r="AD82" s="655"/>
    </row>
    <row r="83" spans="2:30">
      <c r="B83" s="645">
        <v>40</v>
      </c>
      <c r="C83" s="269"/>
      <c r="D83" s="663" t="s">
        <v>364</v>
      </c>
      <c r="E83" s="270" t="s">
        <v>298</v>
      </c>
      <c r="F83" s="271" t="s">
        <v>240</v>
      </c>
      <c r="G83" s="426">
        <v>3.7829999999999999</v>
      </c>
      <c r="H83" s="426">
        <v>3.93</v>
      </c>
      <c r="I83" s="426">
        <v>3.2636660000000002</v>
      </c>
      <c r="J83" s="512">
        <v>4.812856</v>
      </c>
      <c r="K83" s="428">
        <v>0.13950000000000001</v>
      </c>
      <c r="L83" s="428">
        <v>0.1011</v>
      </c>
      <c r="M83" s="429">
        <v>38.872404000000003</v>
      </c>
      <c r="N83" s="500"/>
      <c r="O83" s="274">
        <v>40.5</v>
      </c>
      <c r="P83" s="275"/>
      <c r="R83" s="645">
        <f t="shared" ref="R83" si="243">IF(B83="","",B83)</f>
        <v>40</v>
      </c>
      <c r="S83" s="647" t="str">
        <f t="shared" ref="S83" si="244">IFERROR(IF(E84="","",E84),"")</f>
        <v>101G18003</v>
      </c>
      <c r="T83" s="647" t="str">
        <f t="shared" ref="T83" si="245">IFERROR(IF(B83="","","Ref. 대비 차이"),"")</f>
        <v>Ref. 대비 차이</v>
      </c>
      <c r="U83" s="649">
        <f t="shared" ref="U83" si="246">IFERROR(IF(1-(G83/G84)="","",1-(G83/G84)),"")</f>
        <v>1.8469656992085026E-3</v>
      </c>
      <c r="V83" s="649">
        <f t="shared" ref="V83" si="247">IFERROR(IF(1-(H83/H84)="","",1-(H83/H84)),"")</f>
        <v>4.029304029304015E-2</v>
      </c>
      <c r="W83" s="649">
        <f t="shared" ref="W83" si="248">IFERROR(IF(1-(I83/I84)="","",1-(I83/I84)),"")</f>
        <v>3.8517161603094929E-2</v>
      </c>
      <c r="X83" s="649">
        <f t="shared" ref="X83" si="249">IFERROR(IF(1-(J83/J84)="","",1-(J83/J84)),"")</f>
        <v>4.431527300577498E-2</v>
      </c>
      <c r="Y83" s="649">
        <f t="shared" ref="Y83" si="250">IFERROR(IF(1-(K83/K84)="","",1-(K83/K84)),"")</f>
        <v>0</v>
      </c>
      <c r="Z83" s="649">
        <f t="shared" ref="Z83" si="251">IFERROR(IF(1-(L83/L84)="","",1-(L83/L84)),"")</f>
        <v>-5.9701492537311829E-3</v>
      </c>
      <c r="AA83" s="649">
        <f t="shared" ref="AA83" si="252">IFERROR(IF(1-(M83/M84)="","",1-(M83/M84)),"")</f>
        <v>4.5988627817678096E-2</v>
      </c>
      <c r="AB83" s="507"/>
      <c r="AC83" s="649">
        <f t="shared" ref="AC83" si="253">IFERROR(IF(1-(O83/O84)="","",1-(O83/O84)),"")</f>
        <v>-7.4270557029177731E-2</v>
      </c>
      <c r="AD83" s="654"/>
    </row>
    <row r="84" spans="2:30" ht="17.25" thickBot="1">
      <c r="B84" s="646"/>
      <c r="C84" s="276"/>
      <c r="D84" s="664"/>
      <c r="E84" s="282" t="s">
        <v>362</v>
      </c>
      <c r="F84" s="277" t="s">
        <v>241</v>
      </c>
      <c r="G84" s="488">
        <v>3.79</v>
      </c>
      <c r="H84" s="488">
        <v>4.0949999999999998</v>
      </c>
      <c r="I84" s="488">
        <v>3.394409</v>
      </c>
      <c r="J84" s="514">
        <v>5.0360290000000001</v>
      </c>
      <c r="K84" s="489">
        <v>0.13950000000000001</v>
      </c>
      <c r="L84" s="489">
        <v>0.10050000000000001</v>
      </c>
      <c r="M84" s="527">
        <v>40.746268999999998</v>
      </c>
      <c r="N84" s="501"/>
      <c r="O84" s="280">
        <v>37.700000000000003</v>
      </c>
      <c r="P84" s="281"/>
      <c r="R84" s="646"/>
      <c r="S84" s="648"/>
      <c r="T84" s="648"/>
      <c r="U84" s="650"/>
      <c r="V84" s="650"/>
      <c r="W84" s="650"/>
      <c r="X84" s="650"/>
      <c r="Y84" s="650"/>
      <c r="Z84" s="650"/>
      <c r="AA84" s="650"/>
      <c r="AB84" s="508"/>
      <c r="AC84" s="650"/>
      <c r="AD84" s="655"/>
    </row>
    <row r="85" spans="2:30">
      <c r="B85" s="645">
        <v>41</v>
      </c>
      <c r="C85" s="269"/>
      <c r="D85" s="658" t="s">
        <v>371</v>
      </c>
      <c r="E85" s="270" t="s">
        <v>372</v>
      </c>
      <c r="F85" s="271" t="s">
        <v>227</v>
      </c>
      <c r="G85" s="426">
        <v>4.0780000000000003</v>
      </c>
      <c r="H85" s="426">
        <v>5.3170000000000002</v>
      </c>
      <c r="I85" s="426">
        <v>4.0960850000000004</v>
      </c>
      <c r="J85" s="512">
        <v>5.9034800000000001</v>
      </c>
      <c r="K85" s="428">
        <v>0.1351</v>
      </c>
      <c r="L85" s="428">
        <v>0.1181</v>
      </c>
      <c r="M85" s="429">
        <v>45.021169</v>
      </c>
      <c r="N85" s="500"/>
      <c r="O85" s="274">
        <v>10.9</v>
      </c>
      <c r="P85" s="275"/>
      <c r="R85" s="645">
        <f t="shared" ref="R85" si="254">IF(B85="","",B85)</f>
        <v>41</v>
      </c>
      <c r="S85" s="647" t="str">
        <f t="shared" ref="S85" si="255">IFERROR(IF(E86="","",E86),"")</f>
        <v>101G18001</v>
      </c>
      <c r="T85" s="647" t="str">
        <f t="shared" ref="T85" si="256">IFERROR(IF(B85="","","Ref. 대비 차이"),"")</f>
        <v>Ref. 대비 차이</v>
      </c>
      <c r="U85" s="649">
        <f t="shared" ref="U85" si="257">IFERROR(IF(1-(G85/G86)="","",1-(G85/G86)),"")</f>
        <v>-5.4240631163708919E-3</v>
      </c>
      <c r="V85" s="649">
        <f t="shared" ref="V85" si="258">IFERROR(IF(1-(H85/H86)="","",1-(H85/H86)),"")</f>
        <v>-2.704268881591676E-2</v>
      </c>
      <c r="W85" s="649">
        <f t="shared" ref="W85" si="259">IFERROR(IF(1-(I85/I86)="","",1-(I85/I86)),"")</f>
        <v>-2.150197076460203E-2</v>
      </c>
      <c r="X85" s="649">
        <f t="shared" ref="X85" si="260">IFERROR(IF(1-(J85/J86)="","",1-(J85/J86)),"")</f>
        <v>-3.7786381053386053E-2</v>
      </c>
      <c r="Y85" s="649">
        <f t="shared" ref="Y85" si="261">IFERROR(IF(1-(K85/K86)="","",1-(K85/K86)),"")</f>
        <v>-1.482579688658392E-3</v>
      </c>
      <c r="Z85" s="649">
        <f t="shared" ref="Z85" si="262">IFERROR(IF(1-(L85/L86)="","",1-(L85/L86)),"")</f>
        <v>1.4190317195325597E-2</v>
      </c>
      <c r="AA85" s="649">
        <f t="shared" ref="AA85" si="263">IFERROR(IF(1-(M85/M86)="","",1-(M85/M86)),"")</f>
        <v>-4.1826561023290409E-2</v>
      </c>
      <c r="AB85" s="507"/>
      <c r="AC85" s="649">
        <f t="shared" ref="AC85" si="264">IFERROR(IF(1-(O85/O86)="","",1-(O85/O86)),"")</f>
        <v>-7.9207920792079278E-2</v>
      </c>
      <c r="AD85" s="654"/>
    </row>
    <row r="86" spans="2:30" ht="17.25" thickBot="1">
      <c r="B86" s="646"/>
      <c r="C86" s="276"/>
      <c r="D86" s="660"/>
      <c r="E86" s="282" t="s">
        <v>373</v>
      </c>
      <c r="F86" s="277" t="s">
        <v>222</v>
      </c>
      <c r="G86" s="488">
        <v>4.056</v>
      </c>
      <c r="H86" s="488">
        <v>5.1769999999999996</v>
      </c>
      <c r="I86" s="488">
        <v>4.0098649999999996</v>
      </c>
      <c r="J86" s="514">
        <v>5.6885310000000002</v>
      </c>
      <c r="K86" s="489">
        <v>0.13489999999999999</v>
      </c>
      <c r="L86" s="489">
        <v>0.1198</v>
      </c>
      <c r="M86" s="527">
        <v>43.213689000000002</v>
      </c>
      <c r="N86" s="501"/>
      <c r="O86" s="280">
        <v>10.1</v>
      </c>
      <c r="P86" s="281"/>
      <c r="R86" s="646"/>
      <c r="S86" s="648"/>
      <c r="T86" s="648"/>
      <c r="U86" s="650"/>
      <c r="V86" s="650"/>
      <c r="W86" s="650"/>
      <c r="X86" s="650"/>
      <c r="Y86" s="650"/>
      <c r="Z86" s="650"/>
      <c r="AA86" s="650"/>
      <c r="AB86" s="508"/>
      <c r="AC86" s="650"/>
      <c r="AD86" s="655"/>
    </row>
    <row r="87" spans="2:30">
      <c r="B87" s="645">
        <v>42</v>
      </c>
      <c r="C87" s="269"/>
      <c r="D87" s="658" t="s">
        <v>370</v>
      </c>
      <c r="E87" s="270" t="s">
        <v>342</v>
      </c>
      <c r="F87" s="271" t="s">
        <v>227</v>
      </c>
      <c r="G87" s="426">
        <v>4.0780000000000003</v>
      </c>
      <c r="H87" s="426">
        <v>5.3170000000000002</v>
      </c>
      <c r="I87" s="426">
        <v>4.0960850000000004</v>
      </c>
      <c r="J87" s="512">
        <v>5.9034800000000001</v>
      </c>
      <c r="K87" s="428">
        <v>0.1351</v>
      </c>
      <c r="L87" s="428">
        <v>0.1181</v>
      </c>
      <c r="M87" s="429">
        <v>45.021169</v>
      </c>
      <c r="N87" s="500"/>
      <c r="O87" s="274">
        <v>10.9</v>
      </c>
      <c r="P87" s="275"/>
      <c r="R87" s="645">
        <f t="shared" ref="R87" si="265">IF(B87="","",B87)</f>
        <v>42</v>
      </c>
      <c r="S87" s="647" t="str">
        <f t="shared" ref="S87" si="266">IFERROR(IF(E88="","",E88),"")</f>
        <v>101G18003</v>
      </c>
      <c r="T87" s="647" t="str">
        <f t="shared" ref="T87" si="267">IFERROR(IF(B87="","","Ref. 대비 차이"),"")</f>
        <v>Ref. 대비 차이</v>
      </c>
      <c r="U87" s="649">
        <f t="shared" ref="U87" si="268">IFERROR(IF(1-(G87/G88)="","",1-(G87/G88)),"")</f>
        <v>-5.1762385999507554E-3</v>
      </c>
      <c r="V87" s="649">
        <f t="shared" ref="V87" si="269">IFERROR(IF(1-(H87/H88)="","",1-(H87/H88)),"")</f>
        <v>-2.8035576179427757E-2</v>
      </c>
      <c r="W87" s="649">
        <f t="shared" ref="W87" si="270">IFERROR(IF(1-(I87/I88)="","",1-(I87/I88)),"")</f>
        <v>-2.274154464226652E-2</v>
      </c>
      <c r="X87" s="649">
        <f t="shared" ref="X87" si="271">IFERROR(IF(1-(J87/J88)="","",1-(J87/J88)),"")</f>
        <v>-3.4897380290445312E-2</v>
      </c>
      <c r="Y87" s="649">
        <f t="shared" ref="Y87" si="272">IFERROR(IF(1-(K87/K88)="","",1-(K87/K88)),"")</f>
        <v>-7.407407407407085E-4</v>
      </c>
      <c r="Z87" s="649">
        <f t="shared" ref="Z87" si="273">IFERROR(IF(1-(L87/L88)="","",1-(L87/L88)),"")</f>
        <v>1.5012510425354564E-2</v>
      </c>
      <c r="AA87" s="649">
        <f t="shared" ref="AA87" si="274">IFERROR(IF(1-(M87/M88)="","",1-(M87/M88)),"")</f>
        <v>-4.3704198727803512E-2</v>
      </c>
      <c r="AB87" s="507"/>
      <c r="AC87" s="649">
        <f t="shared" ref="AC87" si="275">IFERROR(IF(1-(O87/O88)="","",1-(O87/O88)),"")</f>
        <v>-2.8301886792452935E-2</v>
      </c>
      <c r="AD87" s="654"/>
    </row>
    <row r="88" spans="2:30" ht="17.25" thickBot="1">
      <c r="B88" s="646"/>
      <c r="C88" s="276"/>
      <c r="D88" s="660"/>
      <c r="E88" s="282" t="s">
        <v>374</v>
      </c>
      <c r="F88" s="277" t="s">
        <v>232</v>
      </c>
      <c r="G88" s="488">
        <v>4.0570000000000004</v>
      </c>
      <c r="H88" s="488">
        <v>5.1719999999999997</v>
      </c>
      <c r="I88" s="488">
        <v>4.0050049999999997</v>
      </c>
      <c r="J88" s="514">
        <v>5.7044110000000003</v>
      </c>
      <c r="K88" s="489">
        <v>0.13500000000000001</v>
      </c>
      <c r="L88" s="489">
        <v>0.11990000000000001</v>
      </c>
      <c r="M88" s="527">
        <v>43.135947000000002</v>
      </c>
      <c r="N88" s="501"/>
      <c r="O88" s="280">
        <v>10.6</v>
      </c>
      <c r="P88" s="281"/>
      <c r="R88" s="646"/>
      <c r="S88" s="648"/>
      <c r="T88" s="648"/>
      <c r="U88" s="650"/>
      <c r="V88" s="650"/>
      <c r="W88" s="650"/>
      <c r="X88" s="650"/>
      <c r="Y88" s="650"/>
      <c r="Z88" s="650"/>
      <c r="AA88" s="650"/>
      <c r="AB88" s="508"/>
      <c r="AC88" s="650"/>
      <c r="AD88" s="655"/>
    </row>
    <row r="89" spans="2:30">
      <c r="B89" s="645">
        <v>43</v>
      </c>
      <c r="C89" s="269"/>
      <c r="D89" s="658" t="s">
        <v>375</v>
      </c>
      <c r="E89" s="270" t="s">
        <v>376</v>
      </c>
      <c r="F89" s="271" t="s">
        <v>227</v>
      </c>
      <c r="G89" s="426">
        <v>3.96</v>
      </c>
      <c r="H89" s="426">
        <v>5.0049999999999999</v>
      </c>
      <c r="I89" s="426">
        <v>3.970621</v>
      </c>
      <c r="J89" s="512">
        <v>5.8493170000000001</v>
      </c>
      <c r="K89" s="428">
        <v>0.1371</v>
      </c>
      <c r="L89" s="428">
        <v>0.109</v>
      </c>
      <c r="M89" s="429">
        <v>45.917431000000001</v>
      </c>
      <c r="N89" s="500"/>
      <c r="O89" s="274">
        <v>12.2</v>
      </c>
      <c r="P89" s="275"/>
      <c r="R89" s="645">
        <f t="shared" ref="R89" si="276">IF(B89="","",B89)</f>
        <v>43</v>
      </c>
      <c r="S89" s="647" t="str">
        <f t="shared" ref="S89" si="277">IFERROR(IF(E90="","",E90),"")</f>
        <v>101G18004</v>
      </c>
      <c r="T89" s="647" t="str">
        <f t="shared" ref="T89" si="278">IFERROR(IF(B89="","","Ref. 대비 차이"),"")</f>
        <v>Ref. 대비 차이</v>
      </c>
      <c r="U89" s="649">
        <f t="shared" ref="U89" si="279">IFERROR(IF(1-(G89/G90)="","",1-(G89/G90)),"")</f>
        <v>0</v>
      </c>
      <c r="V89" s="649">
        <f t="shared" ref="V89" si="280">IFERROR(IF(1-(H89/H90)="","",1-(H89/H90)),"")</f>
        <v>-5.2219321148825326E-3</v>
      </c>
      <c r="W89" s="649">
        <f t="shared" ref="W89" si="281">IFERROR(IF(1-(I89/I90)="","",1-(I89/I90)),"")</f>
        <v>-5.2220332486581089E-3</v>
      </c>
      <c r="X89" s="649">
        <f t="shared" ref="X89" si="282">IFERROR(IF(1-(J89/J90)="","",1-(J89/J90)),"")</f>
        <v>-4.565726191760211E-3</v>
      </c>
      <c r="Y89" s="649">
        <f t="shared" ref="Y89" si="283">IFERROR(IF(1-(K89/K90)="","",1-(K89/K90)),"")</f>
        <v>7.2886297376084652E-4</v>
      </c>
      <c r="Z89" s="649">
        <f t="shared" ref="Z89" si="284">IFERROR(IF(1-(L89/L90)="","",1-(L89/L90)),"")</f>
        <v>-9.182736455464191E-4</v>
      </c>
      <c r="AA89" s="649">
        <f t="shared" ref="AA89" si="285">IFERROR(IF(1-(M89/M90)="","",1-(M89/M90)),"")</f>
        <v>-4.2997018099730777E-3</v>
      </c>
      <c r="AB89" s="507"/>
      <c r="AC89" s="649">
        <f t="shared" ref="AC89" si="286">IFERROR(IF(1-(O89/O90)="","",1-(O89/O90)),"")</f>
        <v>3.1746031746031744E-2</v>
      </c>
      <c r="AD89" s="654"/>
    </row>
    <row r="90" spans="2:30" ht="17.25" thickBot="1">
      <c r="B90" s="646"/>
      <c r="C90" s="276"/>
      <c r="D90" s="660"/>
      <c r="E90" s="282" t="s">
        <v>377</v>
      </c>
      <c r="F90" s="277" t="s">
        <v>232</v>
      </c>
      <c r="G90" s="488">
        <v>3.96</v>
      </c>
      <c r="H90" s="488">
        <v>4.9790000000000001</v>
      </c>
      <c r="I90" s="488">
        <v>3.9499939999999998</v>
      </c>
      <c r="J90" s="514">
        <v>5.8227320000000002</v>
      </c>
      <c r="K90" s="489">
        <v>0.13719999999999999</v>
      </c>
      <c r="L90" s="489">
        <v>0.1089</v>
      </c>
      <c r="M90" s="527">
        <v>45.720844999999997</v>
      </c>
      <c r="N90" s="501"/>
      <c r="O90" s="280">
        <v>12.6</v>
      </c>
      <c r="P90" s="281"/>
      <c r="R90" s="646"/>
      <c r="S90" s="648"/>
      <c r="T90" s="648"/>
      <c r="U90" s="650"/>
      <c r="V90" s="650"/>
      <c r="W90" s="650"/>
      <c r="X90" s="650"/>
      <c r="Y90" s="650"/>
      <c r="Z90" s="650"/>
      <c r="AA90" s="650"/>
      <c r="AB90" s="508"/>
      <c r="AC90" s="650"/>
      <c r="AD90" s="655"/>
    </row>
    <row r="91" spans="2:30">
      <c r="B91" s="645">
        <v>44</v>
      </c>
      <c r="C91" s="269"/>
      <c r="D91" s="658" t="s">
        <v>379</v>
      </c>
      <c r="E91" s="270" t="s">
        <v>380</v>
      </c>
      <c r="F91" s="271" t="s">
        <v>217</v>
      </c>
      <c r="G91" s="426">
        <v>3.9249999999999998</v>
      </c>
      <c r="H91" s="426">
        <v>5.1829999999999998</v>
      </c>
      <c r="I91" s="426">
        <v>4.1485000000000003</v>
      </c>
      <c r="J91" s="512">
        <v>6.1462310000000002</v>
      </c>
      <c r="K91" s="428">
        <v>0.1376</v>
      </c>
      <c r="L91" s="428">
        <v>0.10639999999999999</v>
      </c>
      <c r="M91" s="429">
        <v>48.712406000000001</v>
      </c>
      <c r="N91" s="500"/>
      <c r="O91" s="274">
        <v>9.8000000000000007</v>
      </c>
      <c r="P91" s="290" t="s">
        <v>441</v>
      </c>
      <c r="R91" s="645">
        <f t="shared" ref="R91" si="287">IF(B91="","",B91)</f>
        <v>44</v>
      </c>
      <c r="S91" s="647" t="str">
        <f t="shared" ref="S91" si="288">IFERROR(IF(E92="","",E92),"")</f>
        <v>101G18005</v>
      </c>
      <c r="T91" s="647" t="str">
        <f t="shared" ref="T91" si="289">IFERROR(IF(B91="","","Ref. 대비 차이"),"")</f>
        <v>Ref. 대비 차이</v>
      </c>
      <c r="U91" s="649">
        <f t="shared" ref="U91" si="290">IFERROR(IF(1-(G91/G92)="","",1-(G91/G92)),"")</f>
        <v>7.6374745417517875E-4</v>
      </c>
      <c r="V91" s="649">
        <f t="shared" ref="V91" si="291">IFERROR(IF(1-(H91/H92)="","",1-(H91/H92)),"")</f>
        <v>-6.6032239269759874E-3</v>
      </c>
      <c r="W91" s="649">
        <f t="shared" ref="W91" si="292">IFERROR(IF(1-(I91/I92)="","",1-(I91/I92)),"")</f>
        <v>-7.3727495290347722E-3</v>
      </c>
      <c r="X91" s="649">
        <f t="shared" ref="X91" si="293">IFERROR(IF(1-(J91/J92)="","",1-(J91/J92)),"")</f>
        <v>-6.7653530450559884E-3</v>
      </c>
      <c r="Y91" s="649">
        <f t="shared" ref="Y91" si="294">IFERROR(IF(1-(K91/K92)="","",1-(K91/K92)),"")</f>
        <v>1.4513788098694524E-3</v>
      </c>
      <c r="Z91" s="649">
        <f t="shared" ref="Z91" si="295">IFERROR(IF(1-(L91/L92)="","",1-(L91/L92)),"")</f>
        <v>-9.4073377234238365E-4</v>
      </c>
      <c r="AA91" s="649">
        <f t="shared" ref="AA91" si="296">IFERROR(IF(1-(M91/M92)="","",1-(M91/M92)),"")</f>
        <v>-5.6571666658891129E-3</v>
      </c>
      <c r="AB91" s="507"/>
      <c r="AC91" s="649">
        <f>-(1-O92/O91)</f>
        <v>1.0204081632652962E-2</v>
      </c>
      <c r="AD91" s="654"/>
    </row>
    <row r="92" spans="2:30" ht="17.25" thickBot="1">
      <c r="B92" s="646"/>
      <c r="C92" s="276"/>
      <c r="D92" s="660"/>
      <c r="E92" s="282" t="s">
        <v>381</v>
      </c>
      <c r="F92" s="277" t="s">
        <v>222</v>
      </c>
      <c r="G92" s="488">
        <v>3.9279999999999999</v>
      </c>
      <c r="H92" s="488">
        <v>5.149</v>
      </c>
      <c r="I92" s="488">
        <v>4.1181380000000001</v>
      </c>
      <c r="J92" s="514">
        <v>6.1049290000000003</v>
      </c>
      <c r="K92" s="489">
        <v>0.13780000000000001</v>
      </c>
      <c r="L92" s="489">
        <v>0.10630000000000001</v>
      </c>
      <c r="M92" s="527">
        <v>48.438381999999997</v>
      </c>
      <c r="N92" s="501"/>
      <c r="O92" s="280">
        <v>9.9</v>
      </c>
      <c r="P92" s="281"/>
      <c r="R92" s="646"/>
      <c r="S92" s="648"/>
      <c r="T92" s="648"/>
      <c r="U92" s="650"/>
      <c r="V92" s="650"/>
      <c r="W92" s="650"/>
      <c r="X92" s="650"/>
      <c r="Y92" s="650"/>
      <c r="Z92" s="650"/>
      <c r="AA92" s="650"/>
      <c r="AB92" s="508"/>
      <c r="AC92" s="650"/>
      <c r="AD92" s="655"/>
    </row>
    <row r="93" spans="2:30">
      <c r="B93" s="645">
        <v>45</v>
      </c>
      <c r="C93" s="269"/>
      <c r="D93" s="658" t="s">
        <v>383</v>
      </c>
      <c r="E93" s="270" t="s">
        <v>384</v>
      </c>
      <c r="F93" s="291" t="s">
        <v>232</v>
      </c>
      <c r="G93" s="426">
        <v>4.1399999999999997</v>
      </c>
      <c r="H93" s="426">
        <v>5.1120000000000001</v>
      </c>
      <c r="I93" s="426">
        <v>3.879181</v>
      </c>
      <c r="J93" s="512">
        <v>5.9263279999999998</v>
      </c>
      <c r="K93" s="428">
        <v>0.1371</v>
      </c>
      <c r="L93" s="428">
        <v>0.10979999999999999</v>
      </c>
      <c r="M93" s="429">
        <v>46.557377000000002</v>
      </c>
      <c r="N93" s="500"/>
      <c r="O93" s="274"/>
      <c r="P93" s="275"/>
      <c r="R93" s="645">
        <f t="shared" ref="R93" si="297">IF(B93="","",B93)</f>
        <v>45</v>
      </c>
      <c r="S93" s="661" t="str">
        <f t="shared" ref="S93" si="298">IFERROR(IF(E94="","",E94),"")</f>
        <v>조명 잔사 High Tg NPB OC311</v>
      </c>
      <c r="T93" s="647" t="str">
        <f t="shared" ref="T93" si="299">IFERROR(IF(B93="","","Ref. 대비 차이"),"")</f>
        <v>Ref. 대비 차이</v>
      </c>
      <c r="U93" s="649">
        <f t="shared" ref="U93" si="300">IFERROR(IF(1-(G93/G94)="","",1-(G93/G94)),"")</f>
        <v>1.6879672052086958E-3</v>
      </c>
      <c r="V93" s="649">
        <f t="shared" ref="V93" si="301">IFERROR(IF(1-(H93/H94)="","",1-(H93/H94)),"")</f>
        <v>1.1409785341326639E-2</v>
      </c>
      <c r="W93" s="649">
        <f t="shared" ref="W93" si="302">IFERROR(IF(1-(I93/I94)="","",1-(I93/I94)),"")</f>
        <v>9.7382680903238539E-3</v>
      </c>
      <c r="X93" s="649">
        <f t="shared" ref="X93" si="303">IFERROR(IF(1-(J93/J94)="","",1-(J93/J94)),"")</f>
        <v>2.8898777556135569E-3</v>
      </c>
      <c r="Y93" s="649">
        <f t="shared" ref="Y93" si="304">IFERROR(IF(1-(K93/K94)="","",1-(K93/K94)),"")</f>
        <v>1.4566642388930129E-3</v>
      </c>
      <c r="Z93" s="649">
        <f t="shared" ref="Z93" si="305">IFERROR(IF(1-(L93/L94)="","",1-(L93/L94)),"")</f>
        <v>1.258992805755399E-2</v>
      </c>
      <c r="AA93" s="649">
        <f t="shared" ref="AA93" si="306">IFERROR(IF(1-(M93/M94)="","",1-(M93/M94)),"")</f>
        <v>-1.1951795671389931E-3</v>
      </c>
      <c r="AB93" s="507"/>
      <c r="AC93" s="649" t="e">
        <f>-(1-O94/O93)</f>
        <v>#DIV/0!</v>
      </c>
      <c r="AD93" s="654"/>
    </row>
    <row r="94" spans="2:30" ht="17.25" thickBot="1">
      <c r="B94" s="646"/>
      <c r="C94" s="276"/>
      <c r="D94" s="660"/>
      <c r="E94" s="292" t="s">
        <v>442</v>
      </c>
      <c r="F94" s="293" t="s">
        <v>227</v>
      </c>
      <c r="G94" s="488">
        <v>4.1470000000000002</v>
      </c>
      <c r="H94" s="488">
        <v>5.1710000000000003</v>
      </c>
      <c r="I94" s="488">
        <v>3.9173290000000001</v>
      </c>
      <c r="J94" s="514">
        <v>5.9435039999999999</v>
      </c>
      <c r="K94" s="489">
        <v>0.13730000000000001</v>
      </c>
      <c r="L94" s="489">
        <v>0.11119999999999999</v>
      </c>
      <c r="M94" s="527">
        <v>46.501798999999998</v>
      </c>
      <c r="N94" s="501"/>
      <c r="O94" s="280"/>
      <c r="P94" s="281"/>
      <c r="R94" s="646"/>
      <c r="S94" s="662"/>
      <c r="T94" s="648"/>
      <c r="U94" s="650"/>
      <c r="V94" s="650"/>
      <c r="W94" s="650"/>
      <c r="X94" s="650"/>
      <c r="Y94" s="650"/>
      <c r="Z94" s="650"/>
      <c r="AA94" s="650"/>
      <c r="AB94" s="508"/>
      <c r="AC94" s="650"/>
      <c r="AD94" s="655"/>
    </row>
    <row r="95" spans="2:30">
      <c r="B95" s="671">
        <v>46</v>
      </c>
      <c r="C95" s="294"/>
      <c r="D95" s="672" t="s">
        <v>385</v>
      </c>
      <c r="E95" s="295" t="s">
        <v>384</v>
      </c>
      <c r="F95" s="296" t="s">
        <v>232</v>
      </c>
      <c r="G95" s="515">
        <v>4.1150000000000002</v>
      </c>
      <c r="H95" s="515">
        <v>5.1760000000000002</v>
      </c>
      <c r="I95" s="515">
        <v>3.9516089999999999</v>
      </c>
      <c r="J95" s="516">
        <v>6.0177230000000002</v>
      </c>
      <c r="K95" s="522">
        <v>0.13719999999999999</v>
      </c>
      <c r="L95" s="522">
        <v>0.1094</v>
      </c>
      <c r="M95" s="528">
        <v>47.312614000000004</v>
      </c>
      <c r="N95" s="502"/>
      <c r="O95" s="297">
        <v>15.8</v>
      </c>
      <c r="P95" s="298" t="s">
        <v>387</v>
      </c>
      <c r="R95" s="645">
        <f t="shared" ref="R95" si="307">IF(B95="","",B95)</f>
        <v>46</v>
      </c>
      <c r="S95" s="661" t="str">
        <f t="shared" ref="S95" si="308">IFERROR(IF(E96="","",E96),"")</f>
        <v>조명 잔사 High Tg NPB OC311</v>
      </c>
      <c r="T95" s="647" t="str">
        <f t="shared" ref="T95" si="309">IFERROR(IF(B95="","","Ref. 대비 차이"),"")</f>
        <v>Ref. 대비 차이</v>
      </c>
      <c r="U95" s="649">
        <f t="shared" ref="U95" si="310">IFERROR(IF(1-(G95/G96)="","",1-(G95/G96)),"")</f>
        <v>3.3906514894646023E-3</v>
      </c>
      <c r="V95" s="649">
        <f t="shared" ref="V95" si="311">IFERROR(IF(1-(H95/H96)="","",1-(H95/H96)),"")</f>
        <v>3.8491147036180395E-3</v>
      </c>
      <c r="W95" s="649">
        <f t="shared" ref="W95" si="312">IFERROR(IF(1-(I95/I96)="","",1-(I95/I96)),"")</f>
        <v>4.5985419738370226E-4</v>
      </c>
      <c r="X95" s="649">
        <f t="shared" ref="X95" si="313">IFERROR(IF(1-(J95/J96)="","",1-(J95/J96)),"")</f>
        <v>-2.9123796216423692E-3</v>
      </c>
      <c r="Y95" s="649">
        <f t="shared" ref="Y95" si="314">IFERROR(IF(1-(K95/K96)="","",1-(K95/K96)),"")</f>
        <v>1.4556040756914523E-3</v>
      </c>
      <c r="Z95" s="649">
        <f t="shared" ref="Z95" si="315">IFERROR(IF(1-(L95/L96)="","",1-(L95/L96)),"")</f>
        <v>9.9547511312217951E-3</v>
      </c>
      <c r="AA95" s="649">
        <f t="shared" ref="AA95" si="316">IFERROR(IF(1-(M95/M96)="","",1-(M95/M96)),"")</f>
        <v>-6.1670314272552762E-3</v>
      </c>
      <c r="AB95" s="507"/>
      <c r="AC95" s="649">
        <f t="shared" ref="AC95" si="317">-(1-O96/O95)</f>
        <v>-4.4303797468354444E-2</v>
      </c>
      <c r="AD95" s="654"/>
    </row>
    <row r="96" spans="2:30" ht="17.25" thickBot="1">
      <c r="B96" s="646"/>
      <c r="C96" s="276"/>
      <c r="D96" s="664"/>
      <c r="E96" s="292" t="s">
        <v>443</v>
      </c>
      <c r="F96" s="299" t="s">
        <v>227</v>
      </c>
      <c r="G96" s="476">
        <v>4.1289999999999996</v>
      </c>
      <c r="H96" s="476">
        <v>5.1959999999999997</v>
      </c>
      <c r="I96" s="476">
        <v>3.953427</v>
      </c>
      <c r="J96" s="517">
        <v>6.000248</v>
      </c>
      <c r="K96" s="477">
        <v>0.13739999999999999</v>
      </c>
      <c r="L96" s="477">
        <v>0.1105</v>
      </c>
      <c r="M96" s="529">
        <v>47.022624</v>
      </c>
      <c r="N96" s="503"/>
      <c r="O96" s="280">
        <v>15.1</v>
      </c>
      <c r="P96" s="281"/>
      <c r="R96" s="646"/>
      <c r="S96" s="662"/>
      <c r="T96" s="648"/>
      <c r="U96" s="650"/>
      <c r="V96" s="650"/>
      <c r="W96" s="650"/>
      <c r="X96" s="650"/>
      <c r="Y96" s="650"/>
      <c r="Z96" s="650"/>
      <c r="AA96" s="650"/>
      <c r="AB96" s="508"/>
      <c r="AC96" s="650"/>
      <c r="AD96" s="655"/>
    </row>
    <row r="97" spans="2:30">
      <c r="B97" s="645">
        <v>47</v>
      </c>
      <c r="C97" s="269"/>
      <c r="D97" s="658" t="s">
        <v>393</v>
      </c>
      <c r="E97" s="270" t="s">
        <v>380</v>
      </c>
      <c r="F97" s="271" t="s">
        <v>213</v>
      </c>
      <c r="G97" s="426">
        <v>3.911</v>
      </c>
      <c r="H97" s="426">
        <v>5.3339999999999996</v>
      </c>
      <c r="I97" s="426">
        <v>4.2846440000000001</v>
      </c>
      <c r="J97" s="512">
        <v>6.2993800000000002</v>
      </c>
      <c r="K97" s="428">
        <v>0.1368</v>
      </c>
      <c r="L97" s="428">
        <v>0.1075</v>
      </c>
      <c r="M97" s="429">
        <v>49.618605000000002</v>
      </c>
      <c r="N97" s="500"/>
      <c r="O97" s="274">
        <v>13.6</v>
      </c>
      <c r="P97" s="298" t="s">
        <v>387</v>
      </c>
      <c r="R97" s="645">
        <f t="shared" ref="R97" si="318">IF(B97="","",B97)</f>
        <v>47</v>
      </c>
      <c r="S97" s="647" t="str">
        <f t="shared" ref="S97" si="319">IFERROR(IF(E98="","",E98),"")</f>
        <v>101G18006</v>
      </c>
      <c r="T97" s="647" t="str">
        <f t="shared" ref="T97" si="320">IFERROR(IF(B97="","","Ref. 대비 차이"),"")</f>
        <v>Ref. 대비 차이</v>
      </c>
      <c r="U97" s="649">
        <f t="shared" ref="U97" si="321">IFERROR(IF(1-(G97/G98)="","",1-(G97/G98)),"")</f>
        <v>-7.6765609007156677E-4</v>
      </c>
      <c r="V97" s="649">
        <f t="shared" ref="V97" si="322">IFERROR(IF(1-(H97/H98)="","",1-(H97/H98)),"")</f>
        <v>5.4074212194669125E-3</v>
      </c>
      <c r="W97" s="649">
        <f t="shared" ref="W97" si="323">IFERROR(IF(1-(I97/I98)="","",1-(I97/I98)),"")</f>
        <v>6.1701434272467548E-3</v>
      </c>
      <c r="X97" s="649">
        <f t="shared" ref="X97" si="324">IFERROR(IF(1-(J97/J98)="","",1-(J97/J98)),"")</f>
        <v>-2.3165337564905464E-3</v>
      </c>
      <c r="Y97" s="649">
        <f t="shared" ref="Y97" si="325">IFERROR(IF(1-(K97/K98)="","",1-(K97/K98)),"")</f>
        <v>-2.19780219780219E-3</v>
      </c>
      <c r="Z97" s="649">
        <f t="shared" ref="Z97" si="326">IFERROR(IF(1-(L97/L98)="","",1-(L97/L98)),"")</f>
        <v>1.3761467889908285E-2</v>
      </c>
      <c r="AA97" s="649">
        <f t="shared" ref="AA97" si="327">IFERROR(IF(1-(M97/M98)="","",1-(M97/M98)),"")</f>
        <v>-8.4706190328063258E-3</v>
      </c>
      <c r="AB97" s="507"/>
      <c r="AC97" s="649">
        <f t="shared" ref="AC97" si="328">-(1-O98/O97)</f>
        <v>7.3529411764705621E-3</v>
      </c>
      <c r="AD97" s="654"/>
    </row>
    <row r="98" spans="2:30" ht="17.25" thickBot="1">
      <c r="B98" s="646"/>
      <c r="C98" s="276"/>
      <c r="D98" s="660"/>
      <c r="E98" s="282" t="s">
        <v>392</v>
      </c>
      <c r="F98" s="277" t="s">
        <v>241</v>
      </c>
      <c r="G98" s="488">
        <v>3.9079999999999999</v>
      </c>
      <c r="H98" s="488">
        <v>5.3630000000000004</v>
      </c>
      <c r="I98" s="488">
        <v>4.3112450000000004</v>
      </c>
      <c r="J98" s="514">
        <v>6.284821</v>
      </c>
      <c r="K98" s="489">
        <v>0.13650000000000001</v>
      </c>
      <c r="L98" s="489">
        <v>0.109</v>
      </c>
      <c r="M98" s="527">
        <v>49.201835000000003</v>
      </c>
      <c r="N98" s="501"/>
      <c r="O98" s="280">
        <v>13.7</v>
      </c>
      <c r="P98" s="281"/>
      <c r="R98" s="646"/>
      <c r="S98" s="648"/>
      <c r="T98" s="648"/>
      <c r="U98" s="650"/>
      <c r="V98" s="650"/>
      <c r="W98" s="650"/>
      <c r="X98" s="650"/>
      <c r="Y98" s="650"/>
      <c r="Z98" s="650"/>
      <c r="AA98" s="650"/>
      <c r="AB98" s="508"/>
      <c r="AC98" s="650"/>
      <c r="AD98" s="655"/>
    </row>
    <row r="99" spans="2:30">
      <c r="B99" s="645">
        <v>48</v>
      </c>
      <c r="C99" s="656">
        <v>180724</v>
      </c>
      <c r="D99" s="658" t="s">
        <v>398</v>
      </c>
      <c r="E99" s="270" t="s">
        <v>380</v>
      </c>
      <c r="F99" s="291" t="s">
        <v>240</v>
      </c>
      <c r="G99" s="426">
        <v>3.9039999999999999</v>
      </c>
      <c r="H99" s="426">
        <v>5.2859999999999996</v>
      </c>
      <c r="I99" s="426">
        <v>4.2537000000000003</v>
      </c>
      <c r="J99" s="512">
        <v>6.2071449999999997</v>
      </c>
      <c r="K99" s="428">
        <v>0.1368</v>
      </c>
      <c r="L99" s="428">
        <v>0.10829999999999999</v>
      </c>
      <c r="M99" s="429">
        <v>48.808864</v>
      </c>
      <c r="N99" s="504"/>
      <c r="O99" s="272">
        <v>18.2</v>
      </c>
      <c r="P99" s="298" t="s">
        <v>387</v>
      </c>
      <c r="R99" s="645">
        <f t="shared" ref="R99" si="329">IF(B99="","",B99)</f>
        <v>48</v>
      </c>
      <c r="S99" s="647" t="str">
        <f t="shared" ref="S99" si="330">IFERROR(IF(E100="","",E100),"")</f>
        <v>101G18007</v>
      </c>
      <c r="T99" s="647" t="str">
        <f t="shared" ref="T99" si="331">IFERROR(IF(B99="","","Ref. 대비 차이"),"")</f>
        <v>Ref. 대비 차이</v>
      </c>
      <c r="U99" s="649">
        <f t="shared" ref="U99" si="332">IFERROR(IF(1-(G99/G100)="","",1-(G99/G100)),"")</f>
        <v>5.1203277009737036E-4</v>
      </c>
      <c r="V99" s="649">
        <f t="shared" ref="V99" si="333">IFERROR(IF(1-(H99/H100)="","",1-(H99/H100)),"")</f>
        <v>1.8384401114206139E-2</v>
      </c>
      <c r="W99" s="649">
        <f t="shared" ref="W99" si="334">IFERROR(IF(1-(I99/I100)="","",1-(I99/I100)),"")</f>
        <v>1.7881633229804073E-2</v>
      </c>
      <c r="X99" s="649">
        <f t="shared" ref="X99" si="335">IFERROR(IF(1-(J99/J100)="","",1-(J99/J100)),"")</f>
        <v>7.8928773103673633E-3</v>
      </c>
      <c r="Y99" s="649">
        <f t="shared" ref="Y99" si="336">IFERROR(IF(1-(K99/K100)="","",1-(K99/K100)),"")</f>
        <v>-5.143277002204405E-3</v>
      </c>
      <c r="Z99" s="649">
        <f t="shared" ref="Z99" si="337">IFERROR(IF(1-(L99/L100)="","",1-(L99/L100)),"")</f>
        <v>1.9909502262443479E-2</v>
      </c>
      <c r="AA99" s="649">
        <f t="shared" ref="AA99" si="338">IFERROR(IF(1-(M99/M100)="","",1-(M99/M100)),"")</f>
        <v>-1.5560698131813488E-3</v>
      </c>
      <c r="AB99" s="507"/>
      <c r="AC99" s="649">
        <f t="shared" ref="AC99" si="339">-(1-O100/O99)</f>
        <v>2.7472527472527375E-2</v>
      </c>
      <c r="AD99" s="654"/>
    </row>
    <row r="100" spans="2:30" ht="17.25" customHeight="1" thickBot="1">
      <c r="B100" s="646"/>
      <c r="C100" s="657"/>
      <c r="D100" s="660"/>
      <c r="E100" s="303" t="s">
        <v>397</v>
      </c>
      <c r="F100" s="299" t="s">
        <v>238</v>
      </c>
      <c r="G100" s="476">
        <v>3.9060000000000001</v>
      </c>
      <c r="H100" s="476">
        <v>5.3849999999999998</v>
      </c>
      <c r="I100" s="476">
        <v>4.3311479999999998</v>
      </c>
      <c r="J100" s="517">
        <v>6.2565270000000002</v>
      </c>
      <c r="K100" s="477">
        <v>0.1361</v>
      </c>
      <c r="L100" s="477">
        <v>0.1105</v>
      </c>
      <c r="M100" s="529">
        <v>48.733032000000001</v>
      </c>
      <c r="N100" s="505"/>
      <c r="O100" s="305">
        <v>18.7</v>
      </c>
      <c r="P100" s="306"/>
      <c r="R100" s="646"/>
      <c r="S100" s="648"/>
      <c r="T100" s="648"/>
      <c r="U100" s="650"/>
      <c r="V100" s="650"/>
      <c r="W100" s="650"/>
      <c r="X100" s="650"/>
      <c r="Y100" s="650"/>
      <c r="Z100" s="650"/>
      <c r="AA100" s="650"/>
      <c r="AB100" s="508"/>
      <c r="AC100" s="650"/>
      <c r="AD100" s="655"/>
    </row>
    <row r="101" spans="2:30">
      <c r="B101" s="645">
        <v>49</v>
      </c>
      <c r="C101" s="269"/>
      <c r="D101" s="658" t="s">
        <v>399</v>
      </c>
      <c r="E101" s="270" t="s">
        <v>380</v>
      </c>
      <c r="F101" s="271" t="s">
        <v>227</v>
      </c>
      <c r="G101" s="426">
        <v>3.952</v>
      </c>
      <c r="H101" s="426">
        <v>5.0369999999999999</v>
      </c>
      <c r="I101" s="426">
        <v>4.0040959999999997</v>
      </c>
      <c r="J101" s="512">
        <v>5.8497000000000003</v>
      </c>
      <c r="K101" s="428">
        <v>0.1381</v>
      </c>
      <c r="L101" s="428">
        <v>0.1094</v>
      </c>
      <c r="M101" s="429">
        <v>46.042048000000001</v>
      </c>
      <c r="N101" s="500"/>
      <c r="O101" s="274">
        <v>18.8</v>
      </c>
      <c r="P101" s="308" t="s">
        <v>403</v>
      </c>
      <c r="R101" s="645">
        <f t="shared" ref="R101" si="340">IF(B101="","",B101)</f>
        <v>49</v>
      </c>
      <c r="S101" s="647" t="str">
        <f t="shared" ref="S101" si="341">IFERROR(IF(E102="","",E102),"")</f>
        <v>잔사_OC111</v>
      </c>
      <c r="T101" s="647" t="str">
        <f t="shared" ref="T101" si="342">IFERROR(IF(B101="","","Ref. 대비 차이"),"")</f>
        <v>Ref. 대비 차이</v>
      </c>
      <c r="U101" s="649">
        <f t="shared" ref="U101" si="343">IFERROR(IF(1-(G101/G102)="","",1-(G101/G102)),"")</f>
        <v>-2.5310048089077775E-4</v>
      </c>
      <c r="V101" s="649">
        <f t="shared" ref="V101" si="344">IFERROR(IF(1-(H101/H102)="","",1-(H101/H102)),"")</f>
        <v>1.6018753662824792E-2</v>
      </c>
      <c r="W101" s="649">
        <f t="shared" ref="W101" si="345">IFERROR(IF(1-(I101/I102)="","",1-(I101/I102)),"")</f>
        <v>1.6267798701377068E-2</v>
      </c>
      <c r="X101" s="649">
        <f t="shared" ref="X101" si="346">IFERROR(IF(1-(J101/J102)="","",1-(J101/J102)),"")</f>
        <v>7.1175500718475559E-3</v>
      </c>
      <c r="Y101" s="649">
        <f t="shared" ref="Y101" si="347">IFERROR(IF(1-(K101/K102)="","",1-(K101/K102)),"")</f>
        <v>-5.8266569555716075E-3</v>
      </c>
      <c r="Z101" s="649">
        <f t="shared" ref="Z101" si="348">IFERROR(IF(1-(L101/L102)="","",1-(L101/L102)),"")</f>
        <v>1.7070979335130243E-2</v>
      </c>
      <c r="AA101" s="649">
        <f t="shared" ref="AA101" si="349">IFERROR(IF(1-(M101/M102)="","",1-(M101/M102)),"")</f>
        <v>-1.0705151057082141E-3</v>
      </c>
      <c r="AB101" s="507"/>
      <c r="AC101" s="649">
        <f t="shared" ref="AC101" si="350">-(1-O102/O101)</f>
        <v>-1.0638297872340385E-2</v>
      </c>
      <c r="AD101" s="654"/>
    </row>
    <row r="102" spans="2:30" ht="17.25" thickBot="1">
      <c r="B102" s="646"/>
      <c r="C102" s="276"/>
      <c r="D102" s="660"/>
      <c r="E102" s="282" t="s">
        <v>444</v>
      </c>
      <c r="F102" s="299" t="s">
        <v>222</v>
      </c>
      <c r="G102" s="476">
        <v>3.9510000000000001</v>
      </c>
      <c r="H102" s="476">
        <v>5.1189999999999998</v>
      </c>
      <c r="I102" s="476">
        <v>4.0703110000000002</v>
      </c>
      <c r="J102" s="517">
        <v>5.8916339999999998</v>
      </c>
      <c r="K102" s="477">
        <v>0.13730000000000001</v>
      </c>
      <c r="L102" s="477">
        <v>0.1113</v>
      </c>
      <c r="M102" s="529">
        <v>45.992812000000001</v>
      </c>
      <c r="N102" s="503"/>
      <c r="O102" s="280">
        <v>18.600000000000001</v>
      </c>
      <c r="P102" s="281"/>
      <c r="R102" s="646"/>
      <c r="S102" s="648"/>
      <c r="T102" s="648"/>
      <c r="U102" s="650"/>
      <c r="V102" s="650"/>
      <c r="W102" s="650"/>
      <c r="X102" s="650"/>
      <c r="Y102" s="650"/>
      <c r="Z102" s="650"/>
      <c r="AA102" s="650"/>
      <c r="AB102" s="508"/>
      <c r="AC102" s="650"/>
      <c r="AD102" s="655"/>
    </row>
    <row r="103" spans="2:30">
      <c r="B103" s="645">
        <v>50</v>
      </c>
      <c r="C103" s="269"/>
      <c r="D103" s="658" t="s">
        <v>399</v>
      </c>
      <c r="E103" s="270" t="s">
        <v>380</v>
      </c>
      <c r="F103" s="271" t="s">
        <v>227</v>
      </c>
      <c r="G103" s="426">
        <v>3.952</v>
      </c>
      <c r="H103" s="426">
        <v>5.0369999999999999</v>
      </c>
      <c r="I103" s="426">
        <v>4.0040959999999997</v>
      </c>
      <c r="J103" s="512">
        <v>5.8497000000000003</v>
      </c>
      <c r="K103" s="428">
        <v>0.1381</v>
      </c>
      <c r="L103" s="428">
        <v>0.1094</v>
      </c>
      <c r="M103" s="429">
        <v>46.042048000000001</v>
      </c>
      <c r="N103" s="500"/>
      <c r="O103" s="274">
        <v>18.8</v>
      </c>
      <c r="P103" s="308" t="s">
        <v>403</v>
      </c>
      <c r="R103" s="645">
        <f t="shared" ref="R103" si="351">IF(B103="","",B103)</f>
        <v>50</v>
      </c>
      <c r="S103" s="647" t="str">
        <f t="shared" ref="S103" si="352">IFERROR(IF(E104="","",E104),"")</f>
        <v>잔사_OC212</v>
      </c>
      <c r="T103" s="647" t="str">
        <f t="shared" ref="T103" si="353">IFERROR(IF(B103="","","Ref. 대비 차이"),"")</f>
        <v>Ref. 대비 차이</v>
      </c>
      <c r="U103" s="649">
        <f t="shared" ref="U103" si="354">IFERROR(IF(1-(G103/G104)="","",1-(G103/G104)),"")</f>
        <v>-1.5205271160667611E-3</v>
      </c>
      <c r="V103" s="649">
        <f t="shared" ref="V103" si="355">IFERROR(IF(1-(H103/H104)="","",1-(H103/H104)),"")</f>
        <v>8.8547815820543274E-3</v>
      </c>
      <c r="W103" s="649">
        <f t="shared" ref="W103" si="356">IFERROR(IF(1-(I103/I104)="","",1-(I103/I104)),"")</f>
        <v>1.0359586269043874E-2</v>
      </c>
      <c r="X103" s="649">
        <f t="shared" ref="X103" si="357">IFERROR(IF(1-(J103/J104)="","",1-(J103/J104)),"")</f>
        <v>-2.3626127330227398E-3</v>
      </c>
      <c r="Y103" s="649">
        <f t="shared" ref="Y103" si="358">IFERROR(IF(1-(K103/K104)="","",1-(K103/K104)),"")</f>
        <v>-5.8266569555716075E-3</v>
      </c>
      <c r="Z103" s="649">
        <f t="shared" ref="Z103" si="359">IFERROR(IF(1-(L103/L104)="","",1-(L103/L104)),"")</f>
        <v>1.9713261648745539E-2</v>
      </c>
      <c r="AA103" s="649">
        <f t="shared" ref="AA103" si="360">IFERROR(IF(1-(M103/M104)="","",1-(M103/M104)),"")</f>
        <v>-1.1076860075778239E-2</v>
      </c>
      <c r="AB103" s="507"/>
      <c r="AC103" s="649">
        <f t="shared" ref="AC103" si="361">-(1-O104/O103)</f>
        <v>-5.3191489361702482E-3</v>
      </c>
      <c r="AD103" s="654"/>
    </row>
    <row r="104" spans="2:30" ht="17.25" thickBot="1">
      <c r="B104" s="646"/>
      <c r="C104" s="276"/>
      <c r="D104" s="660"/>
      <c r="E104" s="282" t="s">
        <v>445</v>
      </c>
      <c r="F104" s="277" t="s">
        <v>232</v>
      </c>
      <c r="G104" s="488">
        <v>3.9460000000000002</v>
      </c>
      <c r="H104" s="488">
        <v>5.0819999999999999</v>
      </c>
      <c r="I104" s="488">
        <v>4.046011</v>
      </c>
      <c r="J104" s="514">
        <v>5.8359120000000004</v>
      </c>
      <c r="K104" s="489">
        <v>0.13730000000000001</v>
      </c>
      <c r="L104" s="489">
        <v>0.1116</v>
      </c>
      <c r="M104" s="527">
        <v>45.537633999999997</v>
      </c>
      <c r="N104" s="501"/>
      <c r="O104" s="280">
        <v>18.7</v>
      </c>
      <c r="P104" s="281"/>
      <c r="R104" s="646"/>
      <c r="S104" s="648"/>
      <c r="T104" s="648"/>
      <c r="U104" s="650"/>
      <c r="V104" s="650"/>
      <c r="W104" s="650"/>
      <c r="X104" s="650"/>
      <c r="Y104" s="650"/>
      <c r="Z104" s="650"/>
      <c r="AA104" s="650"/>
      <c r="AB104" s="508"/>
      <c r="AC104" s="650"/>
      <c r="AD104" s="655"/>
    </row>
    <row r="105" spans="2:30">
      <c r="B105" s="645">
        <v>51</v>
      </c>
      <c r="C105" s="269"/>
      <c r="D105" s="658" t="s">
        <v>399</v>
      </c>
      <c r="E105" s="270" t="s">
        <v>380</v>
      </c>
      <c r="F105" s="271" t="s">
        <v>227</v>
      </c>
      <c r="G105" s="426">
        <v>3.952</v>
      </c>
      <c r="H105" s="426">
        <v>5.0369999999999999</v>
      </c>
      <c r="I105" s="426">
        <v>4.0040959999999997</v>
      </c>
      <c r="J105" s="512">
        <v>5.8497000000000003</v>
      </c>
      <c r="K105" s="428">
        <v>0.1381</v>
      </c>
      <c r="L105" s="428">
        <v>0.1094</v>
      </c>
      <c r="M105" s="429">
        <v>46.042048000000001</v>
      </c>
      <c r="N105" s="500"/>
      <c r="O105" s="274">
        <v>18.8</v>
      </c>
      <c r="P105" s="308" t="s">
        <v>403</v>
      </c>
      <c r="R105" s="645">
        <f t="shared" ref="R105" si="362">IF(B105="","",B105)</f>
        <v>51</v>
      </c>
      <c r="S105" s="647" t="str">
        <f t="shared" ref="S105" si="363">IFERROR(IF(E106="","",E106),"")</f>
        <v>잔사_OC262</v>
      </c>
      <c r="T105" s="647" t="str">
        <f t="shared" ref="T105" si="364">IFERROR(IF(B105="","","Ref. 대비 차이"),"")</f>
        <v>Ref. 대비 차이</v>
      </c>
      <c r="U105" s="649">
        <f t="shared" ref="U105" si="365">IFERROR(IF(1-(G105/G106)="","",1-(G105/G106)),"")</f>
        <v>-2.5367833587011113E-3</v>
      </c>
      <c r="V105" s="649">
        <f t="shared" ref="V105" si="366">IFERROR(IF(1-(H105/H106)="","",1-(H105/H106)),"")</f>
        <v>6.1168113654300749E-3</v>
      </c>
      <c r="W105" s="649">
        <f t="shared" ref="W105" si="367">IFERROR(IF(1-(I105/I106)="","",1-(I105/I106)),"")</f>
        <v>8.631679598629427E-3</v>
      </c>
      <c r="X105" s="649">
        <f t="shared" ref="X105" si="368">IFERROR(IF(1-(J105/J106)="","",1-(J105/J106)),"")</f>
        <v>-6.1323904214036773E-3</v>
      </c>
      <c r="Y105" s="649">
        <f t="shared" ref="Y105" si="369">IFERROR(IF(1-(K105/K106)="","",1-(K105/K106)),"")</f>
        <v>-6.5597667638483959E-3</v>
      </c>
      <c r="Z105" s="649">
        <f t="shared" ref="Z105" si="370">IFERROR(IF(1-(L105/L106)="","",1-(L105/L106)),"")</f>
        <v>2.2341376228775744E-2</v>
      </c>
      <c r="AA105" s="649">
        <f t="shared" ref="AA105" si="371">IFERROR(IF(1-(M105/M106)="","",1-(M105/M106)),"")</f>
        <v>-1.6595335200776828E-2</v>
      </c>
      <c r="AB105" s="507"/>
      <c r="AC105" s="649">
        <f t="shared" ref="AC105" si="372">-(1-O106/O105)</f>
        <v>-5.3191489361702482E-3</v>
      </c>
      <c r="AD105" s="654"/>
    </row>
    <row r="106" spans="2:30" ht="17.25" thickBot="1">
      <c r="B106" s="646"/>
      <c r="C106" s="276"/>
      <c r="D106" s="660"/>
      <c r="E106" s="282" t="s">
        <v>446</v>
      </c>
      <c r="F106" s="277" t="s">
        <v>237</v>
      </c>
      <c r="G106" s="488">
        <v>3.9420000000000002</v>
      </c>
      <c r="H106" s="488">
        <v>5.0679999999999996</v>
      </c>
      <c r="I106" s="488">
        <v>4.0389590000000002</v>
      </c>
      <c r="J106" s="514">
        <v>5.8140460000000003</v>
      </c>
      <c r="K106" s="489">
        <v>0.13719999999999999</v>
      </c>
      <c r="L106" s="489">
        <v>0.1119</v>
      </c>
      <c r="M106" s="527">
        <v>45.290438000000002</v>
      </c>
      <c r="N106" s="501"/>
      <c r="O106" s="280">
        <v>18.7</v>
      </c>
      <c r="P106" s="281"/>
      <c r="R106" s="646"/>
      <c r="S106" s="648"/>
      <c r="T106" s="648"/>
      <c r="U106" s="650"/>
      <c r="V106" s="650"/>
      <c r="W106" s="650"/>
      <c r="X106" s="650"/>
      <c r="Y106" s="650"/>
      <c r="Z106" s="650"/>
      <c r="AA106" s="650"/>
      <c r="AB106" s="508"/>
      <c r="AC106" s="650"/>
      <c r="AD106" s="655"/>
    </row>
    <row r="107" spans="2:30">
      <c r="B107" s="645">
        <v>52</v>
      </c>
      <c r="C107" s="269"/>
      <c r="D107" s="658" t="s">
        <v>407</v>
      </c>
      <c r="E107" s="270" t="s">
        <v>402</v>
      </c>
      <c r="F107" s="271" t="s">
        <v>227</v>
      </c>
      <c r="G107" s="426">
        <v>3.9969999999999999</v>
      </c>
      <c r="H107" s="426">
        <v>5.2750000000000004</v>
      </c>
      <c r="I107" s="426">
        <v>4.1460809999999997</v>
      </c>
      <c r="J107" s="512">
        <v>5.994796</v>
      </c>
      <c r="K107" s="428">
        <v>0.13650000000000001</v>
      </c>
      <c r="L107" s="428">
        <v>0.1137</v>
      </c>
      <c r="M107" s="429">
        <v>46.394019999999998</v>
      </c>
      <c r="N107" s="500"/>
      <c r="O107" s="274">
        <v>17.2</v>
      </c>
      <c r="P107" s="308" t="s">
        <v>403</v>
      </c>
      <c r="R107" s="645">
        <f t="shared" ref="R107" si="373">IF(B107="","",B107)</f>
        <v>52</v>
      </c>
      <c r="S107" s="647" t="str">
        <f t="shared" ref="S107" si="374">IFERROR(IF(E108="","",E108),"")</f>
        <v>잔사_OC121</v>
      </c>
      <c r="T107" s="647" t="str">
        <f t="shared" ref="T107" si="375">IFERROR(IF(B107="","","Ref. 대비 차이"),"")</f>
        <v>Ref. 대비 차이</v>
      </c>
      <c r="U107" s="649">
        <f t="shared" ref="U107" si="376">IFERROR(IF(1-(G107/G108)="","",1-(G107/G108)),"")</f>
        <v>-7.5112669003507548E-4</v>
      </c>
      <c r="V107" s="649">
        <f t="shared" ref="V107" si="377">IFERROR(IF(1-(H107/H108)="","",1-(H107/H108)),"")</f>
        <v>3.228765364153352E-2</v>
      </c>
      <c r="W107" s="649">
        <f t="shared" ref="W107" si="378">IFERROR(IF(1-(I107/I108)="","",1-(I107/I108)),"")</f>
        <v>3.3014019623414548E-2</v>
      </c>
      <c r="X107" s="649">
        <f t="shared" ref="X107" si="379">IFERROR(IF(1-(J107/J108)="","",1-(J107/J108)),"")</f>
        <v>2.4144223000830412E-3</v>
      </c>
      <c r="Y107" s="649">
        <f t="shared" ref="Y107" si="380">IFERROR(IF(1-(K107/K108)="","",1-(K107/K108)),"")</f>
        <v>1.015228426395931E-2</v>
      </c>
      <c r="Z107" s="649">
        <f t="shared" ref="Z107" si="381">IFERROR(IF(1-(L107/L108)="","",1-(L107/L108)),"")</f>
        <v>3.2340425531914851E-2</v>
      </c>
      <c r="AA107" s="649">
        <f t="shared" ref="AA107" si="382">IFERROR(IF(1-(M107/M108)="","",1-(M107/M108)),"")</f>
        <v>-5.4535864228544284E-5</v>
      </c>
      <c r="AB107" s="507"/>
      <c r="AC107" s="649">
        <f t="shared" ref="AC107" si="383">-(1-O108/O107)</f>
        <v>-1.1627906976744096E-2</v>
      </c>
      <c r="AD107" s="654"/>
    </row>
    <row r="108" spans="2:30" ht="17.25" thickBot="1">
      <c r="B108" s="646"/>
      <c r="C108" s="276"/>
      <c r="D108" s="660"/>
      <c r="E108" s="282" t="s">
        <v>447</v>
      </c>
      <c r="F108" s="277" t="s">
        <v>222</v>
      </c>
      <c r="G108" s="488">
        <v>3.9940000000000002</v>
      </c>
      <c r="H108" s="488">
        <v>5.4509999999999996</v>
      </c>
      <c r="I108" s="488">
        <v>4.2876329999999996</v>
      </c>
      <c r="J108" s="514">
        <v>6.0093050000000003</v>
      </c>
      <c r="K108" s="489">
        <v>0.13789999999999999</v>
      </c>
      <c r="L108" s="489">
        <v>0.11749999999999999</v>
      </c>
      <c r="M108" s="527">
        <v>46.391489999999997</v>
      </c>
      <c r="N108" s="501"/>
      <c r="O108" s="280">
        <v>17</v>
      </c>
      <c r="P108" s="281"/>
      <c r="R108" s="646"/>
      <c r="S108" s="648"/>
      <c r="T108" s="648"/>
      <c r="U108" s="650"/>
      <c r="V108" s="650"/>
      <c r="W108" s="650"/>
      <c r="X108" s="650"/>
      <c r="Y108" s="650"/>
      <c r="Z108" s="650"/>
      <c r="AA108" s="650"/>
      <c r="AB108" s="508"/>
      <c r="AC108" s="650"/>
      <c r="AD108" s="655"/>
    </row>
    <row r="109" spans="2:30">
      <c r="B109" s="645">
        <v>53</v>
      </c>
      <c r="C109" s="269"/>
      <c r="D109" s="658" t="s">
        <v>407</v>
      </c>
      <c r="E109" s="270" t="s">
        <v>402</v>
      </c>
      <c r="F109" s="271" t="s">
        <v>227</v>
      </c>
      <c r="G109" s="426">
        <v>3.9969999999999999</v>
      </c>
      <c r="H109" s="426">
        <v>5.2750000000000004</v>
      </c>
      <c r="I109" s="426">
        <v>4.1460809999999997</v>
      </c>
      <c r="J109" s="512">
        <v>5.994796</v>
      </c>
      <c r="K109" s="428">
        <v>0.13650000000000001</v>
      </c>
      <c r="L109" s="428">
        <v>0.1137</v>
      </c>
      <c r="M109" s="429">
        <v>46.394019999999998</v>
      </c>
      <c r="N109" s="500"/>
      <c r="O109" s="274">
        <v>17.2</v>
      </c>
      <c r="P109" s="308" t="s">
        <v>403</v>
      </c>
      <c r="R109" s="645">
        <f t="shared" ref="R109" si="384">IF(B109="","",B109)</f>
        <v>53</v>
      </c>
      <c r="S109" s="647" t="str">
        <f t="shared" ref="S109" si="385">IFERROR(IF(E110="","",E110),"")</f>
        <v>잔사_OC221</v>
      </c>
      <c r="T109" s="647" t="str">
        <f t="shared" ref="T109" si="386">IFERROR(IF(B109="","","Ref. 대비 차이"),"")</f>
        <v>Ref. 대비 차이</v>
      </c>
      <c r="U109" s="649">
        <f t="shared" ref="U109" si="387">IFERROR(IF(1-(G109/G110)="","",1-(G109/G110)),"")</f>
        <v>-1.5033826108743487E-3</v>
      </c>
      <c r="V109" s="649">
        <f t="shared" ref="V109" si="388">IFERROR(IF(1-(H109/H110)="","",1-(H109/H110)),"")</f>
        <v>8.8312664411874797E-3</v>
      </c>
      <c r="W109" s="649">
        <f t="shared" ref="W109" si="389">IFERROR(IF(1-(I109/I110)="","",1-(I109/I110)),"")</f>
        <v>1.031911930147944E-2</v>
      </c>
      <c r="X109" s="649">
        <f t="shared" ref="X109" si="390">IFERROR(IF(1-(J109/J110)="","",1-(J109/J110)),"")</f>
        <v>4.2876054087541693E-3</v>
      </c>
      <c r="Y109" s="649">
        <f t="shared" ref="Y109" si="391">IFERROR(IF(1-(K109/K110)="","",1-(K109/K110)),"")</f>
        <v>2.1929824561403022E-3</v>
      </c>
      <c r="Z109" s="649">
        <f t="shared" ref="Z109" si="392">IFERROR(IF(1-(L109/L110)="","",1-(L109/L110)),"")</f>
        <v>3.5056967572304476E-3</v>
      </c>
      <c r="AA109" s="649">
        <f t="shared" ref="AA109" si="393">IFERROR(IF(1-(M109/M110)="","",1-(M109/M110)),"")</f>
        <v>5.344390298285151E-3</v>
      </c>
      <c r="AB109" s="507"/>
      <c r="AC109" s="649">
        <f t="shared" ref="AC109" si="394">-(1-O110/O109)</f>
        <v>-5.8139534883719923E-3</v>
      </c>
      <c r="AD109" s="654"/>
    </row>
    <row r="110" spans="2:30" ht="17.25" thickBot="1">
      <c r="B110" s="646"/>
      <c r="C110" s="276"/>
      <c r="D110" s="660"/>
      <c r="E110" s="282" t="s">
        <v>448</v>
      </c>
      <c r="F110" s="299" t="s">
        <v>232</v>
      </c>
      <c r="G110" s="476">
        <v>3.9910000000000001</v>
      </c>
      <c r="H110" s="476">
        <v>5.3220000000000001</v>
      </c>
      <c r="I110" s="476">
        <v>4.189311</v>
      </c>
      <c r="J110" s="517">
        <v>6.0206099999999996</v>
      </c>
      <c r="K110" s="477">
        <v>0.1368</v>
      </c>
      <c r="L110" s="477">
        <v>0.11409999999999999</v>
      </c>
      <c r="M110" s="529">
        <v>46.643300000000004</v>
      </c>
      <c r="N110" s="503"/>
      <c r="O110" s="280">
        <v>17.100000000000001</v>
      </c>
      <c r="P110" s="281"/>
      <c r="R110" s="646"/>
      <c r="S110" s="648"/>
      <c r="T110" s="648"/>
      <c r="U110" s="650"/>
      <c r="V110" s="650"/>
      <c r="W110" s="650"/>
      <c r="X110" s="650"/>
      <c r="Y110" s="650"/>
      <c r="Z110" s="650"/>
      <c r="AA110" s="650"/>
      <c r="AB110" s="508"/>
      <c r="AC110" s="650"/>
      <c r="AD110" s="655"/>
    </row>
    <row r="111" spans="2:30">
      <c r="B111" s="645">
        <v>54</v>
      </c>
      <c r="C111" s="269"/>
      <c r="D111" s="658" t="s">
        <v>407</v>
      </c>
      <c r="E111" s="270" t="s">
        <v>402</v>
      </c>
      <c r="F111" s="271" t="s">
        <v>227</v>
      </c>
      <c r="G111" s="426">
        <v>3.9969999999999999</v>
      </c>
      <c r="H111" s="426">
        <v>5.2750000000000004</v>
      </c>
      <c r="I111" s="426">
        <v>4.1460809999999997</v>
      </c>
      <c r="J111" s="512">
        <v>5.994796</v>
      </c>
      <c r="K111" s="428">
        <v>0.13650000000000001</v>
      </c>
      <c r="L111" s="428">
        <v>0.1137</v>
      </c>
      <c r="M111" s="429">
        <v>46.394019999999998</v>
      </c>
      <c r="N111" s="500"/>
      <c r="O111" s="274">
        <v>17.2</v>
      </c>
      <c r="P111" s="308" t="s">
        <v>403</v>
      </c>
      <c r="R111" s="645">
        <f t="shared" ref="R111" si="395">IF(B111="","",B111)</f>
        <v>54</v>
      </c>
      <c r="S111" s="647" t="str">
        <f t="shared" ref="S111" si="396">IFERROR(IF(E112="","",E112),"")</f>
        <v>잔사_OC311</v>
      </c>
      <c r="T111" s="647" t="str">
        <f t="shared" ref="T111" si="397">IFERROR(IF(B111="","","Ref. 대비 차이"),"")</f>
        <v>Ref. 대비 차이</v>
      </c>
      <c r="U111" s="649">
        <f t="shared" ref="U111" si="398">IFERROR(IF(1-(G111/G112)="","",1-(G111/G112)),"")</f>
        <v>-3.0112923462985997E-3</v>
      </c>
      <c r="V111" s="649">
        <f t="shared" ref="V111" si="399">IFERROR(IF(1-(H111/H112)="","",1-(H111/H112)),"")</f>
        <v>7.8991912732743197E-3</v>
      </c>
      <c r="W111" s="649">
        <f t="shared" ref="W111" si="400">IFERROR(IF(1-(I111/I112)="","",1-(I111/I112)),"")</f>
        <v>1.0877746543925149E-2</v>
      </c>
      <c r="X111" s="649">
        <f t="shared" ref="X111" si="401">IFERROR(IF(1-(J111/J112)="","",1-(J111/J112)),"")</f>
        <v>5.4503837234053387E-3</v>
      </c>
      <c r="Y111" s="649">
        <f t="shared" ref="Y111" si="402">IFERROR(IF(1-(K111/K112)="","",1-(K111/K112)),"")</f>
        <v>2.9218407596784957E-3</v>
      </c>
      <c r="Z111" s="649">
        <f t="shared" ref="Z111" si="403">IFERROR(IF(1-(L111/L112)="","",1-(L111/L112)),"")</f>
        <v>1.7559262510975504E-3</v>
      </c>
      <c r="AA111" s="649">
        <f t="shared" ref="AA111" si="404">IFERROR(IF(1-(M111/M112)="","",1-(M111/M112)),"")</f>
        <v>6.1540702593972929E-3</v>
      </c>
      <c r="AB111" s="507"/>
      <c r="AC111" s="649">
        <f t="shared" ref="AC111" si="405">-(1-O112/O111)</f>
        <v>-5.8139534883719923E-3</v>
      </c>
      <c r="AD111" s="654"/>
    </row>
    <row r="112" spans="2:30" ht="17.25" thickBot="1">
      <c r="B112" s="646"/>
      <c r="C112" s="276"/>
      <c r="D112" s="660"/>
      <c r="E112" s="282" t="s">
        <v>449</v>
      </c>
      <c r="F112" s="277" t="s">
        <v>237</v>
      </c>
      <c r="G112" s="488">
        <v>3.9849999999999999</v>
      </c>
      <c r="H112" s="488">
        <v>5.3170000000000002</v>
      </c>
      <c r="I112" s="488">
        <v>4.1916770000000003</v>
      </c>
      <c r="J112" s="514">
        <v>6.0276490000000003</v>
      </c>
      <c r="K112" s="489">
        <v>0.13689999999999999</v>
      </c>
      <c r="L112" s="489">
        <v>0.1139</v>
      </c>
      <c r="M112" s="527">
        <v>46.6813</v>
      </c>
      <c r="N112" s="501"/>
      <c r="O112" s="280">
        <v>17.100000000000001</v>
      </c>
      <c r="P112" s="281"/>
      <c r="R112" s="646"/>
      <c r="S112" s="648"/>
      <c r="T112" s="648"/>
      <c r="U112" s="650"/>
      <c r="V112" s="650"/>
      <c r="W112" s="650"/>
      <c r="X112" s="650"/>
      <c r="Y112" s="650"/>
      <c r="Z112" s="650"/>
      <c r="AA112" s="650"/>
      <c r="AB112" s="508"/>
      <c r="AC112" s="650"/>
      <c r="AD112" s="655"/>
    </row>
    <row r="113" spans="2:30">
      <c r="B113" s="645">
        <v>55</v>
      </c>
      <c r="C113" s="656">
        <v>180815</v>
      </c>
      <c r="D113" s="658" t="s">
        <v>408</v>
      </c>
      <c r="E113" s="270" t="s">
        <v>380</v>
      </c>
      <c r="F113" s="299" t="s">
        <v>228</v>
      </c>
      <c r="G113" s="476">
        <v>4.0019999999999998</v>
      </c>
      <c r="H113" s="476">
        <v>5.0579999999999998</v>
      </c>
      <c r="I113" s="476">
        <v>3.9705550000000001</v>
      </c>
      <c r="J113" s="517">
        <v>5.8955710000000003</v>
      </c>
      <c r="K113" s="477">
        <v>0.13730000000000001</v>
      </c>
      <c r="L113" s="477">
        <v>0.10929999999999999</v>
      </c>
      <c r="M113" s="529">
        <v>46.276304000000003</v>
      </c>
      <c r="N113" s="502"/>
      <c r="O113" s="274">
        <v>17.7</v>
      </c>
      <c r="P113" s="298" t="s">
        <v>387</v>
      </c>
      <c r="R113" s="645">
        <f t="shared" ref="R113" si="406">IF(B113="","",B113)</f>
        <v>55</v>
      </c>
      <c r="S113" s="647" t="str">
        <f t="shared" ref="S113" si="407">IFERROR(IF(E114="","",E114),"")</f>
        <v>101G18008</v>
      </c>
      <c r="T113" s="647" t="str">
        <f t="shared" ref="T113" si="408">IFERROR(IF(B113="","","Ref. 대비 차이"),"")</f>
        <v>Ref. 대비 차이</v>
      </c>
      <c r="U113" s="649">
        <f t="shared" ref="U113" si="409">IFERROR(IF(1-(G113/G114)="","",1-(G113/G114)),"")</f>
        <v>-3.2589621459011564E-3</v>
      </c>
      <c r="V113" s="649">
        <f t="shared" ref="V113" si="410">IFERROR(IF(1-(H113/H114)="","",1-(H113/H114)),"")</f>
        <v>1.9766752322603054E-4</v>
      </c>
      <c r="W113" s="649">
        <f t="shared" ref="W113" si="411">IFERROR(IF(1-(I113/I114)="","",1-(I113/I114)),"")</f>
        <v>3.4455383816862639E-3</v>
      </c>
      <c r="X113" s="649">
        <f t="shared" ref="X113" si="412">IFERROR(IF(1-(J113/J114)="","",1-(J113/J114)),"")</f>
        <v>-9.4939748721132311E-3</v>
      </c>
      <c r="Y113" s="649">
        <f t="shared" ref="Y113" si="413">IFERROR(IF(1-(K113/K114)="","",1-(K113/K114)),"")</f>
        <v>-2.9218407596787177E-3</v>
      </c>
      <c r="Z113" s="649">
        <f t="shared" ref="Z113" si="414">IFERROR(IF(1-(L113/L114)="","",1-(L113/L114)),"")</f>
        <v>1.4427412082957614E-2</v>
      </c>
      <c r="AA113" s="649">
        <f t="shared" ref="AA113" si="415">IFERROR(IF(1-(M113/M114)="","",1-(M113/M114)),"")</f>
        <v>-1.4438044342199419E-2</v>
      </c>
      <c r="AB113" s="507"/>
      <c r="AC113" s="649">
        <f t="shared" ref="AC113" si="416">-(1-O114/O113)</f>
        <v>-3.3898305084745672E-2</v>
      </c>
      <c r="AD113" s="654"/>
    </row>
    <row r="114" spans="2:30" ht="17.25" customHeight="1" thickBot="1">
      <c r="B114" s="646"/>
      <c r="C114" s="657"/>
      <c r="D114" s="660"/>
      <c r="E114" s="303" t="s">
        <v>406</v>
      </c>
      <c r="F114" s="299" t="s">
        <v>233</v>
      </c>
      <c r="G114" s="476">
        <v>3.9889999999999999</v>
      </c>
      <c r="H114" s="476">
        <v>5.0590000000000002</v>
      </c>
      <c r="I114" s="476">
        <v>3.984283</v>
      </c>
      <c r="J114" s="517">
        <v>5.8401249999999996</v>
      </c>
      <c r="K114" s="477">
        <v>0.13689999999999999</v>
      </c>
      <c r="L114" s="477">
        <v>0.1109</v>
      </c>
      <c r="M114" s="529">
        <v>45.617674000000001</v>
      </c>
      <c r="N114" s="503"/>
      <c r="O114" s="280">
        <v>17.100000000000001</v>
      </c>
      <c r="P114" s="281"/>
      <c r="R114" s="646"/>
      <c r="S114" s="648"/>
      <c r="T114" s="648"/>
      <c r="U114" s="650"/>
      <c r="V114" s="650"/>
      <c r="W114" s="650"/>
      <c r="X114" s="650"/>
      <c r="Y114" s="650"/>
      <c r="Z114" s="650"/>
      <c r="AA114" s="650"/>
      <c r="AB114" s="508"/>
      <c r="AC114" s="650"/>
      <c r="AD114" s="655"/>
    </row>
    <row r="115" spans="2:30">
      <c r="B115" s="645">
        <v>56</v>
      </c>
      <c r="C115" s="656">
        <v>180828</v>
      </c>
      <c r="D115" s="658" t="s">
        <v>414</v>
      </c>
      <c r="E115" s="270" t="s">
        <v>380</v>
      </c>
      <c r="F115" s="271" t="s">
        <v>217</v>
      </c>
      <c r="G115" s="426">
        <v>4.125</v>
      </c>
      <c r="H115" s="426">
        <v>5.2770000000000001</v>
      </c>
      <c r="I115" s="426">
        <v>4.0189500000000002</v>
      </c>
      <c r="J115" s="512">
        <v>6.017398</v>
      </c>
      <c r="K115" s="428">
        <v>0.1361</v>
      </c>
      <c r="L115" s="428">
        <v>0.1135</v>
      </c>
      <c r="M115" s="429">
        <v>46.493392</v>
      </c>
      <c r="N115" s="500"/>
      <c r="O115" s="274">
        <v>15.1</v>
      </c>
      <c r="P115" s="275"/>
      <c r="R115" s="645">
        <f t="shared" ref="R115" si="417">IF(B115="","",B115)</f>
        <v>56</v>
      </c>
      <c r="S115" s="647" t="str">
        <f t="shared" ref="S115" si="418">IFERROR(IF(E116="","",E116),"")</f>
        <v>101G18009</v>
      </c>
      <c r="T115" s="647" t="str">
        <f t="shared" ref="T115" si="419">IFERROR(IF(B115="","","Ref. 대비 차이"),"")</f>
        <v>Ref. 대비 차이</v>
      </c>
      <c r="U115" s="649">
        <f t="shared" ref="U115" si="420">IFERROR(IF(1-(G115/G116)="","",1-(G115/G116)),"")</f>
        <v>-2.9175784099195745E-3</v>
      </c>
      <c r="V115" s="649">
        <f t="shared" ref="V115" si="421">IFERROR(IF(1-(H115/H116)="","",1-(H115/H116)),"")</f>
        <v>-5.3343493998858627E-3</v>
      </c>
      <c r="W115" s="649">
        <f t="shared" ref="W115" si="422">IFERROR(IF(1-(I115/I116)="","",1-(I115/I116)),"")</f>
        <v>-2.409654180579146E-3</v>
      </c>
      <c r="X115" s="649">
        <f t="shared" ref="X115" si="423">IFERROR(IF(1-(J115/J116)="","",1-(J115/J116)),"")</f>
        <v>-7.5817310405235094E-3</v>
      </c>
      <c r="Y115" s="649">
        <f t="shared" ref="Y115" si="424">IFERROR(IF(1-(K115/K116)="","",1-(K115/K116)),"")</f>
        <v>7.3421439060195048E-4</v>
      </c>
      <c r="Z115" s="649">
        <f t="shared" ref="Z115" si="425">IFERROR(IF(1-(L115/L116)="","",1-(L115/L116)),"")</f>
        <v>-2.6501766784452485E-3</v>
      </c>
      <c r="AA115" s="649">
        <f t="shared" ref="AA115" si="426">IFERROR(IF(1-(M115/M116)="","",1-(M115/M116)),"")</f>
        <v>-2.6770754019829202E-3</v>
      </c>
      <c r="AB115" s="507"/>
      <c r="AC115" s="649">
        <f t="shared" ref="AC115" si="427">-(1-O116/O115)</f>
        <v>-1.3245033112582738E-2</v>
      </c>
      <c r="AD115" s="654"/>
    </row>
    <row r="116" spans="2:30" ht="17.25" thickBot="1">
      <c r="B116" s="646"/>
      <c r="C116" s="657"/>
      <c r="D116" s="660"/>
      <c r="E116" s="282" t="s">
        <v>416</v>
      </c>
      <c r="F116" s="277" t="s">
        <v>222</v>
      </c>
      <c r="G116" s="488">
        <v>4.1130000000000004</v>
      </c>
      <c r="H116" s="488">
        <v>5.2489999999999997</v>
      </c>
      <c r="I116" s="488">
        <v>4.0092889999999999</v>
      </c>
      <c r="J116" s="514">
        <v>5.9721190000000002</v>
      </c>
      <c r="K116" s="489">
        <v>0.13619999999999999</v>
      </c>
      <c r="L116" s="489">
        <v>0.1132</v>
      </c>
      <c r="M116" s="527">
        <v>46.369258000000002</v>
      </c>
      <c r="N116" s="501"/>
      <c r="O116" s="280">
        <v>14.9</v>
      </c>
      <c r="P116" s="281"/>
      <c r="R116" s="646"/>
      <c r="S116" s="648"/>
      <c r="T116" s="648"/>
      <c r="U116" s="650"/>
      <c r="V116" s="650"/>
      <c r="W116" s="650"/>
      <c r="X116" s="650"/>
      <c r="Y116" s="650"/>
      <c r="Z116" s="650"/>
      <c r="AA116" s="650"/>
      <c r="AB116" s="508"/>
      <c r="AC116" s="650"/>
      <c r="AD116" s="655"/>
    </row>
    <row r="117" spans="2:30">
      <c r="B117" s="645">
        <v>57</v>
      </c>
      <c r="C117" s="656">
        <v>180920</v>
      </c>
      <c r="D117" s="658" t="s">
        <v>420</v>
      </c>
      <c r="E117" s="270" t="s">
        <v>421</v>
      </c>
      <c r="F117" s="271" t="s">
        <v>214</v>
      </c>
      <c r="G117" s="426">
        <v>4.0119999999999996</v>
      </c>
      <c r="H117" s="426">
        <v>5.101</v>
      </c>
      <c r="I117" s="426">
        <v>3.9943300000000002</v>
      </c>
      <c r="J117" s="512">
        <v>5.9932179999999997</v>
      </c>
      <c r="K117" s="428">
        <v>0.1371</v>
      </c>
      <c r="L117" s="428">
        <v>0.108</v>
      </c>
      <c r="M117" s="429">
        <v>47.231481000000002</v>
      </c>
      <c r="N117" s="500"/>
      <c r="O117" s="274">
        <v>18.100000000000001</v>
      </c>
      <c r="P117" s="298" t="s">
        <v>387</v>
      </c>
      <c r="R117" s="645">
        <f t="shared" ref="R117" si="428">IF(B117="","",B117)</f>
        <v>57</v>
      </c>
      <c r="S117" s="647" t="str">
        <f t="shared" ref="S117" si="429">IFERROR(IF(E118="","",E118),"")</f>
        <v>101G18010</v>
      </c>
      <c r="T117" s="647" t="str">
        <f t="shared" ref="T117" si="430">IFERROR(IF(B117="","","Ref. 대비 차이"),"")</f>
        <v>Ref. 대비 차이</v>
      </c>
      <c r="U117" s="649">
        <f t="shared" ref="U117" si="431">IFERROR(IF(1-(G117/G118)="","",1-(G117/G118)),"")</f>
        <v>0</v>
      </c>
      <c r="V117" s="649">
        <f t="shared" ref="V117" si="432">IFERROR(IF(1-(H117/H118)="","",1-(H117/H118)),"")</f>
        <v>1.1242488854429133E-2</v>
      </c>
      <c r="W117" s="649">
        <f t="shared" ref="W117" si="433">IFERROR(IF(1-(I117/I118)="","",1-(I117/I118)),"")</f>
        <v>1.1242290975719715E-2</v>
      </c>
      <c r="X117" s="649">
        <f t="shared" ref="X117" si="434">IFERROR(IF(1-(J117/J118)="","",1-(J117/J118)),"")</f>
        <v>-4.6396470394969302E-3</v>
      </c>
      <c r="Y117" s="649">
        <f t="shared" ref="Y117" si="435">IFERROR(IF(1-(K117/K118)="","",1-(K117/K118)),"")</f>
        <v>-5.8694057226704732E-3</v>
      </c>
      <c r="Z117" s="649">
        <f t="shared" ref="Z117" si="436">IFERROR(IF(1-(L117/L118)="","",1-(L117/L118)),"")</f>
        <v>2.7027027027027084E-2</v>
      </c>
      <c r="AA117" s="649">
        <f t="shared" ref="AA117" si="437">IFERROR(IF(1-(M117/M118)="","",1-(M117/M118)),"")</f>
        <v>-1.62229976467958E-2</v>
      </c>
      <c r="AB117" s="507"/>
      <c r="AC117" s="649">
        <f t="shared" ref="AC117" si="438">-(1-O118/O117)</f>
        <v>-1.6574585635359185E-2</v>
      </c>
      <c r="AD117" s="654"/>
    </row>
    <row r="118" spans="2:30" ht="17.25" thickBot="1">
      <c r="B118" s="646"/>
      <c r="C118" s="657"/>
      <c r="D118" s="660"/>
      <c r="E118" s="282" t="s">
        <v>419</v>
      </c>
      <c r="F118" s="277" t="s">
        <v>242</v>
      </c>
      <c r="G118" s="488">
        <v>4.0119999999999996</v>
      </c>
      <c r="H118" s="488">
        <v>5.1589999999999998</v>
      </c>
      <c r="I118" s="488">
        <v>4.0397460000000001</v>
      </c>
      <c r="J118" s="514">
        <v>5.9655399999999998</v>
      </c>
      <c r="K118" s="489">
        <v>0.1363</v>
      </c>
      <c r="L118" s="489">
        <v>0.111</v>
      </c>
      <c r="M118" s="527">
        <v>46.477477</v>
      </c>
      <c r="N118" s="501"/>
      <c r="O118" s="280">
        <v>17.8</v>
      </c>
      <c r="P118" s="281"/>
      <c r="R118" s="646"/>
      <c r="S118" s="648"/>
      <c r="T118" s="648"/>
      <c r="U118" s="650"/>
      <c r="V118" s="650"/>
      <c r="W118" s="650"/>
      <c r="X118" s="650"/>
      <c r="Y118" s="650"/>
      <c r="Z118" s="650"/>
      <c r="AA118" s="650"/>
      <c r="AB118" s="508"/>
      <c r="AC118" s="650"/>
      <c r="AD118" s="655"/>
    </row>
    <row r="119" spans="2:30">
      <c r="B119" s="645">
        <v>58</v>
      </c>
      <c r="C119" s="656">
        <v>181017</v>
      </c>
      <c r="D119" s="658" t="s">
        <v>425</v>
      </c>
      <c r="E119" s="270" t="s">
        <v>422</v>
      </c>
      <c r="F119" s="271" t="s">
        <v>213</v>
      </c>
      <c r="G119" s="426">
        <v>4.0039999999999996</v>
      </c>
      <c r="H119" s="426">
        <v>5.1420000000000003</v>
      </c>
      <c r="I119" s="426">
        <v>4.0344790000000001</v>
      </c>
      <c r="J119" s="512">
        <v>5.9410689999999997</v>
      </c>
      <c r="K119" s="428">
        <v>0.13650000000000001</v>
      </c>
      <c r="L119" s="428">
        <v>0.1108</v>
      </c>
      <c r="M119" s="429">
        <v>46.407941999999998</v>
      </c>
      <c r="N119" s="500"/>
      <c r="O119" s="274">
        <v>11.9</v>
      </c>
      <c r="P119" s="275" t="s">
        <v>424</v>
      </c>
      <c r="R119" s="645">
        <f t="shared" ref="R119" si="439">IF(B119="","",B119)</f>
        <v>58</v>
      </c>
      <c r="S119" s="647" t="str">
        <f t="shared" ref="S119" si="440">IFERROR(IF(E120="","",E120),"")</f>
        <v>101G18011</v>
      </c>
      <c r="T119" s="647" t="str">
        <f t="shared" ref="T119" si="441">IFERROR(IF(B119="","","Ref. 대비 차이"),"")</f>
        <v>Ref. 대비 차이</v>
      </c>
      <c r="U119" s="649">
        <f t="shared" ref="U119" si="442">IFERROR(IF(1-(G119/G120)="","",1-(G119/G120)),"")</f>
        <v>9.9800399201610546E-4</v>
      </c>
      <c r="V119" s="649">
        <f t="shared" ref="V119" si="443">IFERROR(IF(1-(H119/H120)="","",1-(H119/H120)),"")</f>
        <v>8.8666152659983011E-3</v>
      </c>
      <c r="W119" s="649">
        <f t="shared" ref="W119" si="444">IFERROR(IF(1-(I119/I120)="","",1-(I119/I120)),"")</f>
        <v>7.8765348853279127E-3</v>
      </c>
      <c r="X119" s="649">
        <f t="shared" ref="X119" si="445">IFERROR(IF(1-(J119/J120)="","",1-(J119/J120)),"")</f>
        <v>-1.577453524378658E-3</v>
      </c>
      <c r="Y119" s="649">
        <f t="shared" ref="Y119" si="446">IFERROR(IF(1-(K119/K120)="","",1-(K119/K120)),"")</f>
        <v>-1.4673514306677848E-3</v>
      </c>
      <c r="Z119" s="649">
        <f t="shared" ref="Z119" si="447">IFERROR(IF(1-(L119/L120)="","",1-(L119/L120)),"")</f>
        <v>1.4234875444839923E-2</v>
      </c>
      <c r="AA119" s="649">
        <f t="shared" ref="AA119" si="448">IFERROR(IF(1-(M119/M120)="","",1-(M119/M120)),"")</f>
        <v>-5.4457669571039702E-3</v>
      </c>
      <c r="AB119" s="507"/>
      <c r="AC119" s="649">
        <f t="shared" ref="AC119" si="449">-(1-O120/O119)</f>
        <v>-1.6806722689075682E-2</v>
      </c>
      <c r="AD119" s="654"/>
    </row>
    <row r="120" spans="2:30" ht="17.25" customHeight="1" thickBot="1">
      <c r="B120" s="646"/>
      <c r="C120" s="657"/>
      <c r="D120" s="660"/>
      <c r="E120" s="282" t="s">
        <v>423</v>
      </c>
      <c r="F120" s="277" t="s">
        <v>241</v>
      </c>
      <c r="G120" s="488">
        <v>4.008</v>
      </c>
      <c r="H120" s="488">
        <v>5.1879999999999997</v>
      </c>
      <c r="I120" s="488">
        <v>4.0665089999999999</v>
      </c>
      <c r="J120" s="514">
        <v>5.9317120000000001</v>
      </c>
      <c r="K120" s="489">
        <v>0.1363</v>
      </c>
      <c r="L120" s="489">
        <v>0.1124</v>
      </c>
      <c r="M120" s="527">
        <v>46.156584000000002</v>
      </c>
      <c r="N120" s="501"/>
      <c r="O120" s="280">
        <v>11.7</v>
      </c>
      <c r="P120" s="396" t="s">
        <v>450</v>
      </c>
      <c r="R120" s="646"/>
      <c r="S120" s="648"/>
      <c r="T120" s="648"/>
      <c r="U120" s="650"/>
      <c r="V120" s="650"/>
      <c r="W120" s="650"/>
      <c r="X120" s="650"/>
      <c r="Y120" s="650"/>
      <c r="Z120" s="650"/>
      <c r="AA120" s="650"/>
      <c r="AB120" s="508"/>
      <c r="AC120" s="650"/>
      <c r="AD120" s="655"/>
    </row>
    <row r="121" spans="2:30">
      <c r="B121" s="645">
        <v>59</v>
      </c>
      <c r="C121" s="656">
        <v>181017</v>
      </c>
      <c r="D121" s="663" t="s">
        <v>426</v>
      </c>
      <c r="E121" s="270" t="s">
        <v>422</v>
      </c>
      <c r="F121" s="271" t="s">
        <v>244</v>
      </c>
      <c r="G121" s="426">
        <v>4.0010000000000003</v>
      </c>
      <c r="H121" s="426">
        <v>5.1929999999999996</v>
      </c>
      <c r="I121" s="426">
        <v>4.0775499999999996</v>
      </c>
      <c r="J121" s="512">
        <v>5.9762740000000001</v>
      </c>
      <c r="K121" s="428">
        <v>0.1366</v>
      </c>
      <c r="L121" s="428">
        <v>0.1114</v>
      </c>
      <c r="M121" s="429">
        <v>46.615799000000003</v>
      </c>
      <c r="N121" s="500"/>
      <c r="O121" s="274"/>
      <c r="P121" s="275"/>
      <c r="R121" s="645">
        <f t="shared" ref="R121" si="450">IF(B121="","",B121)</f>
        <v>59</v>
      </c>
      <c r="S121" s="647" t="str">
        <f t="shared" ref="S121" si="451">IFERROR(IF(E122="","",E122),"")</f>
        <v>101G18011</v>
      </c>
      <c r="T121" s="647" t="str">
        <f t="shared" ref="T121" si="452">IFERROR(IF(B121="","","Ref. 대비 차이"),"")</f>
        <v>Ref. 대비 차이</v>
      </c>
      <c r="U121" s="649">
        <f t="shared" ref="U121" si="453">IFERROR(IF(1-(G121/G122)="","",1-(G121/G122)),"")</f>
        <v>0</v>
      </c>
      <c r="V121" s="649">
        <f t="shared" ref="V121" si="454">IFERROR(IF(1-(H121/H122)="","",1-(H121/H122)),"")</f>
        <v>2.4971187091819003E-3</v>
      </c>
      <c r="W121" s="649">
        <f t="shared" ref="W121" si="455">IFERROR(IF(1-(I121/I122)="","",1-(I121/I122)),"")</f>
        <v>2.4969683863302894E-3</v>
      </c>
      <c r="X121" s="649">
        <f t="shared" ref="X121" si="456">IFERROR(IF(1-(J121/J122)="","",1-(J121/J122)),"")</f>
        <v>2.2530084215267587E-3</v>
      </c>
      <c r="Y121" s="649">
        <f t="shared" ref="Y121" si="457">IFERROR(IF(1-(K121/K122)="","",1-(K121/K122)),"")</f>
        <v>-7.3260073260073E-4</v>
      </c>
      <c r="Z121" s="649">
        <f t="shared" ref="Z121" si="458">IFERROR(IF(1-(L121/L122)="","",1-(L121/L122)),"")</f>
        <v>2.6857654431512445E-3</v>
      </c>
      <c r="AA121" s="649">
        <f t="shared" ref="AA121" si="459">IFERROR(IF(1-(M121/M122)="","",1-(M121/M122)),"")</f>
        <v>-1.8915620433967995E-4</v>
      </c>
      <c r="AB121" s="507"/>
      <c r="AC121" s="649" t="e">
        <f t="shared" ref="AC121" si="460">-(1-O122/O121)</f>
        <v>#DIV/0!</v>
      </c>
      <c r="AD121" s="654"/>
    </row>
    <row r="122" spans="2:30" ht="17.25" thickBot="1">
      <c r="B122" s="646"/>
      <c r="C122" s="657"/>
      <c r="D122" s="664"/>
      <c r="E122" s="282" t="s">
        <v>423</v>
      </c>
      <c r="F122" s="277" t="s">
        <v>250</v>
      </c>
      <c r="G122" s="488">
        <v>4.0010000000000003</v>
      </c>
      <c r="H122" s="488">
        <v>5.2060000000000004</v>
      </c>
      <c r="I122" s="488">
        <v>4.0877569999999999</v>
      </c>
      <c r="J122" s="514">
        <v>5.9897689999999999</v>
      </c>
      <c r="K122" s="489">
        <v>0.13650000000000001</v>
      </c>
      <c r="L122" s="489">
        <v>0.11169999999999999</v>
      </c>
      <c r="M122" s="527">
        <v>46.606983</v>
      </c>
      <c r="N122" s="501"/>
      <c r="O122" s="280"/>
      <c r="P122" s="281"/>
      <c r="R122" s="646"/>
      <c r="S122" s="648"/>
      <c r="T122" s="648"/>
      <c r="U122" s="650"/>
      <c r="V122" s="650"/>
      <c r="W122" s="650"/>
      <c r="X122" s="650"/>
      <c r="Y122" s="650"/>
      <c r="Z122" s="650"/>
      <c r="AA122" s="650"/>
      <c r="AB122" s="508"/>
      <c r="AC122" s="650"/>
      <c r="AD122" s="655"/>
    </row>
    <row r="123" spans="2:30">
      <c r="B123" s="645">
        <v>60</v>
      </c>
      <c r="C123" s="656">
        <v>181206</v>
      </c>
      <c r="D123" s="658" t="s">
        <v>431</v>
      </c>
      <c r="E123" s="270" t="s">
        <v>544</v>
      </c>
      <c r="F123" s="271" t="s">
        <v>213</v>
      </c>
      <c r="G123" s="426">
        <v>4.069</v>
      </c>
      <c r="H123" s="426">
        <v>5.0540000000000003</v>
      </c>
      <c r="I123" s="426">
        <v>3.902088</v>
      </c>
      <c r="J123" s="512">
        <v>5.8469740000000003</v>
      </c>
      <c r="K123" s="428">
        <v>0.13650000000000001</v>
      </c>
      <c r="L123" s="428">
        <v>0.1109</v>
      </c>
      <c r="M123" s="429">
        <v>45.572588000000003</v>
      </c>
      <c r="N123" s="500"/>
      <c r="O123" s="274">
        <v>11.6</v>
      </c>
      <c r="P123" s="275" t="s">
        <v>387</v>
      </c>
      <c r="R123" s="645">
        <f t="shared" ref="R123" si="461">IF(B123="","",B123)</f>
        <v>60</v>
      </c>
      <c r="S123" s="647" t="str">
        <f t="shared" ref="S123" si="462">IFERROR(IF(E124="","",E124),"")</f>
        <v>101G18012</v>
      </c>
      <c r="T123" s="647" t="str">
        <f t="shared" ref="T123" si="463">IFERROR(IF(B123="","","Ref. 대비 차이"),"")</f>
        <v>Ref. 대비 차이</v>
      </c>
      <c r="U123" s="649">
        <f t="shared" ref="U123" si="464">IFERROR(IF(1-(G123/G124)="","",1-(G123/G124)),"")</f>
        <v>-3.9476930668640442E-3</v>
      </c>
      <c r="V123" s="649">
        <f t="shared" ref="V123" si="465">IFERROR(IF(1-(H123/H124)="","",1-(H123/H124)),"")</f>
        <v>-1.0395841663334737E-2</v>
      </c>
      <c r="W123" s="649">
        <f t="shared" ref="W123" si="466">IFERROR(IF(1-(I123/I124)="","",1-(I123/I124)),"")</f>
        <v>-6.4226993494767015E-3</v>
      </c>
      <c r="X123" s="649">
        <f t="shared" ref="X123" si="467">IFERROR(IF(1-(J123/J124)="","",1-(J123/J124)),"")</f>
        <v>-1.8000778259571248E-2</v>
      </c>
      <c r="Y123" s="649">
        <f t="shared" ref="Y123" si="468">IFERROR(IF(1-(K123/K124)="","",1-(K123/K124)),"")</f>
        <v>-1.4673514306677848E-3</v>
      </c>
      <c r="Z123" s="649">
        <f t="shared" ref="Z123" si="469">IFERROR(IF(1-(L123/L124)="","",1-(L123/L124)),"")</f>
        <v>8.0500894454382799E-3</v>
      </c>
      <c r="AA123" s="649">
        <f t="shared" ref="AA123" si="470">IFERROR(IF(1-(M123/M124)="","",1-(M123/M124)),"")</f>
        <v>-1.8595634641353165E-2</v>
      </c>
      <c r="AB123" s="507"/>
      <c r="AC123" s="649">
        <f t="shared" ref="AC123" si="471">-(1-O124/O123)</f>
        <v>3.4482758620689724E-2</v>
      </c>
      <c r="AD123" s="654"/>
    </row>
    <row r="124" spans="2:30" ht="17.25" thickBot="1">
      <c r="B124" s="646"/>
      <c r="C124" s="657"/>
      <c r="D124" s="660"/>
      <c r="E124" s="282" t="s">
        <v>432</v>
      </c>
      <c r="F124" s="277" t="s">
        <v>247</v>
      </c>
      <c r="G124" s="488">
        <v>4.0529999999999999</v>
      </c>
      <c r="H124" s="488">
        <v>5.0019999999999998</v>
      </c>
      <c r="I124" s="488">
        <v>3.877186</v>
      </c>
      <c r="J124" s="514">
        <v>5.7435850000000004</v>
      </c>
      <c r="K124" s="489">
        <v>0.1363</v>
      </c>
      <c r="L124" s="489">
        <v>0.1118</v>
      </c>
      <c r="M124" s="527">
        <v>44.740608000000002</v>
      </c>
      <c r="N124" s="501"/>
      <c r="O124" s="280">
        <v>12</v>
      </c>
      <c r="P124" s="396" t="s">
        <v>450</v>
      </c>
      <c r="R124" s="646"/>
      <c r="S124" s="648"/>
      <c r="T124" s="648"/>
      <c r="U124" s="650"/>
      <c r="V124" s="650"/>
      <c r="W124" s="650"/>
      <c r="X124" s="650"/>
      <c r="Y124" s="650"/>
      <c r="Z124" s="650"/>
      <c r="AA124" s="650"/>
      <c r="AB124" s="508"/>
      <c r="AC124" s="650"/>
      <c r="AD124" s="655"/>
    </row>
    <row r="125" spans="2:30">
      <c r="B125" s="645">
        <v>61</v>
      </c>
      <c r="C125" s="656">
        <v>181217</v>
      </c>
      <c r="D125" s="658" t="s">
        <v>541</v>
      </c>
      <c r="E125" s="270" t="s">
        <v>545</v>
      </c>
      <c r="F125" s="271" t="s">
        <v>228</v>
      </c>
      <c r="G125" s="426">
        <v>4.056</v>
      </c>
      <c r="H125" s="426">
        <v>4.9619999999999997</v>
      </c>
      <c r="I125" s="426">
        <v>3.8433359999999999</v>
      </c>
      <c r="J125" s="512">
        <v>5.7820929999999997</v>
      </c>
      <c r="K125" s="428">
        <v>0.1366</v>
      </c>
      <c r="L125" s="428">
        <v>0.10970000000000001</v>
      </c>
      <c r="M125" s="429">
        <v>45.232452000000002</v>
      </c>
      <c r="N125" s="500"/>
      <c r="O125" s="274">
        <v>16.7</v>
      </c>
      <c r="P125" s="275"/>
      <c r="R125" s="645">
        <f t="shared" ref="R125" si="472">IF(B125="","",B125)</f>
        <v>61</v>
      </c>
      <c r="S125" s="647" t="str">
        <f t="shared" ref="S125" si="473">IFERROR(IF(E126="","",E126),"")</f>
        <v>101G18013</v>
      </c>
      <c r="T125" s="647" t="str">
        <f t="shared" ref="T125" si="474">IFERROR(IF(B125="","","Ref. 대비 차이"),"")</f>
        <v>Ref. 대비 차이</v>
      </c>
      <c r="U125" s="649">
        <f t="shared" ref="U125" si="475">IFERROR(IF(1-(G125/G126)="","",1-(G125/G126)),"")</f>
        <v>2.4648755237866027E-4</v>
      </c>
      <c r="V125" s="649">
        <f t="shared" ref="V125" si="476">IFERROR(IF(1-(H125/H126)="","",1-(H125/H126)),"")</f>
        <v>2.2119445003015992E-3</v>
      </c>
      <c r="W125" s="649">
        <f t="shared" ref="W125" si="477">IFERROR(IF(1-(I125/I126)="","",1-(I125/I126)),"")</f>
        <v>1.9657711717711024E-3</v>
      </c>
      <c r="X125" s="649">
        <f t="shared" ref="X125" si="478">IFERROR(IF(1-(J125/J126)="","",1-(J125/J126)),"")</f>
        <v>-8.375951619921107E-4</v>
      </c>
      <c r="Y125" s="649">
        <f t="shared" ref="Y125" si="479">IFERROR(IF(1-(K125/K126)="","",1-(K125/K126)),"")</f>
        <v>0</v>
      </c>
      <c r="Z125" s="649">
        <f t="shared" ref="Z125" si="480">IFERROR(IF(1-(L125/L126)="","",1-(L125/L126)),"")</f>
        <v>4.5372050816696596E-3</v>
      </c>
      <c r="AA125" s="649">
        <f t="shared" ref="AA125" si="481">IFERROR(IF(1-(M125/M126)="","",1-(M125/M126)),"")</f>
        <v>-2.3358499766059637E-3</v>
      </c>
      <c r="AB125" s="507"/>
      <c r="AC125" s="649">
        <f t="shared" ref="AC125" si="482">-(1-O126/O125)</f>
        <v>-2.39520958083832E-2</v>
      </c>
      <c r="AD125" s="654"/>
    </row>
    <row r="126" spans="2:30" ht="17.25" thickBot="1">
      <c r="B126" s="646"/>
      <c r="C126" s="657"/>
      <c r="D126" s="660"/>
      <c r="E126" s="282" t="s">
        <v>542</v>
      </c>
      <c r="F126" s="277" t="s">
        <v>232</v>
      </c>
      <c r="G126" s="488">
        <v>4.0570000000000004</v>
      </c>
      <c r="H126" s="488">
        <v>4.9729999999999999</v>
      </c>
      <c r="I126" s="488">
        <v>3.8509060000000002</v>
      </c>
      <c r="J126" s="514">
        <v>5.7772540000000001</v>
      </c>
      <c r="K126" s="489">
        <v>0.1366</v>
      </c>
      <c r="L126" s="489">
        <v>0.11020000000000001</v>
      </c>
      <c r="M126" s="527">
        <v>45.127042000000003</v>
      </c>
      <c r="N126" s="501"/>
      <c r="O126" s="280">
        <v>16.3</v>
      </c>
      <c r="P126" s="281"/>
      <c r="R126" s="646"/>
      <c r="S126" s="648"/>
      <c r="T126" s="648"/>
      <c r="U126" s="650"/>
      <c r="V126" s="650"/>
      <c r="W126" s="650"/>
      <c r="X126" s="650"/>
      <c r="Y126" s="650"/>
      <c r="Z126" s="650"/>
      <c r="AA126" s="650"/>
      <c r="AB126" s="508"/>
      <c r="AC126" s="650"/>
      <c r="AD126" s="655"/>
    </row>
    <row r="127" spans="2:30">
      <c r="B127" s="645">
        <v>62</v>
      </c>
      <c r="C127" s="656">
        <v>190201</v>
      </c>
      <c r="D127" s="658" t="s">
        <v>543</v>
      </c>
      <c r="E127" s="270" t="s">
        <v>544</v>
      </c>
      <c r="F127" s="271" t="s">
        <v>227</v>
      </c>
      <c r="G127" s="426">
        <v>4.0149999999999997</v>
      </c>
      <c r="H127" s="426">
        <v>5.0960000000000001</v>
      </c>
      <c r="I127" s="426">
        <v>3.9874329999999998</v>
      </c>
      <c r="J127" s="512">
        <v>5.9168830000000003</v>
      </c>
      <c r="K127" s="428">
        <v>0.1363</v>
      </c>
      <c r="L127" s="428">
        <v>0.11020000000000001</v>
      </c>
      <c r="M127" s="429">
        <v>46.243194000000003</v>
      </c>
      <c r="N127" s="500"/>
      <c r="O127" s="274">
        <v>13.3</v>
      </c>
      <c r="P127" s="275"/>
      <c r="R127" s="645">
        <f t="shared" ref="R127" si="483">IF(B127="","",B127)</f>
        <v>62</v>
      </c>
      <c r="S127" s="647" t="str">
        <f t="shared" ref="S127" si="484">IFERROR(IF(E128="","",E128),"")</f>
        <v>101G19001</v>
      </c>
      <c r="T127" s="647" t="str">
        <f t="shared" ref="T127" si="485">IFERROR(IF(B127="","","Ref. 대비 차이"),"")</f>
        <v>Ref. 대비 차이</v>
      </c>
      <c r="U127" s="649">
        <f t="shared" ref="U127:AA127" si="486">IFERROR(IF(1-(G127/G128)="","",1-(G127/G128)),"")</f>
        <v>-1.2468827930174342E-3</v>
      </c>
      <c r="V127" s="649">
        <f t="shared" si="486"/>
        <v>1.37174211248281E-3</v>
      </c>
      <c r="W127" s="649">
        <f t="shared" si="486"/>
        <v>2.6153802669358628E-3</v>
      </c>
      <c r="X127" s="649">
        <f t="shared" si="486"/>
        <v>-2.9218707227300911E-3</v>
      </c>
      <c r="Y127" s="649">
        <f t="shared" si="486"/>
        <v>-2.2058823529411686E-3</v>
      </c>
      <c r="Z127" s="649">
        <f t="shared" si="486"/>
        <v>9.8831985624437957E-3</v>
      </c>
      <c r="AA127" s="649">
        <f t="shared" si="486"/>
        <v>-8.5964036294137181E-3</v>
      </c>
      <c r="AB127" s="507"/>
      <c r="AC127" s="649">
        <f>-(1-O128/O127)</f>
        <v>-3.007518796992481E-2</v>
      </c>
      <c r="AD127" s="654"/>
    </row>
    <row r="128" spans="2:30" ht="17.25" thickBot="1">
      <c r="B128" s="646"/>
      <c r="C128" s="657"/>
      <c r="D128" s="659"/>
      <c r="E128" s="282" t="s">
        <v>546</v>
      </c>
      <c r="F128" s="277" t="s">
        <v>232</v>
      </c>
      <c r="G128" s="488">
        <v>4.01</v>
      </c>
      <c r="H128" s="488">
        <v>5.1029999999999998</v>
      </c>
      <c r="I128" s="488">
        <v>3.9978889999999998</v>
      </c>
      <c r="J128" s="514">
        <v>5.8996449999999996</v>
      </c>
      <c r="K128" s="489">
        <v>0.13600000000000001</v>
      </c>
      <c r="L128" s="489">
        <v>0.1113</v>
      </c>
      <c r="M128" s="527">
        <v>45.849057000000002</v>
      </c>
      <c r="N128" s="501"/>
      <c r="O128" s="280">
        <v>12.9</v>
      </c>
      <c r="P128" s="281"/>
      <c r="R128" s="646"/>
      <c r="S128" s="648"/>
      <c r="T128" s="648"/>
      <c r="U128" s="650"/>
      <c r="V128" s="650"/>
      <c r="W128" s="650"/>
      <c r="X128" s="650"/>
      <c r="Y128" s="650"/>
      <c r="Z128" s="650"/>
      <c r="AA128" s="650"/>
      <c r="AB128" s="508"/>
      <c r="AC128" s="650"/>
      <c r="AD128" s="655"/>
    </row>
    <row r="129" spans="2:30">
      <c r="B129" s="645">
        <v>63</v>
      </c>
      <c r="C129" s="656">
        <v>190421</v>
      </c>
      <c r="D129" s="658" t="s">
        <v>552</v>
      </c>
      <c r="E129" s="270" t="s">
        <v>544</v>
      </c>
      <c r="F129" s="271" t="s">
        <v>245</v>
      </c>
      <c r="G129" s="426">
        <v>4.01</v>
      </c>
      <c r="H129" s="426">
        <v>4.99</v>
      </c>
      <c r="I129" s="426">
        <v>3.9093599999999999</v>
      </c>
      <c r="J129" s="512">
        <v>5.8678819999999998</v>
      </c>
      <c r="K129" s="428">
        <v>0.13830000000000001</v>
      </c>
      <c r="L129" s="428">
        <v>0.1069</v>
      </c>
      <c r="M129" s="429">
        <v>46.679138999999999</v>
      </c>
      <c r="N129" s="500"/>
      <c r="O129" s="274">
        <v>15.2</v>
      </c>
      <c r="P129" s="275"/>
      <c r="R129" s="645">
        <f t="shared" ref="R129" si="487">IF(B129="","",B129)</f>
        <v>63</v>
      </c>
      <c r="S129" s="647" t="str">
        <f t="shared" ref="S129" si="488">IFERROR(IF(E130="","",E130),"")</f>
        <v>101G19002</v>
      </c>
      <c r="T129" s="647" t="str">
        <f t="shared" ref="T129" si="489">IFERROR(IF(B129="","","Ref. 대비 차이"),"")</f>
        <v>Ref. 대비 차이</v>
      </c>
      <c r="U129" s="649">
        <f t="shared" ref="U129" si="490">IFERROR(IF(1-(G129/G130)="","",1-(G129/G130)),"")</f>
        <v>-1.2484394506866447E-3</v>
      </c>
      <c r="V129" s="649">
        <f t="shared" ref="V129" si="491">IFERROR(IF(1-(H129/H130)="","",1-(H129/H130)),"")</f>
        <v>6.1740689105754809E-3</v>
      </c>
      <c r="W129" s="649">
        <f t="shared" ref="W129" si="492">IFERROR(IF(1-(I129/I130)="","",1-(I129/I130)),"")</f>
        <v>7.413373117775568E-3</v>
      </c>
      <c r="X129" s="649">
        <f t="shared" ref="X129" si="493">IFERROR(IF(1-(J129/J130)="","",1-(J129/J130)),"")</f>
        <v>7.9339826638556987E-3</v>
      </c>
      <c r="Y129" s="649">
        <f t="shared" ref="Y129" si="494">IFERROR(IF(1-(K129/K130)="","",1-(K129/K130)),"")</f>
        <v>-1.4482259232440065E-3</v>
      </c>
      <c r="Z129" s="649">
        <f t="shared" ref="Z129" si="495">IFERROR(IF(1-(L129/L130)="","",1-(L129/L130)),"")</f>
        <v>-9.3632958801492805E-4</v>
      </c>
      <c r="AA129" s="649">
        <f t="shared" ref="AA129" si="496">IFERROR(IF(1-(M129/M130)="","",1-(M129/M130)),"")</f>
        <v>7.103763335456037E-3</v>
      </c>
      <c r="AB129" s="507"/>
      <c r="AC129" s="649">
        <f t="shared" ref="AC129" si="497">-(1-O130/O129)</f>
        <v>-1.3157894736842035E-2</v>
      </c>
      <c r="AD129" s="654"/>
    </row>
    <row r="130" spans="2:30" ht="17.25" thickBot="1">
      <c r="B130" s="646"/>
      <c r="C130" s="657"/>
      <c r="D130" s="659"/>
      <c r="E130" s="282" t="s">
        <v>553</v>
      </c>
      <c r="F130" s="277" t="s">
        <v>248</v>
      </c>
      <c r="G130" s="488">
        <v>4.0049999999999999</v>
      </c>
      <c r="H130" s="488">
        <v>5.0209999999999999</v>
      </c>
      <c r="I130" s="488">
        <v>3.938558</v>
      </c>
      <c r="J130" s="514">
        <v>5.9148100000000001</v>
      </c>
      <c r="K130" s="489">
        <v>0.1381</v>
      </c>
      <c r="L130" s="489">
        <v>0.10680000000000001</v>
      </c>
      <c r="M130" s="527">
        <v>47.013109</v>
      </c>
      <c r="N130" s="501"/>
      <c r="O130" s="280">
        <v>15</v>
      </c>
      <c r="P130" s="281"/>
      <c r="R130" s="646"/>
      <c r="S130" s="648"/>
      <c r="T130" s="648"/>
      <c r="U130" s="650"/>
      <c r="V130" s="650"/>
      <c r="W130" s="650"/>
      <c r="X130" s="650"/>
      <c r="Y130" s="650"/>
      <c r="Z130" s="650"/>
      <c r="AA130" s="650"/>
      <c r="AB130" s="508"/>
      <c r="AC130" s="650"/>
      <c r="AD130" s="655"/>
    </row>
    <row r="131" spans="2:30">
      <c r="B131" s="645">
        <v>64</v>
      </c>
      <c r="C131" s="656">
        <v>190827</v>
      </c>
      <c r="D131" s="658" t="s">
        <v>557</v>
      </c>
      <c r="E131" s="270" t="s">
        <v>564</v>
      </c>
      <c r="F131" s="271" t="s">
        <v>227</v>
      </c>
      <c r="G131" s="426">
        <v>4.1479999999999997</v>
      </c>
      <c r="H131" s="426">
        <v>4.7450000000000001</v>
      </c>
      <c r="I131" s="426">
        <v>3.5937429999999999</v>
      </c>
      <c r="J131" s="512">
        <v>5.5122080000000002</v>
      </c>
      <c r="K131" s="428">
        <v>0.13850000000000001</v>
      </c>
      <c r="L131" s="428">
        <v>0.1085</v>
      </c>
      <c r="M131" s="429">
        <v>43.732719000000003</v>
      </c>
      <c r="N131" s="500"/>
      <c r="O131" s="274">
        <v>15.502000000000001</v>
      </c>
      <c r="P131" s="275" t="s">
        <v>565</v>
      </c>
      <c r="R131" s="645">
        <f t="shared" ref="R131" si="498">IF(B131="","",B131)</f>
        <v>64</v>
      </c>
      <c r="S131" s="647" t="str">
        <f t="shared" ref="S131" si="499">IFERROR(IF(E132="","",E132),"")</f>
        <v>101G19003</v>
      </c>
      <c r="T131" s="647" t="str">
        <f t="shared" ref="T131" si="500">IFERROR(IF(B131="","","Ref. 대비 차이"),"")</f>
        <v>Ref. 대비 차이</v>
      </c>
      <c r="U131" s="649">
        <f t="shared" ref="U131" si="501">IFERROR(IF(1-(G131/G132)="","",1-(G131/G132)),"")</f>
        <v>-2.4113817217252809E-4</v>
      </c>
      <c r="V131" s="649">
        <f t="shared" ref="V131" si="502">IFERROR(IF(1-(H131/H132)="","",1-(H131/H132)),"")</f>
        <v>-1.9334049409237331E-2</v>
      </c>
      <c r="W131" s="649">
        <f t="shared" ref="W131" si="503">IFERROR(IF(1-(I131/I132)="","",1-(I131/I132)),"")</f>
        <v>-1.9088431951983287E-2</v>
      </c>
      <c r="X131" s="649">
        <f t="shared" ref="X131" si="504">IFERROR(IF(1-(J131/J132)="","",1-(J131/J132)),"")</f>
        <v>-2.9366463042059143E-2</v>
      </c>
      <c r="Y131" s="649">
        <f t="shared" ref="Y131" si="505">IFERROR(IF(1-(K131/K132)="","",1-(K131/K132)),"")</f>
        <v>2.8797696184303945E-3</v>
      </c>
      <c r="Z131" s="649">
        <f t="shared" ref="Z131" si="506">IFERROR(IF(1-(L131/L132)="","",1-(L131/L132)),"")</f>
        <v>9.1324200913242004E-3</v>
      </c>
      <c r="AA131" s="649">
        <f t="shared" ref="AA131" si="507">IFERROR(IF(1-(M131/M132)="","",1-(M131/M132)),"")</f>
        <v>-2.8728824276283982E-2</v>
      </c>
      <c r="AB131" s="507"/>
      <c r="AC131" s="649">
        <f t="shared" ref="AC131" si="508">-(1-O132/O131)</f>
        <v>3.8898206683008585E-2</v>
      </c>
      <c r="AD131" s="654"/>
    </row>
    <row r="132" spans="2:30" ht="17.25" thickBot="1">
      <c r="B132" s="646"/>
      <c r="C132" s="657"/>
      <c r="D132" s="659"/>
      <c r="E132" s="282" t="s">
        <v>558</v>
      </c>
      <c r="F132" s="277" t="s">
        <v>232</v>
      </c>
      <c r="G132" s="488">
        <v>4.1470000000000002</v>
      </c>
      <c r="H132" s="488">
        <v>4.6550000000000002</v>
      </c>
      <c r="I132" s="488">
        <v>3.5264289999999998</v>
      </c>
      <c r="J132" s="514">
        <v>5.3549519999999999</v>
      </c>
      <c r="K132" s="489">
        <v>0.1389</v>
      </c>
      <c r="L132" s="489">
        <v>0.1095</v>
      </c>
      <c r="M132" s="527">
        <v>42.511415999999997</v>
      </c>
      <c r="N132" s="501"/>
      <c r="O132" s="280">
        <v>16.105</v>
      </c>
      <c r="P132" s="281"/>
      <c r="R132" s="646"/>
      <c r="S132" s="648"/>
      <c r="T132" s="648"/>
      <c r="U132" s="650"/>
      <c r="V132" s="650"/>
      <c r="W132" s="650"/>
      <c r="X132" s="650"/>
      <c r="Y132" s="650"/>
      <c r="Z132" s="650"/>
      <c r="AA132" s="650"/>
      <c r="AB132" s="508"/>
      <c r="AC132" s="650"/>
      <c r="AD132" s="655"/>
    </row>
    <row r="133" spans="2:30">
      <c r="B133" s="645">
        <v>65</v>
      </c>
      <c r="C133" s="656">
        <v>191001</v>
      </c>
      <c r="D133" s="658" t="s">
        <v>561</v>
      </c>
      <c r="E133" s="270" t="s">
        <v>564</v>
      </c>
      <c r="F133" s="271" t="s">
        <v>213</v>
      </c>
      <c r="G133" s="426">
        <v>4.2380000000000004</v>
      </c>
      <c r="H133" s="426">
        <v>4.4619999999999997</v>
      </c>
      <c r="I133" s="426">
        <v>3.307639</v>
      </c>
      <c r="J133" s="512">
        <v>5.1327689999999997</v>
      </c>
      <c r="K133" s="428">
        <v>0.13850000000000001</v>
      </c>
      <c r="L133" s="428">
        <v>0.11020000000000001</v>
      </c>
      <c r="M133" s="429">
        <v>40.490017999999999</v>
      </c>
      <c r="N133" s="500"/>
      <c r="O133" s="274">
        <v>17.100000000000001</v>
      </c>
      <c r="P133" s="275"/>
      <c r="R133" s="645">
        <f t="shared" ref="R133" si="509">IF(B133="","",B133)</f>
        <v>65</v>
      </c>
      <c r="S133" s="647" t="str">
        <f t="shared" ref="S133" si="510">IFERROR(IF(E134="","",E134),"")</f>
        <v>101G19004</v>
      </c>
      <c r="T133" s="647" t="str">
        <f t="shared" ref="T133" si="511">IFERROR(IF(B133="","","Ref. 대비 차이"),"")</f>
        <v>Ref. 대비 차이</v>
      </c>
      <c r="U133" s="649">
        <f t="shared" ref="U133" si="512">IFERROR(IF(1-(G133/G134)="","",1-(G133/G134)),"")</f>
        <v>-2.3601604909151419E-4</v>
      </c>
      <c r="V133" s="649">
        <f t="shared" ref="V133" si="513">IFERROR(IF(1-(H133/H134)="","",1-(H133/H134)),"")</f>
        <v>2.192021043402026E-2</v>
      </c>
      <c r="W133" s="649">
        <f t="shared" ref="W133" si="514">IFERROR(IF(1-(I133/I134)="","",1-(I133/I134)),"")</f>
        <v>2.2150935118486981E-2</v>
      </c>
      <c r="X133" s="649">
        <f t="shared" ref="X133" si="515">IFERROR(IF(1-(J133/J134)="","",1-(J133/J134)),"")</f>
        <v>2.2936796222994493E-2</v>
      </c>
      <c r="Y133" s="649">
        <f t="shared" ref="Y133" si="516">IFERROR(IF(1-(K133/K134)="","",1-(K133/K134)),"")</f>
        <v>-7.2727272727273196E-3</v>
      </c>
      <c r="Z133" s="649">
        <f t="shared" ref="Z133" si="517">IFERROR(IF(1-(L133/L134)="","",1-(L133/L134)),"")</f>
        <v>1.8115942028984477E-3</v>
      </c>
      <c r="AA133" s="649">
        <f t="shared" ref="AA133" si="518">IFERROR(IF(1-(M133/M134)="","",1-(M133/M134)),"")</f>
        <v>2.0145120097388114E-2</v>
      </c>
      <c r="AB133" s="507"/>
      <c r="AC133" s="649">
        <f t="shared" ref="AC133" si="519">-(1-O134/O133)</f>
        <v>-2.3391812865497186E-2</v>
      </c>
      <c r="AD133" s="654"/>
    </row>
    <row r="134" spans="2:30" ht="17.25" thickBot="1">
      <c r="B134" s="646"/>
      <c r="C134" s="657"/>
      <c r="D134" s="659"/>
      <c r="E134" s="282" t="s">
        <v>560</v>
      </c>
      <c r="F134" s="277" t="s">
        <v>241</v>
      </c>
      <c r="G134" s="488">
        <v>4.2370000000000001</v>
      </c>
      <c r="H134" s="488">
        <v>4.5620000000000003</v>
      </c>
      <c r="I134" s="488">
        <v>3.3825660000000002</v>
      </c>
      <c r="J134" s="514">
        <v>5.2532620000000003</v>
      </c>
      <c r="K134" s="489">
        <v>0.13750000000000001</v>
      </c>
      <c r="L134" s="489">
        <v>0.1104</v>
      </c>
      <c r="M134" s="527">
        <v>41.322463999999997</v>
      </c>
      <c r="N134" s="501"/>
      <c r="O134" s="280">
        <v>16.7</v>
      </c>
      <c r="P134" s="281"/>
      <c r="R134" s="646"/>
      <c r="S134" s="648"/>
      <c r="T134" s="648"/>
      <c r="U134" s="650"/>
      <c r="V134" s="650"/>
      <c r="W134" s="650"/>
      <c r="X134" s="650"/>
      <c r="Y134" s="650"/>
      <c r="Z134" s="650"/>
      <c r="AA134" s="650"/>
      <c r="AB134" s="508"/>
      <c r="AC134" s="650"/>
      <c r="AD134" s="655"/>
    </row>
    <row r="135" spans="2:30">
      <c r="B135" s="645">
        <v>66</v>
      </c>
      <c r="C135" s="656">
        <v>191126</v>
      </c>
      <c r="D135" s="658" t="s">
        <v>569</v>
      </c>
      <c r="E135" s="270" t="s">
        <v>571</v>
      </c>
      <c r="F135" s="271" t="s">
        <v>218</v>
      </c>
      <c r="G135" s="426">
        <v>4.1050000000000004</v>
      </c>
      <c r="H135" s="426">
        <v>4.7770000000000001</v>
      </c>
      <c r="I135" s="426">
        <v>3.6558769999999998</v>
      </c>
      <c r="J135" s="512">
        <v>5.5996129999999997</v>
      </c>
      <c r="K135" s="428">
        <v>0.13880000000000001</v>
      </c>
      <c r="L135" s="428">
        <v>0.107</v>
      </c>
      <c r="M135" s="429">
        <v>44.644860000000001</v>
      </c>
      <c r="N135" s="500"/>
      <c r="O135" s="274">
        <v>15.1</v>
      </c>
      <c r="P135" s="275" t="s">
        <v>566</v>
      </c>
      <c r="R135" s="645">
        <f t="shared" ref="R135" si="520">IF(B135="","",B135)</f>
        <v>66</v>
      </c>
      <c r="S135" s="647" t="str">
        <f t="shared" ref="S135" si="521">IFERROR(IF(E136="","",E136),"")</f>
        <v>101G19005</v>
      </c>
      <c r="T135" s="647" t="str">
        <f t="shared" ref="T135" si="522">IFERROR(IF(B135="","","Ref. 대비 차이"),"")</f>
        <v>Ref. 대비 차이</v>
      </c>
      <c r="U135" s="649">
        <f t="shared" ref="U135" si="523">IFERROR(IF(1-(G135/G136)="","",1-(G135/G136)),"")</f>
        <v>-4.8744820862789418E-4</v>
      </c>
      <c r="V135" s="649">
        <f t="shared" ref="V135" si="524">IFERROR(IF(1-(H135/H136)="","",1-(H135/H136)),"")</f>
        <v>1.5457543281121255E-2</v>
      </c>
      <c r="W135" s="649">
        <f t="shared" ref="W135" si="525">IFERROR(IF(1-(I135/I136)="","",1-(I135/I136)),"")</f>
        <v>1.5937185824819733E-2</v>
      </c>
      <c r="X135" s="649">
        <f t="shared" ref="X135" si="526">IFERROR(IF(1-(J135/J136)="","",1-(J135/J136)),"")</f>
        <v>2.5330792520010914E-2</v>
      </c>
      <c r="Y135" s="649">
        <f t="shared" ref="Y135" si="527">IFERROR(IF(1-(K135/K136)="","",1-(K135/K136)),"")</f>
        <v>-5.0687907313542446E-3</v>
      </c>
      <c r="Z135" s="649">
        <f t="shared" ref="Z135" si="528">IFERROR(IF(1-(L135/L136)="","",1-(L135/L136)),"")</f>
        <v>-7.532956685498915E-3</v>
      </c>
      <c r="AA135" s="649">
        <f t="shared" ref="AA135" si="529">IFERROR(IF(1-(M135/M136)="","",1-(M135/M136)),"")</f>
        <v>2.2818597922726225E-2</v>
      </c>
      <c r="AB135" s="507"/>
      <c r="AC135" s="649">
        <f t="shared" ref="AC135" si="530">-(1-O136/O135)</f>
        <v>1.3245033112582849E-2</v>
      </c>
      <c r="AD135" s="654"/>
    </row>
    <row r="136" spans="2:30" ht="17.25" thickBot="1">
      <c r="B136" s="646"/>
      <c r="C136" s="657"/>
      <c r="D136" s="659"/>
      <c r="E136" s="282" t="s">
        <v>568</v>
      </c>
      <c r="F136" s="277" t="s">
        <v>223</v>
      </c>
      <c r="G136" s="488">
        <v>4.1029999999999998</v>
      </c>
      <c r="H136" s="488">
        <v>4.8520000000000003</v>
      </c>
      <c r="I136" s="488">
        <v>3.7150850000000002</v>
      </c>
      <c r="J136" s="514">
        <v>5.7451420000000004</v>
      </c>
      <c r="K136" s="489">
        <v>0.1381</v>
      </c>
      <c r="L136" s="489">
        <v>0.1062</v>
      </c>
      <c r="M136" s="527">
        <v>45.687381999999999</v>
      </c>
      <c r="N136" s="501"/>
      <c r="O136" s="280">
        <v>15.3</v>
      </c>
      <c r="P136" s="281"/>
      <c r="R136" s="646"/>
      <c r="S136" s="648"/>
      <c r="T136" s="648"/>
      <c r="U136" s="650"/>
      <c r="V136" s="650"/>
      <c r="W136" s="650"/>
      <c r="X136" s="650"/>
      <c r="Y136" s="650"/>
      <c r="Z136" s="650"/>
      <c r="AA136" s="650"/>
      <c r="AB136" s="508"/>
      <c r="AC136" s="650"/>
      <c r="AD136" s="655"/>
    </row>
    <row r="137" spans="2:30">
      <c r="B137" s="645">
        <v>67</v>
      </c>
      <c r="C137" s="656">
        <v>191216</v>
      </c>
      <c r="D137" s="658" t="s">
        <v>575</v>
      </c>
      <c r="E137" s="270" t="s">
        <v>571</v>
      </c>
      <c r="F137" s="271" t="s">
        <v>246</v>
      </c>
      <c r="G137" s="426">
        <v>4.13225</v>
      </c>
      <c r="H137" s="426">
        <v>4.9007182</v>
      </c>
      <c r="I137" s="426">
        <v>3.7258266999999998</v>
      </c>
      <c r="J137" s="512">
        <v>5.5544016999999997</v>
      </c>
      <c r="K137" s="428">
        <v>0.13900000000000001</v>
      </c>
      <c r="L137" s="428">
        <v>0.1115</v>
      </c>
      <c r="M137" s="429">
        <v>43.952629700000003</v>
      </c>
      <c r="N137" s="500"/>
      <c r="O137" s="274">
        <v>15.7</v>
      </c>
      <c r="P137" s="275"/>
      <c r="R137" s="645">
        <f t="shared" ref="R137" si="531">IF(B137="","",B137)</f>
        <v>67</v>
      </c>
      <c r="S137" s="647" t="str">
        <f t="shared" ref="S137" si="532">IFERROR(IF(E138="","",E138),"")</f>
        <v>101G19006</v>
      </c>
      <c r="T137" s="647" t="str">
        <f t="shared" ref="T137" si="533">IFERROR(IF(B137="","","Ref. 대비 차이"),"")</f>
        <v>Ref. 대비 차이</v>
      </c>
      <c r="U137" s="649">
        <f t="shared" ref="U137" si="534">IFERROR(IF(1-(G137/G138)="","",1-(G137/G138)),"")</f>
        <v>-1.3885792386805207E-3</v>
      </c>
      <c r="V137" s="649">
        <f t="shared" ref="V137" si="535">IFERROR(IF(1-(H137/H138)="","",1-(H137/H138)),"")</f>
        <v>1.6068420204101708E-2</v>
      </c>
      <c r="W137" s="649">
        <f t="shared" ref="W137" si="536">IFERROR(IF(1-(I137/I138)="","",1-(I137/I138)),"")</f>
        <v>1.7432782129504276E-2</v>
      </c>
      <c r="X137" s="649">
        <f t="shared" ref="X137" si="537">IFERROR(IF(1-(J137/J138)="","",1-(J137/J138)),"")</f>
        <v>2.698798919835077E-2</v>
      </c>
      <c r="Y137" s="649">
        <f t="shared" ref="Y137" si="538">IFERROR(IF(1-(K137/K138)="","",1-(K137/K138)),"")</f>
        <v>-3.6101083032491488E-3</v>
      </c>
      <c r="Z137" s="649">
        <f t="shared" ref="Z137" si="539">IFERROR(IF(1-(L137/L138)="","",1-(L137/L138)),"")</f>
        <v>-9.9637681159421287E-3</v>
      </c>
      <c r="AA137" s="649">
        <f t="shared" ref="AA137" si="540">IFERROR(IF(1-(M137/M138)="","",1-(M137/M138)),"")</f>
        <v>2.5775357841668289E-2</v>
      </c>
      <c r="AB137" s="507"/>
      <c r="AC137" s="649">
        <f t="shared" ref="AC137" si="541">-(1-O138/O137)</f>
        <v>0</v>
      </c>
      <c r="AD137" s="654"/>
    </row>
    <row r="138" spans="2:30" ht="17.25" thickBot="1">
      <c r="B138" s="646"/>
      <c r="C138" s="657"/>
      <c r="D138" s="659"/>
      <c r="E138" s="282" t="s">
        <v>574</v>
      </c>
      <c r="F138" s="277" t="s">
        <v>249</v>
      </c>
      <c r="G138" s="488">
        <v>4.1265200000000002</v>
      </c>
      <c r="H138" s="488">
        <v>4.9807509999999997</v>
      </c>
      <c r="I138" s="488">
        <v>3.7919306000000002</v>
      </c>
      <c r="J138" s="514">
        <v>5.7084615999999997</v>
      </c>
      <c r="K138" s="489">
        <v>0.13850000000000001</v>
      </c>
      <c r="L138" s="489">
        <v>0.1104</v>
      </c>
      <c r="M138" s="527">
        <v>45.1154978</v>
      </c>
      <c r="N138" s="501"/>
      <c r="O138" s="280">
        <v>15.7</v>
      </c>
      <c r="P138" s="281"/>
      <c r="R138" s="646"/>
      <c r="S138" s="648"/>
      <c r="T138" s="648"/>
      <c r="U138" s="650"/>
      <c r="V138" s="650"/>
      <c r="W138" s="650"/>
      <c r="X138" s="650"/>
      <c r="Y138" s="650"/>
      <c r="Z138" s="650"/>
      <c r="AA138" s="650"/>
      <c r="AB138" s="508"/>
      <c r="AC138" s="650"/>
      <c r="AD138" s="655"/>
    </row>
    <row r="139" spans="2:30">
      <c r="B139" s="645">
        <v>68</v>
      </c>
      <c r="C139" s="656">
        <v>201010</v>
      </c>
      <c r="D139" s="658" t="s">
        <v>579</v>
      </c>
      <c r="E139" s="270" t="s">
        <v>571</v>
      </c>
      <c r="F139" s="271" t="s">
        <v>227</v>
      </c>
      <c r="G139" s="426">
        <v>4.0540000000000003</v>
      </c>
      <c r="H139" s="426">
        <v>4.7690000000000001</v>
      </c>
      <c r="I139" s="426">
        <v>3.6956690000000001</v>
      </c>
      <c r="J139" s="512">
        <v>5.550872</v>
      </c>
      <c r="K139" s="428">
        <v>0.13830000000000001</v>
      </c>
      <c r="L139" s="428">
        <v>0.1084</v>
      </c>
      <c r="M139" s="429">
        <v>43.994464999999998</v>
      </c>
      <c r="N139" s="500"/>
      <c r="O139" s="274">
        <v>16.899999999999999</v>
      </c>
      <c r="P139" s="275"/>
      <c r="R139" s="645">
        <f t="shared" ref="R139" si="542">IF(B139="","",B139)</f>
        <v>68</v>
      </c>
      <c r="S139" s="647" t="str">
        <f t="shared" ref="S139" si="543">IFERROR(IF(E140="","",E140),"")</f>
        <v>101G19007</v>
      </c>
      <c r="T139" s="647" t="str">
        <f t="shared" ref="T139" si="544">IFERROR(IF(B139="","","Ref. 대비 차이"),"")</f>
        <v>Ref. 대비 차이</v>
      </c>
      <c r="U139" s="649">
        <f t="shared" ref="U139" si="545">IFERROR(IF(1-(G139/G140)="","",1-(G139/G140)),"")</f>
        <v>-1.9772614928323939E-3</v>
      </c>
      <c r="V139" s="649">
        <f t="shared" ref="V139" si="546">IFERROR(IF(1-(H139/H140)="","",1-(H139/H140)),"")</f>
        <v>-6.3304494619118579E-3</v>
      </c>
      <c r="W139" s="649">
        <f t="shared" ref="W139" si="547">IFERROR(IF(1-(I139/I140)="","",1-(I139/I140)),"")</f>
        <v>-4.344668914324723E-3</v>
      </c>
      <c r="X139" s="649">
        <f t="shared" ref="X139" si="548">IFERROR(IF(1-(J139/J140)="","",1-(J139/J140)),"")</f>
        <v>-7.4002340431091884E-3</v>
      </c>
      <c r="Y139" s="649">
        <f t="shared" ref="Y139" si="549">IFERROR(IF(1-(K139/K140)="","",1-(K139/K140)),"")</f>
        <v>7.2254335260102387E-4</v>
      </c>
      <c r="Z139" s="649">
        <f t="shared" ref="Z139" si="550">IFERROR(IF(1-(L139/L140)="","",1-(L139/L140)),"")</f>
        <v>0</v>
      </c>
      <c r="AA139" s="649">
        <f t="shared" ref="AA139" si="551">IFERROR(IF(1-(M139/M140)="","",1-(M139/M140)),"")</f>
        <v>-6.3304548051370535E-3</v>
      </c>
      <c r="AB139" s="507"/>
      <c r="AC139" s="649">
        <f t="shared" ref="AC139" si="552">-(1-O140/O139)</f>
        <v>1.1834319526627279E-2</v>
      </c>
      <c r="AD139" s="654"/>
    </row>
    <row r="140" spans="2:30" ht="17.25" thickBot="1">
      <c r="B140" s="646"/>
      <c r="C140" s="657"/>
      <c r="D140" s="659"/>
      <c r="E140" s="282" t="s">
        <v>576</v>
      </c>
      <c r="F140" s="277" t="s">
        <v>232</v>
      </c>
      <c r="G140" s="488">
        <v>4.0460000000000003</v>
      </c>
      <c r="H140" s="488">
        <v>4.7389999999999999</v>
      </c>
      <c r="I140" s="488">
        <v>3.6796820000000001</v>
      </c>
      <c r="J140" s="514">
        <v>5.5100959999999999</v>
      </c>
      <c r="K140" s="489">
        <v>0.1384</v>
      </c>
      <c r="L140" s="489">
        <v>0.1084</v>
      </c>
      <c r="M140" s="527">
        <v>43.717711999999999</v>
      </c>
      <c r="N140" s="501"/>
      <c r="O140" s="280">
        <v>17.100000000000001</v>
      </c>
      <c r="P140" s="281"/>
      <c r="R140" s="646"/>
      <c r="S140" s="648"/>
      <c r="T140" s="648"/>
      <c r="U140" s="650"/>
      <c r="V140" s="650"/>
      <c r="W140" s="650"/>
      <c r="X140" s="650"/>
      <c r="Y140" s="650"/>
      <c r="Z140" s="650"/>
      <c r="AA140" s="650"/>
      <c r="AB140" s="508"/>
      <c r="AC140" s="650"/>
      <c r="AD140" s="655"/>
    </row>
    <row r="141" spans="2:30">
      <c r="B141" s="645">
        <v>69</v>
      </c>
      <c r="C141" s="656">
        <v>200320</v>
      </c>
      <c r="D141" s="658" t="s">
        <v>586</v>
      </c>
      <c r="E141" s="270" t="s">
        <v>587</v>
      </c>
      <c r="F141" s="271" t="s">
        <v>213</v>
      </c>
      <c r="G141" s="426">
        <v>4.056</v>
      </c>
      <c r="H141" s="426">
        <v>4.7939999999999996</v>
      </c>
      <c r="I141" s="426">
        <v>3.7132109999999998</v>
      </c>
      <c r="J141" s="512">
        <v>5.6837960000000001</v>
      </c>
      <c r="K141" s="428">
        <v>0.13850000000000001</v>
      </c>
      <c r="L141" s="428">
        <v>0.10589999999999999</v>
      </c>
      <c r="M141" s="429">
        <v>45.269122000000003</v>
      </c>
      <c r="N141" s="500"/>
      <c r="O141" s="274">
        <v>16.8</v>
      </c>
      <c r="P141" s="275"/>
      <c r="R141" s="645">
        <f t="shared" ref="R141" si="553">IF(B141="","",B141)</f>
        <v>69</v>
      </c>
      <c r="S141" s="647" t="str">
        <f t="shared" ref="S141" si="554">IFERROR(IF(E142="","",E142),"")</f>
        <v>101G20001</v>
      </c>
      <c r="T141" s="647" t="str">
        <f t="shared" ref="T141" si="555">IFERROR(IF(B141="","","Ref. 대비 차이"),"")</f>
        <v>Ref. 대비 차이</v>
      </c>
      <c r="U141" s="649">
        <f t="shared" ref="U141" si="556">IFERROR(IF(1-(G141/G142)="","",1-(G141/G142)),"")</f>
        <v>2.7046963363659415E-3</v>
      </c>
      <c r="V141" s="649">
        <f t="shared" ref="V141" si="557">IFERROR(IF(1-(H141/H142)="","",1-(H141/H142)),"")</f>
        <v>1.8738288569645212E-3</v>
      </c>
      <c r="W141" s="649">
        <f t="shared" ref="W141" si="558">IFERROR(IF(1-(I141/I142)="","",1-(I141/I142)),"")</f>
        <v>-8.3312669131996309E-4</v>
      </c>
      <c r="X141" s="649">
        <f t="shared" ref="X141" si="559">IFERROR(IF(1-(J141/J142)="","",1-(J141/J142)),"")</f>
        <v>2.376549320594723E-3</v>
      </c>
      <c r="Y141" s="649">
        <f t="shared" ref="Y141" si="560">IFERROR(IF(1-(K141/K142)="","",1-(K141/K142)),"")</f>
        <v>-1.4461315979754641E-3</v>
      </c>
      <c r="Z141" s="649">
        <f t="shared" ref="Z141" si="561">IFERROR(IF(1-(L141/L142)="","",1-(L141/L142)),"")</f>
        <v>-9.4517958412088099E-4</v>
      </c>
      <c r="AA141" s="649">
        <f t="shared" ref="AA141" si="562">IFERROR(IF(1-(M141/M142)="","",1-(M141/M142)),"")</f>
        <v>2.8163330265946751E-3</v>
      </c>
      <c r="AB141" s="507"/>
      <c r="AC141" s="649">
        <f t="shared" ref="AC141" si="563">-(1-O142/O141)</f>
        <v>-1.7857142857142905E-2</v>
      </c>
      <c r="AD141" s="654"/>
    </row>
    <row r="142" spans="2:30" ht="17.25" thickBot="1">
      <c r="B142" s="646"/>
      <c r="C142" s="657"/>
      <c r="D142" s="659"/>
      <c r="E142" s="282" t="s">
        <v>588</v>
      </c>
      <c r="F142" s="277" t="s">
        <v>250</v>
      </c>
      <c r="G142" s="488">
        <v>4.0670000000000002</v>
      </c>
      <c r="H142" s="488">
        <v>4.8029999999999999</v>
      </c>
      <c r="I142" s="488">
        <v>3.7101199999999999</v>
      </c>
      <c r="J142" s="514">
        <v>5.697336</v>
      </c>
      <c r="K142" s="489">
        <v>0.13830000000000001</v>
      </c>
      <c r="L142" s="489">
        <v>0.10580000000000001</v>
      </c>
      <c r="M142" s="527">
        <v>45.396974999999998</v>
      </c>
      <c r="N142" s="501"/>
      <c r="O142" s="280">
        <v>16.5</v>
      </c>
      <c r="P142" s="281"/>
      <c r="R142" s="646"/>
      <c r="S142" s="648"/>
      <c r="T142" s="648"/>
      <c r="U142" s="650"/>
      <c r="V142" s="650"/>
      <c r="W142" s="650"/>
      <c r="X142" s="650"/>
      <c r="Y142" s="650"/>
      <c r="Z142" s="650"/>
      <c r="AA142" s="650"/>
      <c r="AB142" s="508"/>
      <c r="AC142" s="650"/>
      <c r="AD142" s="655"/>
    </row>
    <row r="143" spans="2:30">
      <c r="B143" s="645">
        <v>70</v>
      </c>
      <c r="C143" s="656">
        <v>200416</v>
      </c>
      <c r="D143" s="658" t="s">
        <v>592</v>
      </c>
      <c r="E143" s="270" t="s">
        <v>587</v>
      </c>
      <c r="F143" s="271" t="s">
        <v>244</v>
      </c>
      <c r="G143" s="426">
        <v>4.1280000000000001</v>
      </c>
      <c r="H143" s="426">
        <v>4.7110000000000003</v>
      </c>
      <c r="I143" s="426">
        <v>3.5852789999999999</v>
      </c>
      <c r="J143" s="512">
        <v>5.4302919999999997</v>
      </c>
      <c r="K143" s="428">
        <v>0.1366</v>
      </c>
      <c r="L143" s="428">
        <v>0.11119999999999999</v>
      </c>
      <c r="M143" s="429">
        <v>42.365107999999999</v>
      </c>
      <c r="N143" s="500"/>
      <c r="O143" s="274">
        <v>14.2</v>
      </c>
      <c r="P143" s="275"/>
      <c r="R143" s="645">
        <f t="shared" ref="R143" si="564">IF(B143="","",B143)</f>
        <v>70</v>
      </c>
      <c r="S143" s="647" t="str">
        <f t="shared" ref="S143" si="565">IFERROR(IF(E144="","",E144),"")</f>
        <v>101G20002</v>
      </c>
      <c r="T143" s="647" t="str">
        <f t="shared" ref="T143" si="566">IFERROR(IF(B143="","","Ref. 대비 차이"),"")</f>
        <v>Ref. 대비 차이</v>
      </c>
      <c r="U143" s="649">
        <f t="shared" ref="U143" si="567">IFERROR(IF(1-(G143/G144)="","",1-(G143/G144)),"")</f>
        <v>-2.4230676035874588E-4</v>
      </c>
      <c r="V143" s="649">
        <f t="shared" ref="V143" si="568">IFERROR(IF(1-(H143/H144)="","",1-(H143/H144)),"")</f>
        <v>-2.767134951042971E-3</v>
      </c>
      <c r="W143" s="649">
        <f t="shared" ref="W143" si="569">IFERROR(IF(1-(I143/I144)="","",1-(I143/I144)),"")</f>
        <v>-2.524431310889419E-3</v>
      </c>
      <c r="X143" s="649">
        <f t="shared" ref="X143" si="570">IFERROR(IF(1-(J143/J144)="","",1-(J143/J144)),"")</f>
        <v>-1.8887262214128953E-3</v>
      </c>
      <c r="Y143" s="649">
        <f t="shared" ref="Y143" si="571">IFERROR(IF(1-(K143/K144)="","",1-(K143/K144)),"")</f>
        <v>1.4619883040936088E-3</v>
      </c>
      <c r="Z143" s="649">
        <f t="shared" ref="Z143" si="572">IFERROR(IF(1-(L143/L144)="","",1-(L143/L144)),"")</f>
        <v>-1.8018018018017834E-3</v>
      </c>
      <c r="AA143" s="649">
        <f t="shared" ref="AA143" si="573">IFERROR(IF(1-(M143/M144)="","",1-(M143/M144)),"")</f>
        <v>-9.6360664850791977E-4</v>
      </c>
      <c r="AB143" s="507"/>
      <c r="AC143" s="649">
        <f t="shared" ref="AC143" si="574">-(1-O144/O143)</f>
        <v>1.4084507042253502E-2</v>
      </c>
      <c r="AD143" s="654"/>
    </row>
    <row r="144" spans="2:30" ht="17.25" thickBot="1">
      <c r="B144" s="646"/>
      <c r="C144" s="657"/>
      <c r="D144" s="659"/>
      <c r="E144" s="282" t="s">
        <v>593</v>
      </c>
      <c r="F144" s="277" t="s">
        <v>241</v>
      </c>
      <c r="G144" s="488">
        <v>4.1269999999999998</v>
      </c>
      <c r="H144" s="488">
        <v>4.6980000000000004</v>
      </c>
      <c r="I144" s="488">
        <v>3.5762510000000001</v>
      </c>
      <c r="J144" s="514">
        <v>5.4200549999999996</v>
      </c>
      <c r="K144" s="489">
        <v>0.1368</v>
      </c>
      <c r="L144" s="489">
        <v>0.111</v>
      </c>
      <c r="M144" s="527">
        <v>42.324323999999997</v>
      </c>
      <c r="N144" s="501"/>
      <c r="O144" s="280">
        <v>14.4</v>
      </c>
      <c r="P144" s="281"/>
      <c r="R144" s="646"/>
      <c r="S144" s="648"/>
      <c r="T144" s="648"/>
      <c r="U144" s="650"/>
      <c r="V144" s="650"/>
      <c r="W144" s="650"/>
      <c r="X144" s="650"/>
      <c r="Y144" s="650"/>
      <c r="Z144" s="650"/>
      <c r="AA144" s="650"/>
      <c r="AB144" s="508"/>
      <c r="AC144" s="650"/>
      <c r="AD144" s="655"/>
    </row>
    <row r="145" spans="2:30">
      <c r="B145" s="645">
        <v>71</v>
      </c>
      <c r="C145" s="656">
        <v>200915</v>
      </c>
      <c r="D145" s="658" t="s">
        <v>597</v>
      </c>
      <c r="E145" s="270" t="s">
        <v>598</v>
      </c>
      <c r="F145" s="271" t="s">
        <v>213</v>
      </c>
      <c r="G145" s="426">
        <v>3.9929999999999999</v>
      </c>
      <c r="H145" s="426">
        <v>4.952</v>
      </c>
      <c r="I145" s="426">
        <v>3.8961070000000002</v>
      </c>
      <c r="J145" s="512">
        <v>5.888541</v>
      </c>
      <c r="K145" s="428">
        <v>0.13750000000000001</v>
      </c>
      <c r="L145" s="428">
        <v>0.1061</v>
      </c>
      <c r="M145" s="429">
        <v>46.67295</v>
      </c>
      <c r="N145" s="500"/>
      <c r="O145" s="274">
        <v>15.5</v>
      </c>
      <c r="P145" s="270"/>
      <c r="R145" s="645">
        <f t="shared" ref="R145" si="575">IF(B145="","",B145)</f>
        <v>71</v>
      </c>
      <c r="S145" s="647" t="str">
        <f t="shared" ref="S145" si="576">IFERROR(IF(E146="","",E146),"")</f>
        <v>101G20003</v>
      </c>
      <c r="T145" s="647" t="str">
        <f t="shared" ref="T145" si="577">IFERROR(IF(B145="","","Ref. 대비 차이"),"")</f>
        <v>Ref. 대비 차이</v>
      </c>
      <c r="U145" s="649">
        <f t="shared" ref="U145" si="578">IFERROR(IF(1-(G145/G146)="","",1-(G145/G146)),"")</f>
        <v>-7.518796992480592E-4</v>
      </c>
      <c r="V145" s="649">
        <f t="shared" ref="V145" si="579">IFERROR(IF(1-(H145/H146)="","",1-(H145/H146)),"")</f>
        <v>-7.118161480577534E-3</v>
      </c>
      <c r="W145" s="649">
        <f t="shared" ref="W145" si="580">IFERROR(IF(1-(I145/I146)="","",1-(I145/I146)),"")</f>
        <v>-6.3616530947612215E-3</v>
      </c>
      <c r="X145" s="649">
        <f t="shared" ref="X145" si="581">IFERROR(IF(1-(J145/J146)="","",1-(J145/J146)),"")</f>
        <v>-6.4488506719582173E-3</v>
      </c>
      <c r="Y145" s="649">
        <f t="shared" ref="Y145" si="582">IFERROR(IF(1-(K145/K146)="","",1-(K145/K146)),"")</f>
        <v>1.4524328249816421E-3</v>
      </c>
      <c r="Z145" s="649">
        <f t="shared" ref="Z145" si="583">IFERROR(IF(1-(L145/L146)="","",1-(L145/L146)),"")</f>
        <v>-1.8885741265344258E-3</v>
      </c>
      <c r="AA145" s="649">
        <f t="shared" ref="AA145" si="584">IFERROR(IF(1-(M145/M146)="","",1-(M145/M146)),"")</f>
        <v>-5.2197263463886756E-3</v>
      </c>
      <c r="AB145" s="507"/>
      <c r="AC145" s="649">
        <f t="shared" ref="AC145" si="585">-(1-O146/O145)</f>
        <v>-3.2258064516129004E-2</v>
      </c>
      <c r="AD145" s="654"/>
    </row>
    <row r="146" spans="2:30" ht="17.25" thickBot="1">
      <c r="B146" s="646"/>
      <c r="C146" s="657"/>
      <c r="D146" s="659"/>
      <c r="E146" s="282" t="s">
        <v>599</v>
      </c>
      <c r="F146" s="277" t="s">
        <v>241</v>
      </c>
      <c r="G146" s="488">
        <v>3.99</v>
      </c>
      <c r="H146" s="488">
        <v>4.9169999999999998</v>
      </c>
      <c r="I146" s="488">
        <v>3.8714780000000002</v>
      </c>
      <c r="J146" s="514">
        <v>5.8508100000000001</v>
      </c>
      <c r="K146" s="489">
        <v>0.13769999999999999</v>
      </c>
      <c r="L146" s="489">
        <v>0.10589999999999999</v>
      </c>
      <c r="M146" s="527">
        <v>46.430594999999997</v>
      </c>
      <c r="N146" s="501"/>
      <c r="O146" s="280">
        <v>15</v>
      </c>
      <c r="P146" s="281"/>
      <c r="R146" s="646"/>
      <c r="S146" s="648"/>
      <c r="T146" s="648"/>
      <c r="U146" s="650"/>
      <c r="V146" s="650"/>
      <c r="W146" s="650"/>
      <c r="X146" s="650"/>
      <c r="Y146" s="650"/>
      <c r="Z146" s="650"/>
      <c r="AA146" s="650"/>
      <c r="AB146" s="508"/>
      <c r="AC146" s="650"/>
      <c r="AD146" s="655"/>
    </row>
    <row r="147" spans="2:30">
      <c r="B147" s="645">
        <v>72</v>
      </c>
      <c r="C147" s="656">
        <v>201209</v>
      </c>
      <c r="D147" s="658" t="s">
        <v>603</v>
      </c>
      <c r="E147" s="270" t="s">
        <v>604</v>
      </c>
      <c r="F147" s="271" t="s">
        <v>214</v>
      </c>
      <c r="G147" s="426">
        <v>4.0679999999999996</v>
      </c>
      <c r="H147" s="426">
        <v>4.7670000000000003</v>
      </c>
      <c r="I147" s="426">
        <v>3.681406</v>
      </c>
      <c r="J147" s="512">
        <v>5.6752099999999999</v>
      </c>
      <c r="K147" s="428">
        <v>0.13739999999999999</v>
      </c>
      <c r="L147" s="428">
        <v>0.10589999999999999</v>
      </c>
      <c r="M147" s="429">
        <v>45.014164000000001</v>
      </c>
      <c r="N147" s="500"/>
      <c r="O147" s="274">
        <v>14</v>
      </c>
      <c r="P147" s="275"/>
      <c r="R147" s="645">
        <f t="shared" ref="R147" si="586">IF(B147="","",B147)</f>
        <v>72</v>
      </c>
      <c r="S147" s="647" t="str">
        <f t="shared" ref="S147" si="587">IFERROR(IF(E148="","",E148),"")</f>
        <v>101G20004</v>
      </c>
      <c r="T147" s="647" t="str">
        <f t="shared" ref="T147" si="588">IFERROR(IF(B147="","","Ref. 대비 차이"),"")</f>
        <v>Ref. 대비 차이</v>
      </c>
      <c r="U147" s="649">
        <f>IFERROR(IF(G148/G147-1="","",G148/G147-1),"")</f>
        <v>-2.4582104228121349E-3</v>
      </c>
      <c r="V147" s="649">
        <f t="shared" ref="V147:AA147" si="589">IFERROR(IF(H148/H147-1="","",H148/H147-1),"")</f>
        <v>-7.3421439060206151E-3</v>
      </c>
      <c r="W147" s="649">
        <f t="shared" si="589"/>
        <v>-4.8959555126492083E-3</v>
      </c>
      <c r="X147" s="649">
        <f t="shared" si="589"/>
        <v>-8.2271845447129399E-3</v>
      </c>
      <c r="Y147" s="649">
        <f t="shared" si="589"/>
        <v>0</v>
      </c>
      <c r="Z147" s="649">
        <f t="shared" si="589"/>
        <v>9.442870632672129E-4</v>
      </c>
      <c r="AA147" s="649">
        <f t="shared" si="589"/>
        <v>-8.2786164816923691E-3</v>
      </c>
      <c r="AB147" s="652" t="str">
        <f>IF(N147="","",N148-N147)</f>
        <v/>
      </c>
      <c r="AC147" s="649">
        <f t="shared" ref="AC147" si="590">-(1-O148/O147)</f>
        <v>1.4285714285714235E-2</v>
      </c>
      <c r="AD147" s="654"/>
    </row>
    <row r="148" spans="2:30" ht="17.25" thickBot="1">
      <c r="B148" s="646"/>
      <c r="C148" s="657"/>
      <c r="D148" s="659"/>
      <c r="E148" s="282" t="s">
        <v>605</v>
      </c>
      <c r="F148" s="277" t="s">
        <v>252</v>
      </c>
      <c r="G148" s="488">
        <v>4.0579999999999998</v>
      </c>
      <c r="H148" s="488">
        <v>4.7320000000000002</v>
      </c>
      <c r="I148" s="488">
        <v>3.6633819999999999</v>
      </c>
      <c r="J148" s="514">
        <v>5.6285189999999998</v>
      </c>
      <c r="K148" s="489">
        <v>0.13739999999999999</v>
      </c>
      <c r="L148" s="489">
        <v>0.106</v>
      </c>
      <c r="M148" s="527">
        <v>44.641508999999999</v>
      </c>
      <c r="N148" s="501"/>
      <c r="O148" s="280">
        <v>14.2</v>
      </c>
      <c r="P148" s="281"/>
      <c r="R148" s="646"/>
      <c r="S148" s="648"/>
      <c r="T148" s="648"/>
      <c r="U148" s="650"/>
      <c r="V148" s="651"/>
      <c r="W148" s="651"/>
      <c r="X148" s="651"/>
      <c r="Y148" s="651"/>
      <c r="Z148" s="651"/>
      <c r="AA148" s="651"/>
      <c r="AB148" s="653"/>
      <c r="AC148" s="650"/>
      <c r="AD148" s="655"/>
    </row>
    <row r="149" spans="2:30">
      <c r="B149" s="641">
        <v>73</v>
      </c>
      <c r="C149" s="643">
        <v>210104</v>
      </c>
      <c r="D149" s="643" t="s">
        <v>781</v>
      </c>
      <c r="E149" s="345" t="s">
        <v>388</v>
      </c>
      <c r="F149" s="334" t="s">
        <v>227</v>
      </c>
      <c r="G149" s="426">
        <v>4.0940000000000003</v>
      </c>
      <c r="H149" s="426">
        <v>4.7350000000000003</v>
      </c>
      <c r="I149" s="426">
        <v>3.6334710000000001</v>
      </c>
      <c r="J149" s="426">
        <v>5.6390149999999997</v>
      </c>
      <c r="K149" s="428">
        <v>0.13719999999999999</v>
      </c>
      <c r="L149" s="428">
        <v>0.1061</v>
      </c>
      <c r="M149" s="429">
        <v>44.62770970782281</v>
      </c>
      <c r="N149" s="504">
        <v>458</v>
      </c>
      <c r="O149" s="334">
        <v>31.4</v>
      </c>
      <c r="P149" s="332" t="s">
        <v>786</v>
      </c>
      <c r="R149" s="645">
        <v>74</v>
      </c>
      <c r="S149" s="647" t="str">
        <f t="shared" ref="S149" si="591">IFERROR(IF(E150="","",E150),"")</f>
        <v>101G20005</v>
      </c>
      <c r="T149" s="647" t="str">
        <f t="shared" ref="T149" si="592">IFERROR(IF(B149="","","Ref. 대비 차이"),"")</f>
        <v>Ref. 대비 차이</v>
      </c>
      <c r="U149" s="649">
        <f>IFERROR(IF(G150/G149-1="","",G150/G149-1),"")</f>
        <v>-4.8851978505148885E-4</v>
      </c>
      <c r="V149" s="649">
        <f t="shared" ref="V149" si="593">IFERROR(IF(H150/H149-1="","",H150/H149-1),"")</f>
        <v>4.2238648363250864E-3</v>
      </c>
      <c r="W149" s="649">
        <f t="shared" ref="W149" si="594">IFERROR(IF(I150/I149-1="","",I150/I149-1),"")</f>
        <v>4.7145002670998526E-3</v>
      </c>
      <c r="X149" s="649">
        <f t="shared" ref="X149" si="595">IFERROR(IF(J150/J149-1="","",J150/J149-1),"")</f>
        <v>4.0017627191983873E-3</v>
      </c>
      <c r="Y149" s="649">
        <f t="shared" ref="Y149" si="596">IFERROR(IF(K150/K149-1="","",K150/K149-1),"")</f>
        <v>0</v>
      </c>
      <c r="Z149" s="649">
        <f t="shared" ref="Z149" si="597">IFERROR(IF(L150/L149-1="","",L150/L149-1),"")</f>
        <v>-1.8850141376061114E-3</v>
      </c>
      <c r="AA149" s="649">
        <f t="shared" ref="AA149" si="598">IFERROR(IF(M150/M149-1="","",M150/M149-1),"")</f>
        <v>6.1204160447034806E-3</v>
      </c>
      <c r="AB149" s="652">
        <f>IF(N149="","",N150-N149)</f>
        <v>0</v>
      </c>
      <c r="AC149" s="649">
        <f t="shared" ref="AC149" si="599">-(1-O150/O149)</f>
        <v>3.1847133757962887E-3</v>
      </c>
      <c r="AD149" s="654"/>
    </row>
    <row r="150" spans="2:30" ht="17.25" thickBot="1">
      <c r="B150" s="642"/>
      <c r="C150" s="644"/>
      <c r="D150" s="644"/>
      <c r="E150" s="594" t="s">
        <v>780</v>
      </c>
      <c r="F150" s="630" t="s">
        <v>232</v>
      </c>
      <c r="G150" s="544">
        <v>4.0919999999999996</v>
      </c>
      <c r="H150" s="544">
        <v>4.7549999999999999</v>
      </c>
      <c r="I150" s="544">
        <v>3.650601</v>
      </c>
      <c r="J150" s="544">
        <v>5.661581</v>
      </c>
      <c r="K150" s="545">
        <v>0.13719999999999999</v>
      </c>
      <c r="L150" s="545">
        <v>0.10589999999999999</v>
      </c>
      <c r="M150" s="546">
        <v>44.900849858356942</v>
      </c>
      <c r="N150" s="547">
        <v>458</v>
      </c>
      <c r="O150" s="630">
        <v>31.5</v>
      </c>
      <c r="P150" s="618"/>
      <c r="R150" s="646"/>
      <c r="S150" s="648"/>
      <c r="T150" s="648"/>
      <c r="U150" s="650"/>
      <c r="V150" s="651"/>
      <c r="W150" s="651"/>
      <c r="X150" s="651"/>
      <c r="Y150" s="651"/>
      <c r="Z150" s="651"/>
      <c r="AA150" s="651"/>
      <c r="AB150" s="653"/>
      <c r="AC150" s="650"/>
      <c r="AD150" s="655"/>
    </row>
    <row r="151" spans="2:30">
      <c r="B151" s="641">
        <v>74</v>
      </c>
      <c r="C151" s="643">
        <v>210104</v>
      </c>
      <c r="D151" s="643" t="s">
        <v>784</v>
      </c>
      <c r="E151" s="345" t="s">
        <v>388</v>
      </c>
      <c r="F151" s="334" t="s">
        <v>227</v>
      </c>
      <c r="G151" s="302">
        <v>4.0590000000000002</v>
      </c>
      <c r="H151" s="426">
        <v>4.79</v>
      </c>
      <c r="I151" s="426">
        <v>3.7073700000000001</v>
      </c>
      <c r="J151" s="426">
        <v>5.7230299999999996</v>
      </c>
      <c r="K151" s="428">
        <v>0.13750000000000001</v>
      </c>
      <c r="L151" s="428">
        <v>0.1051</v>
      </c>
      <c r="M151" s="429">
        <v>45.575642245480495</v>
      </c>
      <c r="N151" s="504">
        <v>458</v>
      </c>
      <c r="O151" s="334"/>
      <c r="P151" s="332"/>
      <c r="R151" s="645">
        <v>75</v>
      </c>
      <c r="S151" s="647" t="str">
        <f t="shared" ref="S151" si="600">IFERROR(IF(E152="","",E152),"")</f>
        <v>101G20005</v>
      </c>
      <c r="T151" s="647" t="str">
        <f t="shared" ref="T151" si="601">IFERROR(IF(B151="","","Ref. 대비 차이"),"")</f>
        <v>Ref. 대비 차이</v>
      </c>
      <c r="U151" s="649">
        <f>IFERROR(IF(G152/G151-1="","",G152/G151-1),"")</f>
        <v>4.9273220004919516E-4</v>
      </c>
      <c r="V151" s="649">
        <f t="shared" ref="V151" si="602">IFERROR(IF(H152/H151-1="","",H152/H151-1),"")</f>
        <v>1.670146137787043E-3</v>
      </c>
      <c r="W151" s="649">
        <f t="shared" ref="W151" si="603">IFERROR(IF(I152/I151-1="","",I152/I151-1),"")</f>
        <v>1.1768450410938325E-3</v>
      </c>
      <c r="X151" s="649">
        <f t="shared" ref="X151" si="604">IFERROR(IF(J152/J151-1="","",J152/J151-1),"")</f>
        <v>4.4822410506322186E-3</v>
      </c>
      <c r="Y151" s="649">
        <f t="shared" ref="Y151" si="605">IFERROR(IF(K152/K151-1="","",K152/K151-1),"")</f>
        <v>7.2727272727268755E-4</v>
      </c>
      <c r="Z151" s="649">
        <f t="shared" ref="Z151" si="606">IFERROR(IF(L152/L151-1="","",L152/L151-1),"")</f>
        <v>-1.9029495718364542E-3</v>
      </c>
      <c r="AA151" s="649">
        <f t="shared" ref="AA151" si="607">IFERROR(IF(M152/M151-1="","",M152/M151-1),"")</f>
        <v>3.5799080941985029E-3</v>
      </c>
      <c r="AB151" s="652">
        <f>IF(N151="","",N152-N151)</f>
        <v>0</v>
      </c>
      <c r="AC151" s="649" t="e">
        <f t="shared" ref="AC151" si="608">-(1-O152/O151)</f>
        <v>#DIV/0!</v>
      </c>
      <c r="AD151" s="654"/>
    </row>
    <row r="152" spans="2:30" ht="17.25" thickBot="1">
      <c r="B152" s="642"/>
      <c r="C152" s="644"/>
      <c r="D152" s="644"/>
      <c r="E152" s="594" t="s">
        <v>787</v>
      </c>
      <c r="F152" s="630" t="s">
        <v>232</v>
      </c>
      <c r="G152" s="544">
        <v>4.0609999999999999</v>
      </c>
      <c r="H152" s="544">
        <v>4.798</v>
      </c>
      <c r="I152" s="544">
        <v>3.7117330000000002</v>
      </c>
      <c r="J152" s="544">
        <v>5.7486819999999996</v>
      </c>
      <c r="K152" s="545">
        <v>0.1376</v>
      </c>
      <c r="L152" s="545">
        <v>0.10489999999999999</v>
      </c>
      <c r="M152" s="546">
        <v>45.738798856053386</v>
      </c>
      <c r="N152" s="547">
        <v>458</v>
      </c>
      <c r="O152" s="630"/>
      <c r="P152" s="618"/>
      <c r="R152" s="646"/>
      <c r="S152" s="648"/>
      <c r="T152" s="648"/>
      <c r="U152" s="650"/>
      <c r="V152" s="651"/>
      <c r="W152" s="651"/>
      <c r="X152" s="651"/>
      <c r="Y152" s="651"/>
      <c r="Z152" s="651"/>
      <c r="AA152" s="651"/>
      <c r="AB152" s="653"/>
      <c r="AC152" s="650"/>
      <c r="AD152" s="655"/>
    </row>
  </sheetData>
  <mergeCells count="1046">
    <mergeCell ref="C147:C148"/>
    <mergeCell ref="C145:C146"/>
    <mergeCell ref="AA147:AA148"/>
    <mergeCell ref="AC147:AC148"/>
    <mergeCell ref="AD147:AD148"/>
    <mergeCell ref="C137:C138"/>
    <mergeCell ref="R147:R148"/>
    <mergeCell ref="S147:S148"/>
    <mergeCell ref="T147:T148"/>
    <mergeCell ref="U147:U148"/>
    <mergeCell ref="V147:V148"/>
    <mergeCell ref="W147:W148"/>
    <mergeCell ref="X147:X148"/>
    <mergeCell ref="Y147:Y148"/>
    <mergeCell ref="Z147:Z148"/>
    <mergeCell ref="AA143:AA144"/>
    <mergeCell ref="AC143:AC144"/>
    <mergeCell ref="AD143:AD144"/>
    <mergeCell ref="R145:R146"/>
    <mergeCell ref="S145:S146"/>
    <mergeCell ref="T145:T146"/>
    <mergeCell ref="U145:U146"/>
    <mergeCell ref="V145:V146"/>
    <mergeCell ref="W145:W146"/>
    <mergeCell ref="X145:X146"/>
    <mergeCell ref="Y145:Y146"/>
    <mergeCell ref="Z145:Z146"/>
    <mergeCell ref="AA145:AA146"/>
    <mergeCell ref="AC145:AC146"/>
    <mergeCell ref="AD145:AD146"/>
    <mergeCell ref="R143:R144"/>
    <mergeCell ref="S143:S144"/>
    <mergeCell ref="AA139:AA140"/>
    <mergeCell ref="AC139:AC140"/>
    <mergeCell ref="AD139:AD140"/>
    <mergeCell ref="R141:R142"/>
    <mergeCell ref="S141:S142"/>
    <mergeCell ref="T141:T142"/>
    <mergeCell ref="U141:U142"/>
    <mergeCell ref="V141:V142"/>
    <mergeCell ref="W141:W142"/>
    <mergeCell ref="X141:X142"/>
    <mergeCell ref="Y141:Y142"/>
    <mergeCell ref="Z141:Z142"/>
    <mergeCell ref="AA141:AA142"/>
    <mergeCell ref="AC141:AC142"/>
    <mergeCell ref="AD141:AD142"/>
    <mergeCell ref="R139:R140"/>
    <mergeCell ref="S139:S140"/>
    <mergeCell ref="T139:T140"/>
    <mergeCell ref="U139:U140"/>
    <mergeCell ref="V139:V140"/>
    <mergeCell ref="W139:W140"/>
    <mergeCell ref="X139:X140"/>
    <mergeCell ref="Y139:Y140"/>
    <mergeCell ref="Z139:Z140"/>
    <mergeCell ref="B139:B140"/>
    <mergeCell ref="D139:D140"/>
    <mergeCell ref="B141:B142"/>
    <mergeCell ref="D141:D142"/>
    <mergeCell ref="B143:B144"/>
    <mergeCell ref="D143:D144"/>
    <mergeCell ref="B145:B146"/>
    <mergeCell ref="D145:D146"/>
    <mergeCell ref="B147:B148"/>
    <mergeCell ref="D147:D148"/>
    <mergeCell ref="C129:C130"/>
    <mergeCell ref="C127:C128"/>
    <mergeCell ref="B129:B130"/>
    <mergeCell ref="D129:D130"/>
    <mergeCell ref="B131:B132"/>
    <mergeCell ref="D131:D132"/>
    <mergeCell ref="Z119:Z120"/>
    <mergeCell ref="R129:R130"/>
    <mergeCell ref="S129:S130"/>
    <mergeCell ref="T129:T130"/>
    <mergeCell ref="U129:U130"/>
    <mergeCell ref="V129:V130"/>
    <mergeCell ref="W129:W130"/>
    <mergeCell ref="X129:X130"/>
    <mergeCell ref="Y129:Y130"/>
    <mergeCell ref="Z129:Z130"/>
    <mergeCell ref="B137:B138"/>
    <mergeCell ref="D137:D138"/>
    <mergeCell ref="V143:V144"/>
    <mergeCell ref="W143:W144"/>
    <mergeCell ref="X143:X144"/>
    <mergeCell ref="Y143:Y144"/>
    <mergeCell ref="B127:B128"/>
    <mergeCell ref="D127:D128"/>
    <mergeCell ref="W121:W122"/>
    <mergeCell ref="X121:X122"/>
    <mergeCell ref="Y121:Y122"/>
    <mergeCell ref="Z121:Z122"/>
    <mergeCell ref="T123:T124"/>
    <mergeCell ref="U123:U124"/>
    <mergeCell ref="V123:V124"/>
    <mergeCell ref="W123:W124"/>
    <mergeCell ref="X123:X124"/>
    <mergeCell ref="B119:B120"/>
    <mergeCell ref="D119:D120"/>
    <mergeCell ref="B121:B122"/>
    <mergeCell ref="D121:D122"/>
    <mergeCell ref="C121:C122"/>
    <mergeCell ref="R121:R122"/>
    <mergeCell ref="S121:S122"/>
    <mergeCell ref="T121:T122"/>
    <mergeCell ref="U121:U122"/>
    <mergeCell ref="C123:C124"/>
    <mergeCell ref="Y123:Y124"/>
    <mergeCell ref="Z123:Z124"/>
    <mergeCell ref="V121:V122"/>
    <mergeCell ref="Y125:Y126"/>
    <mergeCell ref="Z125:Z126"/>
    <mergeCell ref="B125:B126"/>
    <mergeCell ref="V125:V126"/>
    <mergeCell ref="W125:W126"/>
    <mergeCell ref="X125:X126"/>
    <mergeCell ref="C125:C126"/>
    <mergeCell ref="B123:B124"/>
    <mergeCell ref="AC113:AC114"/>
    <mergeCell ref="AD113:AD114"/>
    <mergeCell ref="C117:C118"/>
    <mergeCell ref="B117:B118"/>
    <mergeCell ref="D117:D118"/>
    <mergeCell ref="C115:C116"/>
    <mergeCell ref="Y115:Y116"/>
    <mergeCell ref="R119:R120"/>
    <mergeCell ref="S119:S120"/>
    <mergeCell ref="T119:T120"/>
    <mergeCell ref="U119:U120"/>
    <mergeCell ref="V119:V120"/>
    <mergeCell ref="W119:W120"/>
    <mergeCell ref="X119:X120"/>
    <mergeCell ref="Y119:Y120"/>
    <mergeCell ref="C119:C120"/>
    <mergeCell ref="Z115:Z116"/>
    <mergeCell ref="AA115:AA116"/>
    <mergeCell ref="AC115:AC116"/>
    <mergeCell ref="AA117:AA118"/>
    <mergeCell ref="AC117:AC118"/>
    <mergeCell ref="AD119:AD120"/>
    <mergeCell ref="AA119:AA120"/>
    <mergeCell ref="AC119:AC120"/>
    <mergeCell ref="AD117:AD118"/>
    <mergeCell ref="R117:R118"/>
    <mergeCell ref="S117:S118"/>
    <mergeCell ref="T117:T118"/>
    <mergeCell ref="U117:U118"/>
    <mergeCell ref="V117:V118"/>
    <mergeCell ref="W117:W118"/>
    <mergeCell ref="X117:X118"/>
    <mergeCell ref="Y111:Y112"/>
    <mergeCell ref="Z111:Z112"/>
    <mergeCell ref="AA111:AA112"/>
    <mergeCell ref="AC111:AC112"/>
    <mergeCell ref="AD111:AD112"/>
    <mergeCell ref="U109:U110"/>
    <mergeCell ref="V109:V110"/>
    <mergeCell ref="W109:W110"/>
    <mergeCell ref="X109:X110"/>
    <mergeCell ref="Y109:Y110"/>
    <mergeCell ref="Z109:Z110"/>
    <mergeCell ref="AA109:AA110"/>
    <mergeCell ref="AC109:AC110"/>
    <mergeCell ref="AD109:AD110"/>
    <mergeCell ref="AD115:AD116"/>
    <mergeCell ref="C113:C114"/>
    <mergeCell ref="B115:B116"/>
    <mergeCell ref="D115:D116"/>
    <mergeCell ref="R115:R116"/>
    <mergeCell ref="S115:S116"/>
    <mergeCell ref="T115:T116"/>
    <mergeCell ref="U115:U116"/>
    <mergeCell ref="V115:V116"/>
    <mergeCell ref="W115:W116"/>
    <mergeCell ref="X115:X116"/>
    <mergeCell ref="U113:U114"/>
    <mergeCell ref="V113:V114"/>
    <mergeCell ref="W113:W114"/>
    <mergeCell ref="X113:X114"/>
    <mergeCell ref="Y113:Y114"/>
    <mergeCell ref="Z113:Z114"/>
    <mergeCell ref="AA113:AA114"/>
    <mergeCell ref="B109:B110"/>
    <mergeCell ref="D109:D110"/>
    <mergeCell ref="B111:B112"/>
    <mergeCell ref="D111:D112"/>
    <mergeCell ref="B113:B114"/>
    <mergeCell ref="D113:D114"/>
    <mergeCell ref="R109:R110"/>
    <mergeCell ref="S109:S110"/>
    <mergeCell ref="T109:T110"/>
    <mergeCell ref="R111:R112"/>
    <mergeCell ref="S111:S112"/>
    <mergeCell ref="T111:T112"/>
    <mergeCell ref="R113:R114"/>
    <mergeCell ref="S113:S114"/>
    <mergeCell ref="T113:T114"/>
    <mergeCell ref="W99:W100"/>
    <mergeCell ref="X99:X100"/>
    <mergeCell ref="B99:B100"/>
    <mergeCell ref="D99:D100"/>
    <mergeCell ref="B101:B102"/>
    <mergeCell ref="D101:D102"/>
    <mergeCell ref="C99:C100"/>
    <mergeCell ref="B107:B108"/>
    <mergeCell ref="D107:D108"/>
    <mergeCell ref="R107:R108"/>
    <mergeCell ref="S107:S108"/>
    <mergeCell ref="T107:T108"/>
    <mergeCell ref="U111:U112"/>
    <mergeCell ref="V111:V112"/>
    <mergeCell ref="W111:W112"/>
    <mergeCell ref="X111:X112"/>
    <mergeCell ref="Y99:Y100"/>
    <mergeCell ref="Z99:Z100"/>
    <mergeCell ref="AA99:AA100"/>
    <mergeCell ref="AC99:AC100"/>
    <mergeCell ref="AD99:AD100"/>
    <mergeCell ref="R101:R102"/>
    <mergeCell ref="S101:S102"/>
    <mergeCell ref="T101:T102"/>
    <mergeCell ref="U101:U102"/>
    <mergeCell ref="V101:V102"/>
    <mergeCell ref="W101:W102"/>
    <mergeCell ref="X101:X102"/>
    <mergeCell ref="Y101:Y102"/>
    <mergeCell ref="Z101:Z102"/>
    <mergeCell ref="AA101:AA102"/>
    <mergeCell ref="AC101:AC102"/>
    <mergeCell ref="AD101:AD102"/>
    <mergeCell ref="R99:R100"/>
    <mergeCell ref="S99:S100"/>
    <mergeCell ref="T99:T100"/>
    <mergeCell ref="U99:U100"/>
    <mergeCell ref="V99:V100"/>
    <mergeCell ref="W95:W96"/>
    <mergeCell ref="X95:X96"/>
    <mergeCell ref="Y95:Y96"/>
    <mergeCell ref="Z95:Z96"/>
    <mergeCell ref="AA95:AA96"/>
    <mergeCell ref="AC95:AC96"/>
    <mergeCell ref="AD95:AD96"/>
    <mergeCell ref="R97:R98"/>
    <mergeCell ref="S97:S98"/>
    <mergeCell ref="T97:T98"/>
    <mergeCell ref="U97:U98"/>
    <mergeCell ref="V97:V98"/>
    <mergeCell ref="W97:W98"/>
    <mergeCell ref="X97:X98"/>
    <mergeCell ref="Y97:Y98"/>
    <mergeCell ref="Z97:Z98"/>
    <mergeCell ref="AA97:AA98"/>
    <mergeCell ref="AC97:AC98"/>
    <mergeCell ref="AD97:AD98"/>
    <mergeCell ref="B95:B96"/>
    <mergeCell ref="D95:D96"/>
    <mergeCell ref="B97:B98"/>
    <mergeCell ref="D97:D98"/>
    <mergeCell ref="R95:R96"/>
    <mergeCell ref="S95:S96"/>
    <mergeCell ref="T95:T96"/>
    <mergeCell ref="U95:U96"/>
    <mergeCell ref="V95:V96"/>
    <mergeCell ref="W89:W90"/>
    <mergeCell ref="X89:X90"/>
    <mergeCell ref="Y89:Y90"/>
    <mergeCell ref="Z89:Z90"/>
    <mergeCell ref="AA89:AA90"/>
    <mergeCell ref="AC89:AC90"/>
    <mergeCell ref="AD89:AD90"/>
    <mergeCell ref="R91:R92"/>
    <mergeCell ref="S91:S92"/>
    <mergeCell ref="T91:T92"/>
    <mergeCell ref="U91:U92"/>
    <mergeCell ref="V91:V92"/>
    <mergeCell ref="W91:W92"/>
    <mergeCell ref="X91:X92"/>
    <mergeCell ref="Y91:Y92"/>
    <mergeCell ref="Z91:Z92"/>
    <mergeCell ref="AA91:AA92"/>
    <mergeCell ref="AC91:AC92"/>
    <mergeCell ref="AD91:AD92"/>
    <mergeCell ref="B89:B90"/>
    <mergeCell ref="D89:D90"/>
    <mergeCell ref="B91:B92"/>
    <mergeCell ref="D91:D92"/>
    <mergeCell ref="R89:R90"/>
    <mergeCell ref="S89:S90"/>
    <mergeCell ref="T89:T90"/>
    <mergeCell ref="U89:U90"/>
    <mergeCell ref="V89:V90"/>
    <mergeCell ref="U87:U88"/>
    <mergeCell ref="V87:V88"/>
    <mergeCell ref="W87:W88"/>
    <mergeCell ref="X87:X88"/>
    <mergeCell ref="Y87:Y88"/>
    <mergeCell ref="Z87:Z88"/>
    <mergeCell ref="AA87:AA88"/>
    <mergeCell ref="AC87:AC88"/>
    <mergeCell ref="AD87:AD88"/>
    <mergeCell ref="Y83:Y84"/>
    <mergeCell ref="Z83:Z84"/>
    <mergeCell ref="AA83:AA84"/>
    <mergeCell ref="AC83:AC84"/>
    <mergeCell ref="AD83:AD84"/>
    <mergeCell ref="B85:B86"/>
    <mergeCell ref="D85:D86"/>
    <mergeCell ref="B87:B88"/>
    <mergeCell ref="D87:D88"/>
    <mergeCell ref="R85:R86"/>
    <mergeCell ref="S85:S86"/>
    <mergeCell ref="T85:T86"/>
    <mergeCell ref="U85:U86"/>
    <mergeCell ref="V85:V86"/>
    <mergeCell ref="W85:W86"/>
    <mergeCell ref="X85:X86"/>
    <mergeCell ref="Y85:Y86"/>
    <mergeCell ref="Z85:Z86"/>
    <mergeCell ref="AA85:AA86"/>
    <mergeCell ref="AC85:AC86"/>
    <mergeCell ref="AD85:AD86"/>
    <mergeCell ref="R87:R88"/>
    <mergeCell ref="S87:S88"/>
    <mergeCell ref="T87:T88"/>
    <mergeCell ref="B83:B84"/>
    <mergeCell ref="D83:D84"/>
    <mergeCell ref="R83:R84"/>
    <mergeCell ref="S83:S84"/>
    <mergeCell ref="T83:T84"/>
    <mergeCell ref="U83:U84"/>
    <mergeCell ref="V83:V84"/>
    <mergeCell ref="W83:W84"/>
    <mergeCell ref="X83:X84"/>
    <mergeCell ref="Y73:Y74"/>
    <mergeCell ref="Z73:Z74"/>
    <mergeCell ref="AA73:AA74"/>
    <mergeCell ref="AC73:AC74"/>
    <mergeCell ref="AD73:AD74"/>
    <mergeCell ref="B73:B74"/>
    <mergeCell ref="D73:D74"/>
    <mergeCell ref="R73:R74"/>
    <mergeCell ref="S73:S74"/>
    <mergeCell ref="T73:T74"/>
    <mergeCell ref="U73:U74"/>
    <mergeCell ref="V73:V74"/>
    <mergeCell ref="W73:W74"/>
    <mergeCell ref="X73:X74"/>
    <mergeCell ref="B75:B76"/>
    <mergeCell ref="D75:D76"/>
    <mergeCell ref="B77:B78"/>
    <mergeCell ref="D77:D78"/>
    <mergeCell ref="R75:R76"/>
    <mergeCell ref="S75:S76"/>
    <mergeCell ref="T75:T76"/>
    <mergeCell ref="U75:U76"/>
    <mergeCell ref="V75:V76"/>
    <mergeCell ref="W65:W66"/>
    <mergeCell ref="X65:X66"/>
    <mergeCell ref="Y65:Y66"/>
    <mergeCell ref="Z65:Z66"/>
    <mergeCell ref="AA65:AA66"/>
    <mergeCell ref="AC65:AC66"/>
    <mergeCell ref="AD65:AD66"/>
    <mergeCell ref="R67:R68"/>
    <mergeCell ref="S67:S68"/>
    <mergeCell ref="T67:T68"/>
    <mergeCell ref="U67:U68"/>
    <mergeCell ref="V67:V68"/>
    <mergeCell ref="W67:W68"/>
    <mergeCell ref="X67:X68"/>
    <mergeCell ref="Y67:Y68"/>
    <mergeCell ref="Z67:Z68"/>
    <mergeCell ref="AA67:AA68"/>
    <mergeCell ref="AC67:AC68"/>
    <mergeCell ref="AD67:AD68"/>
    <mergeCell ref="B65:B66"/>
    <mergeCell ref="D65:D66"/>
    <mergeCell ref="B67:B68"/>
    <mergeCell ref="D67:D68"/>
    <mergeCell ref="R65:R66"/>
    <mergeCell ref="S65:S66"/>
    <mergeCell ref="T65:T66"/>
    <mergeCell ref="U65:U66"/>
    <mergeCell ref="V65:V66"/>
    <mergeCell ref="AA53:AA54"/>
    <mergeCell ref="AC53:AC54"/>
    <mergeCell ref="AD53:AD54"/>
    <mergeCell ref="R55:R56"/>
    <mergeCell ref="S55:S56"/>
    <mergeCell ref="T55:T56"/>
    <mergeCell ref="U55:U56"/>
    <mergeCell ref="V55:V56"/>
    <mergeCell ref="W55:W56"/>
    <mergeCell ref="X55:X56"/>
    <mergeCell ref="Y55:Y56"/>
    <mergeCell ref="Z55:Z56"/>
    <mergeCell ref="AA55:AA56"/>
    <mergeCell ref="AC55:AC56"/>
    <mergeCell ref="AD55:AD56"/>
    <mergeCell ref="R53:R54"/>
    <mergeCell ref="S53:S54"/>
    <mergeCell ref="T53:T54"/>
    <mergeCell ref="U53:U54"/>
    <mergeCell ref="V53:V54"/>
    <mergeCell ref="W53:W54"/>
    <mergeCell ref="X53:X54"/>
    <mergeCell ref="Y53:Y54"/>
    <mergeCell ref="Z53:Z54"/>
    <mergeCell ref="AA49:AA50"/>
    <mergeCell ref="AC49:AC50"/>
    <mergeCell ref="AD49:AD50"/>
    <mergeCell ref="R51:R52"/>
    <mergeCell ref="S51:S52"/>
    <mergeCell ref="T51:T52"/>
    <mergeCell ref="U51:U52"/>
    <mergeCell ref="V51:V52"/>
    <mergeCell ref="W51:W52"/>
    <mergeCell ref="X51:X52"/>
    <mergeCell ref="Y51:Y52"/>
    <mergeCell ref="Z51:Z52"/>
    <mergeCell ref="AA51:AA52"/>
    <mergeCell ref="AC51:AC52"/>
    <mergeCell ref="AD51:AD52"/>
    <mergeCell ref="R49:R50"/>
    <mergeCell ref="S49:S50"/>
    <mergeCell ref="T49:T50"/>
    <mergeCell ref="U49:U50"/>
    <mergeCell ref="V49:V50"/>
    <mergeCell ref="W49:W50"/>
    <mergeCell ref="X49:X50"/>
    <mergeCell ref="Y49:Y50"/>
    <mergeCell ref="Z49:Z50"/>
    <mergeCell ref="B49:B50"/>
    <mergeCell ref="D49:D50"/>
    <mergeCell ref="B51:B52"/>
    <mergeCell ref="D51:D52"/>
    <mergeCell ref="B53:B54"/>
    <mergeCell ref="D53:D54"/>
    <mergeCell ref="B55:B56"/>
    <mergeCell ref="D55:D56"/>
    <mergeCell ref="Y45:Y46"/>
    <mergeCell ref="B47:B48"/>
    <mergeCell ref="D47:D48"/>
    <mergeCell ref="Z45:Z46"/>
    <mergeCell ref="AA45:AA46"/>
    <mergeCell ref="AC45:AC46"/>
    <mergeCell ref="AD45:AD46"/>
    <mergeCell ref="R47:R48"/>
    <mergeCell ref="S47:S48"/>
    <mergeCell ref="T47:T48"/>
    <mergeCell ref="U47:U48"/>
    <mergeCell ref="V47:V48"/>
    <mergeCell ref="W47:W48"/>
    <mergeCell ref="X47:X48"/>
    <mergeCell ref="Y47:Y48"/>
    <mergeCell ref="Z47:Z48"/>
    <mergeCell ref="AA47:AA48"/>
    <mergeCell ref="AC47:AC48"/>
    <mergeCell ref="AD47:AD48"/>
    <mergeCell ref="R45:R46"/>
    <mergeCell ref="S45:S46"/>
    <mergeCell ref="T45:T46"/>
    <mergeCell ref="U45:U46"/>
    <mergeCell ref="V45:V46"/>
    <mergeCell ref="W45:W46"/>
    <mergeCell ref="X45:X46"/>
    <mergeCell ref="B43:B44"/>
    <mergeCell ref="D43:D44"/>
    <mergeCell ref="B45:B46"/>
    <mergeCell ref="D45:D46"/>
    <mergeCell ref="B33:B34"/>
    <mergeCell ref="D33:D34"/>
    <mergeCell ref="B35:B36"/>
    <mergeCell ref="D35:D36"/>
    <mergeCell ref="B37:B38"/>
    <mergeCell ref="D37:D38"/>
    <mergeCell ref="B39:B40"/>
    <mergeCell ref="D39:D40"/>
    <mergeCell ref="B41:B42"/>
    <mergeCell ref="D41:D42"/>
    <mergeCell ref="U31:U32"/>
    <mergeCell ref="V31:V32"/>
    <mergeCell ref="W31:W32"/>
    <mergeCell ref="X31:X32"/>
    <mergeCell ref="U29:U30"/>
    <mergeCell ref="V29:V30"/>
    <mergeCell ref="W29:W30"/>
    <mergeCell ref="X29:X30"/>
    <mergeCell ref="Y29:Y30"/>
    <mergeCell ref="Z29:Z30"/>
    <mergeCell ref="AA29:AA30"/>
    <mergeCell ref="AC29:AC30"/>
    <mergeCell ref="AD29:AD30"/>
    <mergeCell ref="U27:U28"/>
    <mergeCell ref="V27:V28"/>
    <mergeCell ref="W27:W28"/>
    <mergeCell ref="X27:X28"/>
    <mergeCell ref="Y27:Y28"/>
    <mergeCell ref="Z27:Z28"/>
    <mergeCell ref="AA27:AA28"/>
    <mergeCell ref="AC27:AC28"/>
    <mergeCell ref="AD27:AD28"/>
    <mergeCell ref="B27:B28"/>
    <mergeCell ref="D27:D28"/>
    <mergeCell ref="B29:B30"/>
    <mergeCell ref="D29:D30"/>
    <mergeCell ref="B31:B32"/>
    <mergeCell ref="D31:D32"/>
    <mergeCell ref="R27:R28"/>
    <mergeCell ref="S27:S28"/>
    <mergeCell ref="T27:T28"/>
    <mergeCell ref="R29:R30"/>
    <mergeCell ref="S29:S30"/>
    <mergeCell ref="T29:T30"/>
    <mergeCell ref="R31:R32"/>
    <mergeCell ref="S31:S32"/>
    <mergeCell ref="T31:T32"/>
    <mergeCell ref="AC25:AC26"/>
    <mergeCell ref="AD25:AD26"/>
    <mergeCell ref="W25:W26"/>
    <mergeCell ref="X25:X26"/>
    <mergeCell ref="Y25:Y26"/>
    <mergeCell ref="Z25:Z26"/>
    <mergeCell ref="AA25:AA26"/>
    <mergeCell ref="R25:R26"/>
    <mergeCell ref="S25:S26"/>
    <mergeCell ref="T25:T26"/>
    <mergeCell ref="U25:U26"/>
    <mergeCell ref="V25:V26"/>
    <mergeCell ref="Y31:Y32"/>
    <mergeCell ref="Z31:Z32"/>
    <mergeCell ref="AA31:AA32"/>
    <mergeCell ref="AC31:AC32"/>
    <mergeCell ref="AD31:AD32"/>
    <mergeCell ref="AC21:AC22"/>
    <mergeCell ref="AD21:AD22"/>
    <mergeCell ref="R23:R24"/>
    <mergeCell ref="S23:S24"/>
    <mergeCell ref="T23:T24"/>
    <mergeCell ref="U23:U24"/>
    <mergeCell ref="V23:V24"/>
    <mergeCell ref="W23:W24"/>
    <mergeCell ref="X23:X24"/>
    <mergeCell ref="Y23:Y24"/>
    <mergeCell ref="Z23:Z24"/>
    <mergeCell ref="AA23:AA24"/>
    <mergeCell ref="AC23:AC24"/>
    <mergeCell ref="AD23:AD24"/>
    <mergeCell ref="W21:W22"/>
    <mergeCell ref="X21:X22"/>
    <mergeCell ref="Y21:Y22"/>
    <mergeCell ref="Z21:Z22"/>
    <mergeCell ref="AA21:AA22"/>
    <mergeCell ref="R21:R22"/>
    <mergeCell ref="S21:S22"/>
    <mergeCell ref="T21:T22"/>
    <mergeCell ref="U21:U22"/>
    <mergeCell ref="V21:V22"/>
    <mergeCell ref="B21:B22"/>
    <mergeCell ref="D21:D22"/>
    <mergeCell ref="B23:B24"/>
    <mergeCell ref="D23:D24"/>
    <mergeCell ref="B25:B26"/>
    <mergeCell ref="D25:D26"/>
    <mergeCell ref="B7:B8"/>
    <mergeCell ref="D7:D8"/>
    <mergeCell ref="R7:R8"/>
    <mergeCell ref="B15:B16"/>
    <mergeCell ref="D15:D16"/>
    <mergeCell ref="R15:R16"/>
    <mergeCell ref="S7:S8"/>
    <mergeCell ref="T7:T8"/>
    <mergeCell ref="B9:B10"/>
    <mergeCell ref="D9:D10"/>
    <mergeCell ref="R9:R10"/>
    <mergeCell ref="S9:S10"/>
    <mergeCell ref="T9:T10"/>
    <mergeCell ref="R11:R12"/>
    <mergeCell ref="S11:S12"/>
    <mergeCell ref="T11:T12"/>
    <mergeCell ref="S15:S16"/>
    <mergeCell ref="T15:T16"/>
    <mergeCell ref="AC7:AC8"/>
    <mergeCell ref="AD7:AD8"/>
    <mergeCell ref="U9:U10"/>
    <mergeCell ref="V9:V10"/>
    <mergeCell ref="V7:V8"/>
    <mergeCell ref="W7:W8"/>
    <mergeCell ref="X7:X8"/>
    <mergeCell ref="Y7:Y8"/>
    <mergeCell ref="Z7:Z8"/>
    <mergeCell ref="AA7:AA8"/>
    <mergeCell ref="U7:U8"/>
    <mergeCell ref="AD9:AD10"/>
    <mergeCell ref="X9:X10"/>
    <mergeCell ref="W9:W10"/>
    <mergeCell ref="Z9:Z10"/>
    <mergeCell ref="AA9:AA10"/>
    <mergeCell ref="AC9:AC10"/>
    <mergeCell ref="Y9:Y10"/>
    <mergeCell ref="AD11:AD12"/>
    <mergeCell ref="B13:B14"/>
    <mergeCell ref="D13:D14"/>
    <mergeCell ref="R13:R14"/>
    <mergeCell ref="S13:S14"/>
    <mergeCell ref="T13:T14"/>
    <mergeCell ref="U13:U14"/>
    <mergeCell ref="V13:V14"/>
    <mergeCell ref="V11:V12"/>
    <mergeCell ref="W11:W12"/>
    <mergeCell ref="X11:X12"/>
    <mergeCell ref="Y11:Y12"/>
    <mergeCell ref="Z11:Z12"/>
    <mergeCell ref="AA11:AA12"/>
    <mergeCell ref="B11:B12"/>
    <mergeCell ref="D11:D12"/>
    <mergeCell ref="AC11:AC12"/>
    <mergeCell ref="U11:U12"/>
    <mergeCell ref="AD13:AD14"/>
    <mergeCell ref="AA13:AA14"/>
    <mergeCell ref="AC13:AC14"/>
    <mergeCell ref="U15:U16"/>
    <mergeCell ref="V15:V16"/>
    <mergeCell ref="W15:W16"/>
    <mergeCell ref="W13:W14"/>
    <mergeCell ref="X13:X14"/>
    <mergeCell ref="Y13:Y14"/>
    <mergeCell ref="Z13:Z14"/>
    <mergeCell ref="AD15:AD16"/>
    <mergeCell ref="X15:X16"/>
    <mergeCell ref="Y15:Y16"/>
    <mergeCell ref="Z15:Z16"/>
    <mergeCell ref="AA15:AA16"/>
    <mergeCell ref="AC15:AC16"/>
    <mergeCell ref="B17:B18"/>
    <mergeCell ref="D17:D18"/>
    <mergeCell ref="B19:B20"/>
    <mergeCell ref="D19:D20"/>
    <mergeCell ref="R17:R18"/>
    <mergeCell ref="AA17:AA18"/>
    <mergeCell ref="AC17:AC18"/>
    <mergeCell ref="S17:S18"/>
    <mergeCell ref="T17:T18"/>
    <mergeCell ref="U17:U18"/>
    <mergeCell ref="V17:V18"/>
    <mergeCell ref="W17:W18"/>
    <mergeCell ref="AD17:AD18"/>
    <mergeCell ref="R19:R20"/>
    <mergeCell ref="S19:S20"/>
    <mergeCell ref="T19:T20"/>
    <mergeCell ref="U19:U20"/>
    <mergeCell ref="V19:V20"/>
    <mergeCell ref="W19:W20"/>
    <mergeCell ref="X19:X20"/>
    <mergeCell ref="Y19:Y20"/>
    <mergeCell ref="Z19:Z20"/>
    <mergeCell ref="AA19:AA20"/>
    <mergeCell ref="AC19:AC20"/>
    <mergeCell ref="AD19:AD20"/>
    <mergeCell ref="X17:X18"/>
    <mergeCell ref="Y17:Y18"/>
    <mergeCell ref="Z17:Z18"/>
    <mergeCell ref="AA33:AA34"/>
    <mergeCell ref="AC33:AC34"/>
    <mergeCell ref="AD33:AD34"/>
    <mergeCell ref="R35:R36"/>
    <mergeCell ref="S35:S36"/>
    <mergeCell ref="T35:T36"/>
    <mergeCell ref="U35:U36"/>
    <mergeCell ref="V35:V36"/>
    <mergeCell ref="W35:W36"/>
    <mergeCell ref="X35:X36"/>
    <mergeCell ref="Y35:Y36"/>
    <mergeCell ref="Z35:Z36"/>
    <mergeCell ref="AA35:AA36"/>
    <mergeCell ref="AC35:AC36"/>
    <mergeCell ref="AD35:AD36"/>
    <mergeCell ref="R33:R34"/>
    <mergeCell ref="S33:S34"/>
    <mergeCell ref="T33:T34"/>
    <mergeCell ref="U33:U34"/>
    <mergeCell ref="V33:V34"/>
    <mergeCell ref="W33:W34"/>
    <mergeCell ref="X33:X34"/>
    <mergeCell ref="Y33:Y34"/>
    <mergeCell ref="Z33:Z34"/>
    <mergeCell ref="AA37:AA38"/>
    <mergeCell ref="AC37:AC38"/>
    <mergeCell ref="AD37:AD38"/>
    <mergeCell ref="R39:R40"/>
    <mergeCell ref="S39:S40"/>
    <mergeCell ref="T39:T40"/>
    <mergeCell ref="U39:U40"/>
    <mergeCell ref="V39:V40"/>
    <mergeCell ref="W39:W40"/>
    <mergeCell ref="X39:X40"/>
    <mergeCell ref="Y39:Y40"/>
    <mergeCell ref="Z39:Z40"/>
    <mergeCell ref="AA39:AA40"/>
    <mergeCell ref="AC39:AC40"/>
    <mergeCell ref="AD39:AD40"/>
    <mergeCell ref="R37:R38"/>
    <mergeCell ref="S37:S38"/>
    <mergeCell ref="T37:T38"/>
    <mergeCell ref="U37:U38"/>
    <mergeCell ref="V37:V38"/>
    <mergeCell ref="W37:W38"/>
    <mergeCell ref="X37:X38"/>
    <mergeCell ref="Y37:Y38"/>
    <mergeCell ref="Z37:Z38"/>
    <mergeCell ref="AA41:AA42"/>
    <mergeCell ref="AC41:AC42"/>
    <mergeCell ref="AD41:AD42"/>
    <mergeCell ref="R43:R44"/>
    <mergeCell ref="S43:S44"/>
    <mergeCell ref="T43:T44"/>
    <mergeCell ref="U43:U44"/>
    <mergeCell ref="V43:V44"/>
    <mergeCell ref="W43:W44"/>
    <mergeCell ref="X43:X44"/>
    <mergeCell ref="Y43:Y44"/>
    <mergeCell ref="Z43:Z44"/>
    <mergeCell ref="AA43:AA44"/>
    <mergeCell ref="AC43:AC44"/>
    <mergeCell ref="AD43:AD44"/>
    <mergeCell ref="R41:R42"/>
    <mergeCell ref="S41:S42"/>
    <mergeCell ref="T41:T42"/>
    <mergeCell ref="U41:U42"/>
    <mergeCell ref="V41:V42"/>
    <mergeCell ref="W41:W42"/>
    <mergeCell ref="X41:X42"/>
    <mergeCell ref="Y41:Y42"/>
    <mergeCell ref="Z41:Z42"/>
    <mergeCell ref="B57:B58"/>
    <mergeCell ref="D57:D58"/>
    <mergeCell ref="B59:B60"/>
    <mergeCell ref="D59:D60"/>
    <mergeCell ref="B61:B62"/>
    <mergeCell ref="D61:D62"/>
    <mergeCell ref="B63:B64"/>
    <mergeCell ref="D63:D64"/>
    <mergeCell ref="R57:R58"/>
    <mergeCell ref="R61:R62"/>
    <mergeCell ref="AC57:AC58"/>
    <mergeCell ref="AD57:AD58"/>
    <mergeCell ref="R59:R60"/>
    <mergeCell ref="S59:S60"/>
    <mergeCell ref="T59:T60"/>
    <mergeCell ref="U59:U60"/>
    <mergeCell ref="V59:V60"/>
    <mergeCell ref="W59:W60"/>
    <mergeCell ref="X59:X60"/>
    <mergeCell ref="Y59:Y60"/>
    <mergeCell ref="Z59:Z60"/>
    <mergeCell ref="AA59:AA60"/>
    <mergeCell ref="AC59:AC60"/>
    <mergeCell ref="AD59:AD60"/>
    <mergeCell ref="S57:S58"/>
    <mergeCell ref="T57:T58"/>
    <mergeCell ref="U57:U58"/>
    <mergeCell ref="V57:V58"/>
    <mergeCell ref="W57:W58"/>
    <mergeCell ref="X57:X58"/>
    <mergeCell ref="Y57:Y58"/>
    <mergeCell ref="Z57:Z58"/>
    <mergeCell ref="AA57:AA58"/>
    <mergeCell ref="AC61:AC62"/>
    <mergeCell ref="AD61:AD62"/>
    <mergeCell ref="R63:R64"/>
    <mergeCell ref="S63:S64"/>
    <mergeCell ref="T63:T64"/>
    <mergeCell ref="U63:U64"/>
    <mergeCell ref="V63:V64"/>
    <mergeCell ref="W63:W64"/>
    <mergeCell ref="X63:X64"/>
    <mergeCell ref="Y63:Y64"/>
    <mergeCell ref="Z63:Z64"/>
    <mergeCell ref="AA63:AA64"/>
    <mergeCell ref="AC63:AC64"/>
    <mergeCell ref="AD63:AD64"/>
    <mergeCell ref="S61:S62"/>
    <mergeCell ref="T61:T62"/>
    <mergeCell ref="U61:U62"/>
    <mergeCell ref="V61:V62"/>
    <mergeCell ref="W61:W62"/>
    <mergeCell ref="X61:X62"/>
    <mergeCell ref="Y61:Y62"/>
    <mergeCell ref="Z61:Z62"/>
    <mergeCell ref="AA61:AA62"/>
    <mergeCell ref="B69:B70"/>
    <mergeCell ref="D69:D70"/>
    <mergeCell ref="B71:B72"/>
    <mergeCell ref="D71:D72"/>
    <mergeCell ref="R69:R70"/>
    <mergeCell ref="S69:S70"/>
    <mergeCell ref="T69:T70"/>
    <mergeCell ref="U69:U70"/>
    <mergeCell ref="V69:V70"/>
    <mergeCell ref="W69:W70"/>
    <mergeCell ref="X69:X70"/>
    <mergeCell ref="Y69:Y70"/>
    <mergeCell ref="Z69:Z70"/>
    <mergeCell ref="AA69:AA70"/>
    <mergeCell ref="AC69:AC70"/>
    <mergeCell ref="AD69:AD70"/>
    <mergeCell ref="R71:R72"/>
    <mergeCell ref="S71:S72"/>
    <mergeCell ref="T71:T72"/>
    <mergeCell ref="U71:U72"/>
    <mergeCell ref="V71:V72"/>
    <mergeCell ref="W71:W72"/>
    <mergeCell ref="X71:X72"/>
    <mergeCell ref="Y71:Y72"/>
    <mergeCell ref="Z71:Z72"/>
    <mergeCell ref="AA71:AA72"/>
    <mergeCell ref="AC71:AC72"/>
    <mergeCell ref="AD71:AD72"/>
    <mergeCell ref="W75:W76"/>
    <mergeCell ref="X75:X76"/>
    <mergeCell ref="Y75:Y76"/>
    <mergeCell ref="Z75:Z76"/>
    <mergeCell ref="AA75:AA76"/>
    <mergeCell ref="AC75:AC76"/>
    <mergeCell ref="AD75:AD76"/>
    <mergeCell ref="R77:R78"/>
    <mergeCell ref="S77:S78"/>
    <mergeCell ref="T77:T78"/>
    <mergeCell ref="U77:U78"/>
    <mergeCell ref="V77:V78"/>
    <mergeCell ref="W77:W78"/>
    <mergeCell ref="X77:X78"/>
    <mergeCell ref="Y77:Y78"/>
    <mergeCell ref="Z77:Z78"/>
    <mergeCell ref="AA77:AA78"/>
    <mergeCell ref="AC77:AC78"/>
    <mergeCell ref="AD77:AD78"/>
    <mergeCell ref="B79:B80"/>
    <mergeCell ref="D79:D80"/>
    <mergeCell ref="B81:B82"/>
    <mergeCell ref="D81:D82"/>
    <mergeCell ref="R79:R80"/>
    <mergeCell ref="S79:S80"/>
    <mergeCell ref="T79:T80"/>
    <mergeCell ref="U79:U80"/>
    <mergeCell ref="V79:V80"/>
    <mergeCell ref="W79:W80"/>
    <mergeCell ref="X79:X80"/>
    <mergeCell ref="Y79:Y80"/>
    <mergeCell ref="Z79:Z80"/>
    <mergeCell ref="AA79:AA80"/>
    <mergeCell ref="AC79:AC80"/>
    <mergeCell ref="AD79:AD80"/>
    <mergeCell ref="R81:R82"/>
    <mergeCell ref="S81:S82"/>
    <mergeCell ref="T81:T82"/>
    <mergeCell ref="U81:U82"/>
    <mergeCell ref="V81:V82"/>
    <mergeCell ref="W81:W82"/>
    <mergeCell ref="X81:X82"/>
    <mergeCell ref="Y81:Y82"/>
    <mergeCell ref="Z81:Z82"/>
    <mergeCell ref="AA81:AA82"/>
    <mergeCell ref="AC81:AC82"/>
    <mergeCell ref="AD81:AD82"/>
    <mergeCell ref="Y93:Y94"/>
    <mergeCell ref="Z93:Z94"/>
    <mergeCell ref="AA93:AA94"/>
    <mergeCell ref="AC93:AC94"/>
    <mergeCell ref="AD93:AD94"/>
    <mergeCell ref="B93:B94"/>
    <mergeCell ref="D93:D94"/>
    <mergeCell ref="R93:R94"/>
    <mergeCell ref="S93:S94"/>
    <mergeCell ref="T93:T94"/>
    <mergeCell ref="U93:U94"/>
    <mergeCell ref="V93:V94"/>
    <mergeCell ref="W93:W94"/>
    <mergeCell ref="X93:X94"/>
    <mergeCell ref="B103:B104"/>
    <mergeCell ref="D103:D104"/>
    <mergeCell ref="B105:B106"/>
    <mergeCell ref="D105:D106"/>
    <mergeCell ref="R103:R104"/>
    <mergeCell ref="S103:S104"/>
    <mergeCell ref="T103:T104"/>
    <mergeCell ref="R105:R106"/>
    <mergeCell ref="S105:S106"/>
    <mergeCell ref="T105:T106"/>
    <mergeCell ref="U103:U104"/>
    <mergeCell ref="V103:V104"/>
    <mergeCell ref="W103:W104"/>
    <mergeCell ref="X103:X104"/>
    <mergeCell ref="Y103:Y104"/>
    <mergeCell ref="Z103:Z104"/>
    <mergeCell ref="AA103:AA104"/>
    <mergeCell ref="AC103:AC104"/>
    <mergeCell ref="AD103:AD104"/>
    <mergeCell ref="U105:U106"/>
    <mergeCell ref="V105:V106"/>
    <mergeCell ref="W105:W106"/>
    <mergeCell ref="X105:X106"/>
    <mergeCell ref="Y105:Y106"/>
    <mergeCell ref="Z105:Z106"/>
    <mergeCell ref="AA105:AA106"/>
    <mergeCell ref="AC105:AC106"/>
    <mergeCell ref="AD105:AD106"/>
    <mergeCell ref="U107:U108"/>
    <mergeCell ref="V107:V108"/>
    <mergeCell ref="W107:W108"/>
    <mergeCell ref="X107:X108"/>
    <mergeCell ref="Y107:Y108"/>
    <mergeCell ref="Z107:Z108"/>
    <mergeCell ref="AA107:AA108"/>
    <mergeCell ref="AC107:AC108"/>
    <mergeCell ref="AD107:AD108"/>
    <mergeCell ref="Y117:Y118"/>
    <mergeCell ref="Z117:Z118"/>
    <mergeCell ref="D125:D126"/>
    <mergeCell ref="R125:R126"/>
    <mergeCell ref="S125:S126"/>
    <mergeCell ref="T125:T126"/>
    <mergeCell ref="U125:U126"/>
    <mergeCell ref="AA127:AA128"/>
    <mergeCell ref="AC127:AC128"/>
    <mergeCell ref="AD127:AD128"/>
    <mergeCell ref="AA121:AA122"/>
    <mergeCell ref="AC121:AC122"/>
    <mergeCell ref="AD121:AD122"/>
    <mergeCell ref="AD125:AD126"/>
    <mergeCell ref="AA123:AA124"/>
    <mergeCell ref="AC123:AC124"/>
    <mergeCell ref="AD123:AD124"/>
    <mergeCell ref="AA125:AA126"/>
    <mergeCell ref="AC125:AC126"/>
    <mergeCell ref="D123:D124"/>
    <mergeCell ref="R123:R124"/>
    <mergeCell ref="S123:S124"/>
    <mergeCell ref="Z127:Z128"/>
    <mergeCell ref="AA129:AA130"/>
    <mergeCell ref="AC129:AC130"/>
    <mergeCell ref="AD129:AD130"/>
    <mergeCell ref="R127:R128"/>
    <mergeCell ref="S127:S128"/>
    <mergeCell ref="T127:T128"/>
    <mergeCell ref="U127:U128"/>
    <mergeCell ref="V127:V128"/>
    <mergeCell ref="W127:W128"/>
    <mergeCell ref="X127:X128"/>
    <mergeCell ref="Y127:Y128"/>
    <mergeCell ref="AA131:AA132"/>
    <mergeCell ref="AC131:AC132"/>
    <mergeCell ref="AD131:AD132"/>
    <mergeCell ref="R131:R132"/>
    <mergeCell ref="S131:S132"/>
    <mergeCell ref="T131:T132"/>
    <mergeCell ref="U131:U132"/>
    <mergeCell ref="V131:V132"/>
    <mergeCell ref="W131:W132"/>
    <mergeCell ref="X131:X132"/>
    <mergeCell ref="Y131:Y132"/>
    <mergeCell ref="Z131:Z132"/>
    <mergeCell ref="B133:B134"/>
    <mergeCell ref="D133:D134"/>
    <mergeCell ref="B135:B136"/>
    <mergeCell ref="D135:D136"/>
    <mergeCell ref="R133:R134"/>
    <mergeCell ref="S133:S134"/>
    <mergeCell ref="T133:T134"/>
    <mergeCell ref="U133:U134"/>
    <mergeCell ref="V133:V134"/>
    <mergeCell ref="C133:C134"/>
    <mergeCell ref="T135:T136"/>
    <mergeCell ref="U135:U136"/>
    <mergeCell ref="V135:V136"/>
    <mergeCell ref="W135:W136"/>
    <mergeCell ref="X135:X136"/>
    <mergeCell ref="Y135:Y136"/>
    <mergeCell ref="Z135:Z136"/>
    <mergeCell ref="C135:C136"/>
    <mergeCell ref="AB147:AB148"/>
    <mergeCell ref="C143:C144"/>
    <mergeCell ref="C141:C142"/>
    <mergeCell ref="AA137:AA138"/>
    <mergeCell ref="AC137:AC138"/>
    <mergeCell ref="AD137:AD138"/>
    <mergeCell ref="C131:C132"/>
    <mergeCell ref="R137:R138"/>
    <mergeCell ref="S137:S138"/>
    <mergeCell ref="T137:T138"/>
    <mergeCell ref="U137:U138"/>
    <mergeCell ref="V137:V138"/>
    <mergeCell ref="W137:W138"/>
    <mergeCell ref="X137:X138"/>
    <mergeCell ref="Y137:Y138"/>
    <mergeCell ref="Z137:Z138"/>
    <mergeCell ref="W133:W134"/>
    <mergeCell ref="X133:X134"/>
    <mergeCell ref="Y133:Y134"/>
    <mergeCell ref="Z133:Z134"/>
    <mergeCell ref="AA133:AA134"/>
    <mergeCell ref="AC133:AC134"/>
    <mergeCell ref="AD133:AD134"/>
    <mergeCell ref="R135:R136"/>
    <mergeCell ref="S135:S136"/>
    <mergeCell ref="AD135:AD136"/>
    <mergeCell ref="AA135:AA136"/>
    <mergeCell ref="AC135:AC136"/>
    <mergeCell ref="C139:C140"/>
    <mergeCell ref="T143:T144"/>
    <mergeCell ref="U143:U144"/>
    <mergeCell ref="Z143:Z144"/>
    <mergeCell ref="B149:B150"/>
    <mergeCell ref="C149:C150"/>
    <mergeCell ref="D149:D150"/>
    <mergeCell ref="R149:R150"/>
    <mergeCell ref="S149:S150"/>
    <mergeCell ref="T149:T150"/>
    <mergeCell ref="U149:U150"/>
    <mergeCell ref="V149:V150"/>
    <mergeCell ref="W149:W150"/>
    <mergeCell ref="X149:X150"/>
    <mergeCell ref="Y149:Y150"/>
    <mergeCell ref="Z149:Z150"/>
    <mergeCell ref="AA149:AA150"/>
    <mergeCell ref="AB149:AB150"/>
    <mergeCell ref="AC149:AC150"/>
    <mergeCell ref="AD149:AD150"/>
    <mergeCell ref="B151:B152"/>
    <mergeCell ref="C151:C152"/>
    <mergeCell ref="D151:D152"/>
    <mergeCell ref="R151:R152"/>
    <mergeCell ref="S151:S152"/>
    <mergeCell ref="T151:T152"/>
    <mergeCell ref="U151:U152"/>
    <mergeCell ref="V151:V152"/>
    <mergeCell ref="W151:W152"/>
    <mergeCell ref="X151:X152"/>
    <mergeCell ref="Y151:Y152"/>
    <mergeCell ref="Z151:Z152"/>
    <mergeCell ref="AA151:AA152"/>
    <mergeCell ref="AB151:AB152"/>
    <mergeCell ref="AC151:AC152"/>
    <mergeCell ref="AD151:AD152"/>
  </mergeCells>
  <phoneticPr fontId="19" type="noConversion"/>
  <conditionalFormatting sqref="U7:AC7 U9:AC9 U11:AC11 U13:AC13 U15:AC15 U17:AC17 U19:AC19 U21:AC21 U23:AC23 U25:AC25 U27:AC27 U29:AC29 U31:AC31 U33:AC33 U35:AC35 U37:AC37 U39:AC39 U41:AC41 U43:AC43 U45:AC45 U47:AC47 U49:AC49 U51:AC51 U53:AC53 U55:AC55 U57:AC57 U59:AC59 U61:AC61 U63:AC63 U65:AC65 U67:AC67 U69:AC69 U71:AC71 U73:AC73 U75:AC75 U77:AC77 U79:AC79 U81:AC81 U83:AC83 U85:AC85 U87:AC87 U89:AC89 U91:AC91 U93:AC93 U95:AC95 U97:AC97 U99:AC99 U101:AC101 U103:AC103 U105:AC105 U107:AC107 U109:AC109 U111:AC111 U113:AC113 U115:AC115 U117:AC117 U119:AC119 U121:AC121 U123:AC123 U125:AC125 U127:AC127 U129:AC129 U131:AC131 U133:AC133 U135:AC135 U137:AC137 U139:AC139 U141:AC141 U143:AC143 U145:AC145 AC147 U147:AA147">
    <cfRule type="cellIs" dxfId="100" priority="4" operator="notBetween">
      <formula>0.05</formula>
      <formula>-0.05</formula>
    </cfRule>
  </conditionalFormatting>
  <conditionalFormatting sqref="AC149 U149:AA149">
    <cfRule type="cellIs" dxfId="99" priority="2" operator="notBetween">
      <formula>0.05</formula>
      <formula>-0.05</formula>
    </cfRule>
  </conditionalFormatting>
  <conditionalFormatting sqref="AC151 U151:AA151">
    <cfRule type="cellIs" dxfId="98" priority="1" operator="notBetween">
      <formula>0.05</formula>
      <formula>-0.05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7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A29"/>
  <sheetViews>
    <sheetView zoomScaleNormal="100" workbookViewId="0">
      <pane ySplit="6" topLeftCell="A7" activePane="bottomLeft" state="frozen"/>
      <selection activeCell="R1" activeCellId="1" sqref="C1:C1048576 R1:R1048576"/>
      <selection pane="bottomLeft" activeCell="C31" sqref="C31"/>
    </sheetView>
  </sheetViews>
  <sheetFormatPr defaultRowHeight="16.5" outlineLevelRow="1"/>
  <cols>
    <col min="1" max="1" width="2.125" style="4" customWidth="1"/>
    <col min="2" max="2" width="5.5" style="4" customWidth="1"/>
    <col min="3" max="3" width="13.125" style="4" bestFit="1" customWidth="1"/>
    <col min="4" max="4" width="24.625" style="4" bestFit="1" customWidth="1"/>
    <col min="5" max="5" width="5.875" style="4" bestFit="1" customWidth="1"/>
    <col min="6" max="6" width="4.875" style="4" bestFit="1" customWidth="1"/>
    <col min="7" max="7" width="5.625" style="4" bestFit="1" customWidth="1"/>
    <col min="8" max="8" width="6.625" style="4" bestFit="1" customWidth="1"/>
    <col min="9" max="9" width="4.875" style="4" bestFit="1" customWidth="1"/>
    <col min="10" max="11" width="6.875" style="4" bestFit="1" customWidth="1"/>
    <col min="12" max="12" width="7.125" style="4" bestFit="1" customWidth="1"/>
    <col min="13" max="13" width="5.875" style="4" bestFit="1" customWidth="1"/>
    <col min="14" max="14" width="20.25" style="4" bestFit="1" customWidth="1"/>
    <col min="15" max="15" width="9" style="4"/>
    <col min="16" max="16" width="7.25" style="166" customWidth="1"/>
    <col min="17" max="17" width="23.625" style="166" bestFit="1" customWidth="1"/>
    <col min="18" max="18" width="14" style="166" bestFit="1" customWidth="1"/>
    <col min="19" max="20" width="6.875" style="166" bestFit="1" customWidth="1"/>
    <col min="21" max="21" width="8" style="166" bestFit="1" customWidth="1"/>
    <col min="22" max="23" width="6.875" style="166" bestFit="1" customWidth="1"/>
    <col min="24" max="24" width="8" style="166" bestFit="1" customWidth="1"/>
    <col min="25" max="25" width="7.625" style="166" bestFit="1" customWidth="1"/>
    <col min="26" max="26" width="11.5" style="166" bestFit="1" customWidth="1"/>
    <col min="27" max="27" width="20.5" style="166" bestFit="1" customWidth="1"/>
    <col min="28" max="16384" width="9" style="4"/>
  </cols>
  <sheetData>
    <row r="2" spans="2:27">
      <c r="B2" s="2" t="s">
        <v>40</v>
      </c>
      <c r="C2" s="2"/>
    </row>
    <row r="3" spans="2:27">
      <c r="B3" s="42" t="s">
        <v>41</v>
      </c>
      <c r="C3" s="42"/>
    </row>
    <row r="4" spans="2:27">
      <c r="B4" s="42"/>
      <c r="C4" s="42"/>
    </row>
    <row r="5" spans="2:27" ht="17.25" thickBot="1">
      <c r="B5" s="42" t="s">
        <v>42</v>
      </c>
      <c r="C5" s="42"/>
      <c r="P5" s="166" t="s">
        <v>83</v>
      </c>
    </row>
    <row r="6" spans="2:27" ht="36.75" customHeight="1" thickBot="1">
      <c r="B6" s="43" t="s">
        <v>11</v>
      </c>
      <c r="C6" s="44" t="s">
        <v>44</v>
      </c>
      <c r="D6" s="45" t="s">
        <v>0</v>
      </c>
      <c r="E6" s="45" t="s">
        <v>1</v>
      </c>
      <c r="F6" s="45" t="s">
        <v>2</v>
      </c>
      <c r="G6" s="45" t="s">
        <v>3</v>
      </c>
      <c r="H6" s="45" t="s">
        <v>4</v>
      </c>
      <c r="I6" s="45" t="s">
        <v>5</v>
      </c>
      <c r="J6" s="45" t="s">
        <v>6</v>
      </c>
      <c r="K6" s="46" t="s">
        <v>7</v>
      </c>
      <c r="L6" s="47" t="s">
        <v>8</v>
      </c>
      <c r="M6" s="48" t="s">
        <v>45</v>
      </c>
      <c r="N6" s="49" t="s">
        <v>10</v>
      </c>
      <c r="P6" s="50" t="s">
        <v>11</v>
      </c>
      <c r="Q6" s="51" t="s">
        <v>0</v>
      </c>
      <c r="R6" s="51" t="s">
        <v>1</v>
      </c>
      <c r="S6" s="51" t="s">
        <v>162</v>
      </c>
      <c r="T6" s="51" t="s">
        <v>3</v>
      </c>
      <c r="U6" s="51" t="s">
        <v>4</v>
      </c>
      <c r="V6" s="51" t="s">
        <v>5</v>
      </c>
      <c r="W6" s="51" t="s">
        <v>163</v>
      </c>
      <c r="X6" s="52" t="s">
        <v>7</v>
      </c>
      <c r="Y6" s="53" t="s">
        <v>8</v>
      </c>
      <c r="Z6" s="54" t="s">
        <v>160</v>
      </c>
      <c r="AA6" s="55" t="s">
        <v>10</v>
      </c>
    </row>
    <row r="7" spans="2:27">
      <c r="B7" s="683">
        <v>1</v>
      </c>
      <c r="C7" s="685" t="s">
        <v>165</v>
      </c>
      <c r="D7" s="134" t="s">
        <v>48</v>
      </c>
      <c r="E7" s="135" t="s">
        <v>49</v>
      </c>
      <c r="F7" s="94">
        <v>4.1438333333333333</v>
      </c>
      <c r="G7" s="94">
        <v>6.3206666666666669</v>
      </c>
      <c r="H7" s="94">
        <v>4.7969915000000007</v>
      </c>
      <c r="I7" s="173">
        <v>6.6695500000000001</v>
      </c>
      <c r="J7" s="167">
        <v>0.13258333333333336</v>
      </c>
      <c r="K7" s="167">
        <v>0.12858333333333336</v>
      </c>
      <c r="L7" s="94">
        <v>49.165702696843503</v>
      </c>
      <c r="M7" s="168"/>
      <c r="N7" s="169"/>
      <c r="P7" s="677">
        <f>IF(B7="","",B7)</f>
        <v>1</v>
      </c>
      <c r="Q7" s="681" t="str">
        <f>IFERROR(IF(D8="","",D8),"")</f>
        <v>101F15001</v>
      </c>
      <c r="R7" s="681" t="str">
        <f>IFERROR(IF(B7="","","Ref. 대비 차이"),"")</f>
        <v>Ref. 대비 차이</v>
      </c>
      <c r="S7" s="673">
        <f t="shared" ref="S7:Y7" si="0">IFERROR(IF(1-(F7/F8)="","",1-(F7/F8)),"")</f>
        <v>-1.2203189724486752E-2</v>
      </c>
      <c r="T7" s="673">
        <f t="shared" si="0"/>
        <v>1.535745349274964E-2</v>
      </c>
      <c r="U7" s="673">
        <f t="shared" si="0"/>
        <v>2.655347954859455E-2</v>
      </c>
      <c r="V7" s="673">
        <f t="shared" si="0"/>
        <v>2.250264268192359E-2</v>
      </c>
      <c r="W7" s="673">
        <f t="shared" si="0"/>
        <v>2.1993904546446785E-4</v>
      </c>
      <c r="X7" s="673">
        <f t="shared" si="0"/>
        <v>-9.8828457359776412E-3</v>
      </c>
      <c r="Y7" s="673">
        <f t="shared" si="0"/>
        <v>2.5097515067702525E-2</v>
      </c>
      <c r="Z7" s="673" t="str">
        <f>IFERROR(IF(1-(#REF!/#REF!)="","",1-(#REF!/#REF!)),"")</f>
        <v/>
      </c>
      <c r="AA7" s="675"/>
    </row>
    <row r="8" spans="2:27" ht="17.25" outlineLevel="1" thickBot="1">
      <c r="B8" s="684"/>
      <c r="C8" s="686"/>
      <c r="D8" s="136" t="s">
        <v>50</v>
      </c>
      <c r="E8" s="137" t="s">
        <v>49</v>
      </c>
      <c r="F8" s="90">
        <v>4.0938749999999997</v>
      </c>
      <c r="G8" s="90">
        <v>6.4192499999999999</v>
      </c>
      <c r="H8" s="90">
        <v>4.9278428750000005</v>
      </c>
      <c r="I8" s="174">
        <v>6.8230874999999997</v>
      </c>
      <c r="J8" s="170">
        <v>0.13261250000000002</v>
      </c>
      <c r="K8" s="170">
        <v>0.12732499999999999</v>
      </c>
      <c r="L8" s="90">
        <v>50.431405660288</v>
      </c>
      <c r="M8" s="171"/>
      <c r="N8" s="172"/>
      <c r="P8" s="678"/>
      <c r="Q8" s="682"/>
      <c r="R8" s="682"/>
      <c r="S8" s="674"/>
      <c r="T8" s="674"/>
      <c r="U8" s="674"/>
      <c r="V8" s="674"/>
      <c r="W8" s="674"/>
      <c r="X8" s="674"/>
      <c r="Y8" s="674"/>
      <c r="Z8" s="674"/>
      <c r="AA8" s="676"/>
    </row>
    <row r="9" spans="2:27">
      <c r="B9" s="683">
        <v>2</v>
      </c>
      <c r="C9" s="685" t="s">
        <v>167</v>
      </c>
      <c r="D9" s="134" t="s">
        <v>48</v>
      </c>
      <c r="E9" s="135" t="s">
        <v>49</v>
      </c>
      <c r="F9" s="94">
        <v>4.0501428571428582</v>
      </c>
      <c r="G9" s="94">
        <v>5.7557142857142853</v>
      </c>
      <c r="H9" s="94">
        <v>4.465197571428571</v>
      </c>
      <c r="I9" s="173">
        <v>5.9209285714285702</v>
      </c>
      <c r="J9" s="167">
        <v>0.13265714285714286</v>
      </c>
      <c r="K9" s="167">
        <v>0.13269999999999998</v>
      </c>
      <c r="L9" s="94">
        <v>43.376395468613609</v>
      </c>
      <c r="M9" s="168"/>
      <c r="N9" s="169"/>
      <c r="P9" s="677">
        <f>IF(B9="","",B9)</f>
        <v>2</v>
      </c>
      <c r="Q9" s="681" t="str">
        <f>IFERROR(IF(D10="","",D10),"")</f>
        <v>101F15002</v>
      </c>
      <c r="R9" s="681" t="str">
        <f>IFERROR(IF(B9="","","Ref. 대비 차이"),"")</f>
        <v>Ref. 대비 차이</v>
      </c>
      <c r="S9" s="673">
        <f t="shared" ref="S9:Y9" si="1">IFERROR(IF(1-(F9/F10)="","",1-(F9/F10)),"")</f>
        <v>-2.8225664185166366E-4</v>
      </c>
      <c r="T9" s="673">
        <f t="shared" si="1"/>
        <v>3.4689372437716193E-3</v>
      </c>
      <c r="U9" s="673">
        <f t="shared" si="1"/>
        <v>3.83988311898531E-3</v>
      </c>
      <c r="V9" s="673">
        <f t="shared" si="1"/>
        <v>5.266293740028849E-3</v>
      </c>
      <c r="W9" s="673">
        <f t="shared" si="1"/>
        <v>-2.423589605491383E-4</v>
      </c>
      <c r="X9" s="673">
        <f t="shared" si="1"/>
        <v>-2.4551463644948424E-3</v>
      </c>
      <c r="Y9" s="673">
        <f t="shared" si="1"/>
        <v>5.8989994630306297E-3</v>
      </c>
      <c r="Z9" s="673" t="str">
        <f>IFERROR(IF(1-(#REF!/#REF!)="","",1-(#REF!/#REF!)),"")</f>
        <v/>
      </c>
      <c r="AA9" s="675"/>
    </row>
    <row r="10" spans="2:27" ht="17.25" outlineLevel="1" thickBot="1">
      <c r="B10" s="684"/>
      <c r="C10" s="686"/>
      <c r="D10" s="136" t="s">
        <v>51</v>
      </c>
      <c r="E10" s="137" t="s">
        <v>49</v>
      </c>
      <c r="F10" s="90">
        <v>4.0490000000000004</v>
      </c>
      <c r="G10" s="90">
        <v>5.7757499999999995</v>
      </c>
      <c r="H10" s="90">
        <v>4.4824095000000002</v>
      </c>
      <c r="I10" s="174">
        <v>5.9522750000000002</v>
      </c>
      <c r="J10" s="170">
        <v>0.13262500000000002</v>
      </c>
      <c r="K10" s="170">
        <v>0.13237499999999999</v>
      </c>
      <c r="L10" s="90">
        <v>43.633791179350588</v>
      </c>
      <c r="M10" s="171"/>
      <c r="N10" s="172"/>
      <c r="P10" s="678"/>
      <c r="Q10" s="682"/>
      <c r="R10" s="682"/>
      <c r="S10" s="674"/>
      <c r="T10" s="674"/>
      <c r="U10" s="674"/>
      <c r="V10" s="674"/>
      <c r="W10" s="674"/>
      <c r="X10" s="674"/>
      <c r="Y10" s="674"/>
      <c r="Z10" s="674"/>
      <c r="AA10" s="676"/>
    </row>
    <row r="11" spans="2:27">
      <c r="B11" s="677">
        <v>3</v>
      </c>
      <c r="C11" s="679" t="s">
        <v>168</v>
      </c>
      <c r="D11" s="56" t="s">
        <v>52</v>
      </c>
      <c r="E11" s="57" t="s">
        <v>49</v>
      </c>
      <c r="F11" s="58">
        <v>4.1450999999999993</v>
      </c>
      <c r="G11" s="58">
        <v>6.98325</v>
      </c>
      <c r="H11" s="58">
        <v>5.2926852000000002</v>
      </c>
      <c r="I11" s="173">
        <v>6.6659206000000015</v>
      </c>
      <c r="J11" s="59">
        <v>0.13596</v>
      </c>
      <c r="K11" s="59">
        <v>0.14194999999999999</v>
      </c>
      <c r="L11" s="58">
        <v>49.195554100000003</v>
      </c>
      <c r="M11" s="60"/>
      <c r="N11" s="61"/>
      <c r="P11" s="677">
        <f>IF(B11="","",B11)</f>
        <v>3</v>
      </c>
      <c r="Q11" s="681" t="str">
        <f>IFERROR(IF(D12="","",D12),"")</f>
        <v>101F15003</v>
      </c>
      <c r="R11" s="681" t="str">
        <f>IFERROR(IF(B11="","","Ref. 대비 차이"),"")</f>
        <v>Ref. 대비 차이</v>
      </c>
      <c r="S11" s="673">
        <f t="shared" ref="S11:Y11" si="2">IFERROR(IF(1-(F11/F12)="","",1-(F11/F12)),"")</f>
        <v>-4.2638777152026464E-4</v>
      </c>
      <c r="T11" s="673">
        <f t="shared" si="2"/>
        <v>4.3486009623954214E-3</v>
      </c>
      <c r="U11" s="673">
        <f t="shared" si="2"/>
        <v>4.7488944120248622E-3</v>
      </c>
      <c r="V11" s="673">
        <f t="shared" si="2"/>
        <v>5.7446252046130519E-3</v>
      </c>
      <c r="W11" s="673">
        <f t="shared" si="2"/>
        <v>6.3703631106981629E-4</v>
      </c>
      <c r="X11" s="673">
        <f t="shared" si="2"/>
        <v>-2.1886472747809638E-3</v>
      </c>
      <c r="Y11" s="673">
        <f t="shared" si="2"/>
        <v>6.522420368544446E-3</v>
      </c>
      <c r="Z11" s="673" t="str">
        <f>IFERROR(IF(1-(#REF!/#REF!)="","",1-(#REF!/#REF!)),"")</f>
        <v/>
      </c>
      <c r="AA11" s="675"/>
    </row>
    <row r="12" spans="2:27" ht="17.25" outlineLevel="1" thickBot="1">
      <c r="B12" s="678"/>
      <c r="C12" s="680"/>
      <c r="D12" s="13" t="s">
        <v>55</v>
      </c>
      <c r="E12" s="12" t="s">
        <v>49</v>
      </c>
      <c r="F12" s="14">
        <v>4.1433333333333335</v>
      </c>
      <c r="G12" s="14">
        <v>7.0137500000000008</v>
      </c>
      <c r="H12" s="14">
        <v>5.317939533333333</v>
      </c>
      <c r="I12" s="174">
        <v>6.7044350666666661</v>
      </c>
      <c r="J12" s="15">
        <v>0.13604666666666668</v>
      </c>
      <c r="K12" s="15">
        <v>0.14164000000000002</v>
      </c>
      <c r="L12" s="14">
        <v>49.518534799999998</v>
      </c>
      <c r="M12" s="62"/>
      <c r="N12" s="16"/>
      <c r="P12" s="678"/>
      <c r="Q12" s="682"/>
      <c r="R12" s="682"/>
      <c r="S12" s="674"/>
      <c r="T12" s="674"/>
      <c r="U12" s="674"/>
      <c r="V12" s="674"/>
      <c r="W12" s="674"/>
      <c r="X12" s="674"/>
      <c r="Y12" s="674"/>
      <c r="Z12" s="674"/>
      <c r="AA12" s="676"/>
    </row>
    <row r="13" spans="2:27">
      <c r="B13" s="677">
        <v>4</v>
      </c>
      <c r="C13" s="679" t="s">
        <v>171</v>
      </c>
      <c r="D13" s="56" t="s">
        <v>52</v>
      </c>
      <c r="E13" s="57" t="s">
        <v>49</v>
      </c>
      <c r="F13" s="58">
        <v>4.1393000000000004</v>
      </c>
      <c r="G13" s="58">
        <v>7.2523750000000007</v>
      </c>
      <c r="H13" s="58">
        <v>5.5043071000000001</v>
      </c>
      <c r="I13" s="173">
        <v>6.8665909999999997</v>
      </c>
      <c r="J13" s="59">
        <v>0.13474</v>
      </c>
      <c r="K13" s="59">
        <v>0.14470999999999998</v>
      </c>
      <c r="L13" s="58">
        <v>50.116623300000001</v>
      </c>
      <c r="M13" s="60"/>
      <c r="N13" s="61"/>
      <c r="P13" s="677">
        <f>IF(B13="","",B13)</f>
        <v>4</v>
      </c>
      <c r="Q13" s="681" t="str">
        <f>IFERROR(IF(D14="","",D14),"")</f>
        <v>101F15004</v>
      </c>
      <c r="R13" s="681" t="str">
        <f>IFERROR(IF(B13="","","Ref. 대비 차이"),"")</f>
        <v>Ref. 대비 차이</v>
      </c>
      <c r="S13" s="673">
        <f t="shared" ref="S13:Y13" si="3">IFERROR(IF(1-(F13/F14)="","",1-(F13/F14)),"")</f>
        <v>-4.4406697403545081E-3</v>
      </c>
      <c r="T13" s="673">
        <f t="shared" si="3"/>
        <v>-1.1688734408239698E-2</v>
      </c>
      <c r="U13" s="673">
        <f t="shared" si="3"/>
        <v>-7.2138951165294785E-3</v>
      </c>
      <c r="V13" s="673">
        <f t="shared" si="3"/>
        <v>-1.1754476937652303E-2</v>
      </c>
      <c r="W13" s="673">
        <f t="shared" si="3"/>
        <v>4.451038575667976E-4</v>
      </c>
      <c r="X13" s="673">
        <f t="shared" si="3"/>
        <v>2.0726820505756471E-4</v>
      </c>
      <c r="Y13" s="673">
        <f t="shared" si="3"/>
        <v>-1.1899393258407054E-2</v>
      </c>
      <c r="Z13" s="673" t="str">
        <f>IFERROR(IF(1-(#REF!/#REF!)="","",1-(#REF!/#REF!)),"")</f>
        <v/>
      </c>
      <c r="AA13" s="675"/>
    </row>
    <row r="14" spans="2:27" ht="17.25" outlineLevel="1" thickBot="1">
      <c r="B14" s="678"/>
      <c r="C14" s="680"/>
      <c r="D14" s="13" t="s">
        <v>56</v>
      </c>
      <c r="E14" s="12" t="s">
        <v>49</v>
      </c>
      <c r="F14" s="14">
        <v>4.1209999999999996</v>
      </c>
      <c r="G14" s="14">
        <v>7.1685833333333333</v>
      </c>
      <c r="H14" s="14">
        <v>5.4648839999999996</v>
      </c>
      <c r="I14" s="174">
        <v>6.7868155333333329</v>
      </c>
      <c r="J14" s="15">
        <v>0.1348</v>
      </c>
      <c r="K14" s="15">
        <v>0.14474000000000001</v>
      </c>
      <c r="L14" s="14">
        <v>49.527278733333326</v>
      </c>
      <c r="M14" s="62"/>
      <c r="N14" s="16"/>
      <c r="P14" s="678"/>
      <c r="Q14" s="682"/>
      <c r="R14" s="682"/>
      <c r="S14" s="674"/>
      <c r="T14" s="674"/>
      <c r="U14" s="674"/>
      <c r="V14" s="674"/>
      <c r="W14" s="674"/>
      <c r="X14" s="674"/>
      <c r="Y14" s="674"/>
      <c r="Z14" s="674"/>
      <c r="AA14" s="676"/>
    </row>
    <row r="15" spans="2:27">
      <c r="B15" s="677">
        <v>5</v>
      </c>
      <c r="C15" s="679" t="s">
        <v>173</v>
      </c>
      <c r="D15" s="56" t="s">
        <v>52</v>
      </c>
      <c r="E15" s="57" t="s">
        <v>49</v>
      </c>
      <c r="F15" s="58">
        <v>4.1654</v>
      </c>
      <c r="G15" s="58">
        <v>7.4550000000000001</v>
      </c>
      <c r="H15" s="58">
        <v>5.6226520999999989</v>
      </c>
      <c r="I15" s="173">
        <v>7.0566958</v>
      </c>
      <c r="J15" s="59">
        <v>0.13469</v>
      </c>
      <c r="K15" s="59">
        <v>0.14509</v>
      </c>
      <c r="L15" s="58">
        <v>51.382094800000004</v>
      </c>
      <c r="M15" s="60"/>
      <c r="N15" s="61"/>
      <c r="P15" s="677">
        <f>IF(B15="","",B15)</f>
        <v>5</v>
      </c>
      <c r="Q15" s="681" t="str">
        <f>IFERROR(IF(D16="","",D16),"")</f>
        <v>101F15005</v>
      </c>
      <c r="R15" s="681" t="str">
        <f>IFERROR(IF(B15="","","Ref. 대비 차이"),"")</f>
        <v>Ref. 대비 차이</v>
      </c>
      <c r="S15" s="673">
        <f t="shared" ref="S15:Y15" si="4">IFERROR(IF(1-(F15/F16)="","",1-(F15/F16)),"")</f>
        <v>-1.6672812094202794E-3</v>
      </c>
      <c r="T15" s="673">
        <f t="shared" si="4"/>
        <v>6.1545981736174094E-3</v>
      </c>
      <c r="U15" s="673">
        <f t="shared" si="4"/>
        <v>7.804618035610944E-3</v>
      </c>
      <c r="V15" s="673">
        <f t="shared" si="4"/>
        <v>5.8994669013504586E-3</v>
      </c>
      <c r="W15" s="673">
        <f t="shared" si="4"/>
        <v>5.688844917141056E-4</v>
      </c>
      <c r="X15" s="673">
        <f t="shared" si="4"/>
        <v>-6.206896551723684E-4</v>
      </c>
      <c r="Y15" s="673">
        <f t="shared" si="4"/>
        <v>6.7583082385291871E-3</v>
      </c>
      <c r="Z15" s="673" t="str">
        <f>IFERROR(IF(1-(#REF!/#REF!)="","",1-(#REF!/#REF!)),"")</f>
        <v/>
      </c>
      <c r="AA15" s="675"/>
    </row>
    <row r="16" spans="2:27" ht="17.25" outlineLevel="1" thickBot="1">
      <c r="B16" s="678"/>
      <c r="C16" s="680"/>
      <c r="D16" s="13" t="s">
        <v>174</v>
      </c>
      <c r="E16" s="12" t="s">
        <v>49</v>
      </c>
      <c r="F16" s="14">
        <v>4.1584666666666665</v>
      </c>
      <c r="G16" s="14">
        <v>7.5011666666666663</v>
      </c>
      <c r="H16" s="14">
        <v>5.666879933333334</v>
      </c>
      <c r="I16" s="174">
        <v>7.0985735999999999</v>
      </c>
      <c r="J16" s="15">
        <v>0.13476666666666667</v>
      </c>
      <c r="K16" s="15">
        <v>0.14499999999999999</v>
      </c>
      <c r="L16" s="14">
        <v>51.731713666666671</v>
      </c>
      <c r="M16" s="62"/>
      <c r="N16" s="16"/>
      <c r="P16" s="678"/>
      <c r="Q16" s="682"/>
      <c r="R16" s="682"/>
      <c r="S16" s="674"/>
      <c r="T16" s="674"/>
      <c r="U16" s="674"/>
      <c r="V16" s="674"/>
      <c r="W16" s="674"/>
      <c r="X16" s="674"/>
      <c r="Y16" s="674"/>
      <c r="Z16" s="674"/>
      <c r="AA16" s="676"/>
    </row>
    <row r="17" spans="2:27">
      <c r="B17" s="677">
        <v>6</v>
      </c>
      <c r="C17" s="679" t="s">
        <v>181</v>
      </c>
      <c r="D17" s="56" t="s">
        <v>52</v>
      </c>
      <c r="E17" s="57" t="s">
        <v>49</v>
      </c>
      <c r="F17" s="58">
        <v>4.2553999999999998</v>
      </c>
      <c r="G17" s="58">
        <v>6.8953750000000014</v>
      </c>
      <c r="H17" s="58">
        <v>5.0906396000000003</v>
      </c>
      <c r="I17" s="173">
        <v>6.4058149999999996</v>
      </c>
      <c r="J17" s="59">
        <v>0.13568</v>
      </c>
      <c r="K17" s="59">
        <v>0.14749999999999999</v>
      </c>
      <c r="L17" s="58">
        <v>46.7485353</v>
      </c>
      <c r="M17" s="60"/>
      <c r="N17" s="61"/>
      <c r="P17" s="677">
        <f>IF(B17="","",B17)</f>
        <v>6</v>
      </c>
      <c r="Q17" s="681" t="str">
        <f>IFERROR(IF(D18="","",D18),"")</f>
        <v>101G15001</v>
      </c>
      <c r="R17" s="681" t="str">
        <f>IFERROR(IF(B17="","","Ref. 대비 차이"),"")</f>
        <v>Ref. 대비 차이</v>
      </c>
      <c r="S17" s="673">
        <f t="shared" ref="S17:Y17" si="5">IFERROR(IF(1-(F17/F18)="","",1-(F17/F18)),"")</f>
        <v>9.2346220065742113E-4</v>
      </c>
      <c r="T17" s="673">
        <f t="shared" si="5"/>
        <v>7.9096727448346726E-4</v>
      </c>
      <c r="U17" s="673">
        <f t="shared" si="5"/>
        <v>-1.3856105412779485E-4</v>
      </c>
      <c r="V17" s="673">
        <f t="shared" si="5"/>
        <v>2.4539158863411403E-3</v>
      </c>
      <c r="W17" s="673">
        <f t="shared" si="5"/>
        <v>2.4507401235169812E-3</v>
      </c>
      <c r="X17" s="673">
        <f t="shared" si="5"/>
        <v>-4.3578918698081726E-3</v>
      </c>
      <c r="Y17" s="673">
        <f t="shared" si="5"/>
        <v>5.1546485578152224E-3</v>
      </c>
      <c r="Z17" s="673" t="str">
        <f>IFERROR(IF(1-(#REF!/#REF!)="","",1-(#REF!/#REF!)),"")</f>
        <v/>
      </c>
      <c r="AA17" s="675"/>
    </row>
    <row r="18" spans="2:27" ht="17.25" outlineLevel="1" thickBot="1">
      <c r="B18" s="678"/>
      <c r="C18" s="680"/>
      <c r="D18" s="13" t="s">
        <v>175</v>
      </c>
      <c r="E18" s="12" t="s">
        <v>49</v>
      </c>
      <c r="F18" s="14">
        <v>4.2593333333333332</v>
      </c>
      <c r="G18" s="14">
        <v>6.9008333333333329</v>
      </c>
      <c r="H18" s="14">
        <v>5.089934333333332</v>
      </c>
      <c r="I18" s="174">
        <v>6.4215729999999986</v>
      </c>
      <c r="J18" s="15">
        <v>0.13601333333333329</v>
      </c>
      <c r="K18" s="15">
        <v>0.14685999999999996</v>
      </c>
      <c r="L18" s="14">
        <v>46.990756133333335</v>
      </c>
      <c r="M18" s="62"/>
      <c r="N18" s="16"/>
      <c r="P18" s="678"/>
      <c r="Q18" s="682"/>
      <c r="R18" s="682"/>
      <c r="S18" s="674"/>
      <c r="T18" s="674"/>
      <c r="U18" s="674"/>
      <c r="V18" s="674"/>
      <c r="W18" s="674"/>
      <c r="X18" s="674"/>
      <c r="Y18" s="674"/>
      <c r="Z18" s="674"/>
      <c r="AA18" s="676"/>
    </row>
    <row r="19" spans="2:27">
      <c r="B19" s="677">
        <v>7</v>
      </c>
      <c r="C19" s="679" t="s">
        <v>183</v>
      </c>
      <c r="D19" s="56" t="s">
        <v>52</v>
      </c>
      <c r="E19" s="57" t="s">
        <v>49</v>
      </c>
      <c r="F19" s="58">
        <v>4.1938999999999993</v>
      </c>
      <c r="G19" s="58">
        <v>6.7061250000000001</v>
      </c>
      <c r="H19" s="58">
        <v>5.0234898999999995</v>
      </c>
      <c r="I19" s="173">
        <v>6.3515878000000008</v>
      </c>
      <c r="J19" s="59">
        <v>0.13582999999999998</v>
      </c>
      <c r="K19" s="59">
        <v>0.14382999999999999</v>
      </c>
      <c r="L19" s="58">
        <v>46.625993100000002</v>
      </c>
      <c r="M19" s="60"/>
      <c r="N19" s="61"/>
      <c r="P19" s="677">
        <f>IF(B19="","",B19)</f>
        <v>7</v>
      </c>
      <c r="Q19" s="681" t="str">
        <f>IFERROR(IF(D20="","",D20),"")</f>
        <v>101G15002</v>
      </c>
      <c r="R19" s="681" t="str">
        <f>IFERROR(IF(B19="","","Ref. 대비 차이"),"")</f>
        <v>Ref. 대비 차이</v>
      </c>
      <c r="S19" s="673">
        <f t="shared" ref="S19:Y19" si="6">IFERROR(IF(1-(F19/F20)="","",1-(F19/F20)),"")</f>
        <v>-6.9195895967544274E-4</v>
      </c>
      <c r="T19" s="673">
        <f t="shared" si="6"/>
        <v>-3.1100418827285647E-3</v>
      </c>
      <c r="U19" s="673">
        <f t="shared" si="6"/>
        <v>-2.4173468802015652E-3</v>
      </c>
      <c r="V19" s="673">
        <f t="shared" si="6"/>
        <v>-1.9653066558813492E-3</v>
      </c>
      <c r="W19" s="673">
        <f t="shared" si="6"/>
        <v>1.396853403911158E-3</v>
      </c>
      <c r="X19" s="673">
        <f t="shared" si="6"/>
        <v>-2.3462181750601996E-3</v>
      </c>
      <c r="Y19" s="673">
        <f t="shared" si="6"/>
        <v>-7.4049069456161298E-4</v>
      </c>
      <c r="Z19" s="673" t="str">
        <f>IFERROR(IF(1-(#REF!/#REF!)="","",1-(#REF!/#REF!)),"")</f>
        <v/>
      </c>
      <c r="AA19" s="675"/>
    </row>
    <row r="20" spans="2:27" ht="17.25" outlineLevel="1" thickBot="1">
      <c r="B20" s="678"/>
      <c r="C20" s="680"/>
      <c r="D20" s="13" t="s">
        <v>176</v>
      </c>
      <c r="E20" s="12" t="s">
        <v>49</v>
      </c>
      <c r="F20" s="14">
        <v>4.1909999999999998</v>
      </c>
      <c r="G20" s="14">
        <v>6.6853333333333325</v>
      </c>
      <c r="H20" s="14">
        <v>5.0113756666666651</v>
      </c>
      <c r="I20" s="174">
        <v>6.3391294666666678</v>
      </c>
      <c r="J20" s="15">
        <v>0.13601999999999997</v>
      </c>
      <c r="K20" s="15">
        <v>0.14349333333333333</v>
      </c>
      <c r="L20" s="14">
        <v>46.59149253333333</v>
      </c>
      <c r="M20" s="62"/>
      <c r="N20" s="16"/>
      <c r="P20" s="678"/>
      <c r="Q20" s="682"/>
      <c r="R20" s="682"/>
      <c r="S20" s="674"/>
      <c r="T20" s="674"/>
      <c r="U20" s="674"/>
      <c r="V20" s="674"/>
      <c r="W20" s="674"/>
      <c r="X20" s="674"/>
      <c r="Y20" s="674"/>
      <c r="Z20" s="674"/>
      <c r="AA20" s="676"/>
    </row>
    <row r="21" spans="2:27">
      <c r="B21" s="677">
        <v>8</v>
      </c>
      <c r="C21" s="679" t="s">
        <v>185</v>
      </c>
      <c r="D21" s="56" t="s">
        <v>52</v>
      </c>
      <c r="E21" s="57" t="s">
        <v>49</v>
      </c>
      <c r="F21" s="58">
        <v>4.2325999999999997</v>
      </c>
      <c r="G21" s="58">
        <v>6.953125</v>
      </c>
      <c r="H21" s="58">
        <v>5.1608765000000005</v>
      </c>
      <c r="I21" s="173">
        <v>6.6501745000000003</v>
      </c>
      <c r="J21" s="59">
        <v>0.13671000000000003</v>
      </c>
      <c r="K21" s="59">
        <v>0.14108000000000001</v>
      </c>
      <c r="L21" s="58">
        <v>49.285453599999997</v>
      </c>
      <c r="M21" s="60"/>
      <c r="N21" s="63"/>
      <c r="P21" s="677">
        <f>IF(B21="","",B21)</f>
        <v>8</v>
      </c>
      <c r="Q21" s="681" t="str">
        <f>IFERROR(IF(D22="","",D22),"")</f>
        <v>101G15003</v>
      </c>
      <c r="R21" s="681" t="str">
        <f>IFERROR(IF(B21="","","Ref. 대비 차이"),"")</f>
        <v>Ref. 대비 차이</v>
      </c>
      <c r="S21" s="673">
        <f t="shared" ref="S21:Y21" si="7">IFERROR(IF(1-(F21/F22)="","",1-(F21/F22)),"")</f>
        <v>-2.0676157706998044E-3</v>
      </c>
      <c r="T21" s="673">
        <f t="shared" si="7"/>
        <v>-1.2750798062801216E-2</v>
      </c>
      <c r="U21" s="673">
        <f t="shared" si="7"/>
        <v>-1.0657459408889514E-2</v>
      </c>
      <c r="V21" s="673">
        <f t="shared" si="7"/>
        <v>-1.4157733044129373E-2</v>
      </c>
      <c r="W21" s="673">
        <f t="shared" si="7"/>
        <v>3.6560397777141151E-4</v>
      </c>
      <c r="X21" s="673">
        <f t="shared" si="7"/>
        <v>8.4985835694040279E-4</v>
      </c>
      <c r="Y21" s="673">
        <f t="shared" si="7"/>
        <v>-1.3609501999365392E-2</v>
      </c>
      <c r="Z21" s="673" t="str">
        <f>IFERROR(IF(1-(#REF!/#REF!)="","",1-(#REF!/#REF!)),"")</f>
        <v/>
      </c>
      <c r="AA21" s="675"/>
    </row>
    <row r="22" spans="2:27" ht="17.25" outlineLevel="1" thickBot="1">
      <c r="B22" s="678"/>
      <c r="C22" s="680"/>
      <c r="D22" s="13" t="s">
        <v>177</v>
      </c>
      <c r="E22" s="12" t="s">
        <v>49</v>
      </c>
      <c r="F22" s="14">
        <v>4.2238666666666669</v>
      </c>
      <c r="G22" s="14">
        <v>6.8655833333333334</v>
      </c>
      <c r="H22" s="14">
        <v>5.1064546666666661</v>
      </c>
      <c r="I22" s="174">
        <v>6.5573374666666657</v>
      </c>
      <c r="J22" s="15">
        <v>0.13676000000000005</v>
      </c>
      <c r="K22" s="15">
        <v>0.14119999999999999</v>
      </c>
      <c r="L22" s="14">
        <v>48.623709133333335</v>
      </c>
      <c r="M22" s="62"/>
      <c r="N22" s="16"/>
      <c r="P22" s="678"/>
      <c r="Q22" s="682"/>
      <c r="R22" s="682"/>
      <c r="S22" s="674"/>
      <c r="T22" s="674"/>
      <c r="U22" s="674"/>
      <c r="V22" s="674"/>
      <c r="W22" s="674"/>
      <c r="X22" s="674"/>
      <c r="Y22" s="674"/>
      <c r="Z22" s="674"/>
      <c r="AA22" s="676"/>
    </row>
    <row r="23" spans="2:27">
      <c r="B23" s="677">
        <v>9</v>
      </c>
      <c r="C23" s="679" t="s">
        <v>187</v>
      </c>
      <c r="D23" s="56" t="s">
        <v>52</v>
      </c>
      <c r="E23" s="57" t="s">
        <v>49</v>
      </c>
      <c r="F23" s="58">
        <v>4.2144999999999992</v>
      </c>
      <c r="G23" s="58">
        <v>6.8120000000000003</v>
      </c>
      <c r="H23" s="58">
        <v>5.0778440000000007</v>
      </c>
      <c r="I23" s="173">
        <v>6.4577458000000005</v>
      </c>
      <c r="J23" s="59">
        <v>0.13526999999999997</v>
      </c>
      <c r="K23" s="59">
        <v>0.14408000000000001</v>
      </c>
      <c r="L23" s="58">
        <v>47.279791400000008</v>
      </c>
      <c r="M23" s="60"/>
      <c r="N23" s="63"/>
      <c r="P23" s="677">
        <f>IF(B23="","",B23)</f>
        <v>9</v>
      </c>
      <c r="Q23" s="681" t="str">
        <f>IFERROR(IF(D24="","",D24),"")</f>
        <v>101G15004</v>
      </c>
      <c r="R23" s="681" t="str">
        <f>IFERROR(IF(B23="","","Ref. 대비 차이"),"")</f>
        <v>Ref. 대비 차이</v>
      </c>
      <c r="S23" s="673">
        <f t="shared" ref="S23:Y23" si="8">IFERROR(IF(1-(F23/F24)="","",1-(F23/F24)),"")</f>
        <v>-1.068883610451099E-3</v>
      </c>
      <c r="T23" s="673">
        <f t="shared" si="8"/>
        <v>-2.870813397129135E-3</v>
      </c>
      <c r="U23" s="673">
        <f t="shared" si="8"/>
        <v>-1.7964496989744116E-3</v>
      </c>
      <c r="V23" s="673">
        <f t="shared" si="8"/>
        <v>-7.0099348406094109E-4</v>
      </c>
      <c r="W23" s="673">
        <f t="shared" si="8"/>
        <v>8.6172936773698527E-4</v>
      </c>
      <c r="X23" s="673">
        <f t="shared" si="8"/>
        <v>-2.8770301624128081E-3</v>
      </c>
      <c r="Y23" s="673">
        <f t="shared" si="8"/>
        <v>1.4334319133224582E-5</v>
      </c>
      <c r="Z23" s="673" t="str">
        <f>IFERROR(IF(1-(#REF!/#REF!)="","",1-(#REF!/#REF!)),"")</f>
        <v/>
      </c>
      <c r="AA23" s="675"/>
    </row>
    <row r="24" spans="2:27" ht="17.25" outlineLevel="1" thickBot="1">
      <c r="B24" s="678"/>
      <c r="C24" s="680"/>
      <c r="D24" s="13" t="s">
        <v>178</v>
      </c>
      <c r="E24" s="12" t="s">
        <v>49</v>
      </c>
      <c r="F24" s="14">
        <v>4.21</v>
      </c>
      <c r="G24" s="14">
        <v>6.7925000000000004</v>
      </c>
      <c r="H24" s="14">
        <v>5.0687382666666672</v>
      </c>
      <c r="I24" s="174">
        <v>6.4532221333333357</v>
      </c>
      <c r="J24" s="15">
        <v>0.13538666666666666</v>
      </c>
      <c r="K24" s="15">
        <v>0.14366666666666669</v>
      </c>
      <c r="L24" s="14">
        <v>47.280469133333334</v>
      </c>
      <c r="M24" s="62"/>
      <c r="N24" s="16"/>
      <c r="P24" s="678"/>
      <c r="Q24" s="682"/>
      <c r="R24" s="682"/>
      <c r="S24" s="674"/>
      <c r="T24" s="674"/>
      <c r="U24" s="674"/>
      <c r="V24" s="674"/>
      <c r="W24" s="674"/>
      <c r="X24" s="674"/>
      <c r="Y24" s="674"/>
      <c r="Z24" s="674"/>
      <c r="AA24" s="676"/>
    </row>
    <row r="25" spans="2:27">
      <c r="B25" s="677">
        <v>10</v>
      </c>
      <c r="C25" s="679" t="s">
        <v>189</v>
      </c>
      <c r="D25" s="56" t="s">
        <v>52</v>
      </c>
      <c r="E25" s="57" t="s">
        <v>49</v>
      </c>
      <c r="F25" s="58">
        <v>4.219199999999999</v>
      </c>
      <c r="G25" s="58">
        <v>6.9811250000000005</v>
      </c>
      <c r="H25" s="58">
        <v>5.1980941999999999</v>
      </c>
      <c r="I25" s="173">
        <v>6.6497632999999992</v>
      </c>
      <c r="J25" s="59">
        <v>0.13523999999999997</v>
      </c>
      <c r="K25" s="59">
        <v>0.14344999999999999</v>
      </c>
      <c r="L25" s="58">
        <v>48.665523700000001</v>
      </c>
      <c r="M25" s="60"/>
      <c r="N25" s="63"/>
      <c r="P25" s="677">
        <f>IF(B25="","",B25)</f>
        <v>10</v>
      </c>
      <c r="Q25" s="681" t="str">
        <f>IFERROR(IF(D26="","",D26),"")</f>
        <v>101G15005</v>
      </c>
      <c r="R25" s="681" t="str">
        <f>IFERROR(IF(B25="","","Ref. 대비 차이"),"")</f>
        <v>Ref. 대비 차이</v>
      </c>
      <c r="S25" s="673">
        <f t="shared" ref="S25:Y25" si="9">IFERROR(IF(1-(F25/F26)="","",1-(F25/F26)),"")</f>
        <v>1.7665615141960744E-3</v>
      </c>
      <c r="T25" s="673">
        <f t="shared" si="9"/>
        <v>1.3849323131253644E-2</v>
      </c>
      <c r="U25" s="673">
        <f t="shared" si="9"/>
        <v>1.2106099174540086E-2</v>
      </c>
      <c r="V25" s="673">
        <f t="shared" si="9"/>
        <v>1.3062759895921872E-2</v>
      </c>
      <c r="W25" s="673">
        <f t="shared" si="9"/>
        <v>-1.47907114331991E-4</v>
      </c>
      <c r="X25" s="673">
        <f t="shared" si="9"/>
        <v>1.6471024915324373E-3</v>
      </c>
      <c r="Y25" s="673">
        <f t="shared" si="9"/>
        <v>1.2222137633675079E-2</v>
      </c>
      <c r="Z25" s="673" t="str">
        <f>IFERROR(IF(1-(#REF!/#REF!)="","",1-(#REF!/#REF!)),"")</f>
        <v/>
      </c>
      <c r="AA25" s="675"/>
    </row>
    <row r="26" spans="2:27" ht="17.25" outlineLevel="1" thickBot="1">
      <c r="B26" s="678"/>
      <c r="C26" s="680"/>
      <c r="D26" s="13" t="s">
        <v>179</v>
      </c>
      <c r="E26" s="12" t="s">
        <v>49</v>
      </c>
      <c r="F26" s="14">
        <v>4.2266666666666675</v>
      </c>
      <c r="G26" s="14">
        <v>7.0791666666666666</v>
      </c>
      <c r="H26" s="14">
        <v>5.2617940000000001</v>
      </c>
      <c r="I26" s="174">
        <v>6.7377772666666669</v>
      </c>
      <c r="J26" s="15">
        <v>0.13522000000000001</v>
      </c>
      <c r="K26" s="15">
        <v>0.14368666666666666</v>
      </c>
      <c r="L26" s="14">
        <v>49.267680066666671</v>
      </c>
      <c r="M26" s="62"/>
      <c r="N26" s="16"/>
      <c r="P26" s="678"/>
      <c r="Q26" s="682"/>
      <c r="R26" s="682"/>
      <c r="S26" s="674"/>
      <c r="T26" s="674"/>
      <c r="U26" s="674"/>
      <c r="V26" s="674"/>
      <c r="W26" s="674"/>
      <c r="X26" s="674"/>
      <c r="Y26" s="674"/>
      <c r="Z26" s="674"/>
      <c r="AA26" s="676"/>
    </row>
    <row r="27" spans="2:27">
      <c r="B27" s="677">
        <v>11</v>
      </c>
      <c r="C27" s="679" t="s">
        <v>191</v>
      </c>
      <c r="D27" s="56" t="s">
        <v>52</v>
      </c>
      <c r="E27" s="57" t="s">
        <v>49</v>
      </c>
      <c r="F27" s="58">
        <v>4.1951000000000009</v>
      </c>
      <c r="G27" s="58">
        <v>6.5352500000000004</v>
      </c>
      <c r="H27" s="58">
        <v>4.8940773000000002</v>
      </c>
      <c r="I27" s="173">
        <v>6.3574980999999999</v>
      </c>
      <c r="J27" s="59">
        <v>0.13644000000000003</v>
      </c>
      <c r="K27" s="59">
        <v>0.13831000000000002</v>
      </c>
      <c r="L27" s="58">
        <v>47.250801300000006</v>
      </c>
      <c r="M27" s="60"/>
      <c r="N27" s="63"/>
      <c r="P27" s="677">
        <f>IF(B27="","",B27)</f>
        <v>11</v>
      </c>
      <c r="Q27" s="681" t="str">
        <f>IFERROR(IF(D28="","",D28),"")</f>
        <v>101G15006</v>
      </c>
      <c r="R27" s="681" t="str">
        <f>IFERROR(IF(B27="","","Ref. 대비 차이"),"")</f>
        <v>Ref. 대비 차이</v>
      </c>
      <c r="S27" s="673">
        <f t="shared" ref="S27:Y27" si="10">IFERROR(IF(1-(F27/F28)="","",1-(F27/F28)),"")</f>
        <v>-1.8278629897494625E-4</v>
      </c>
      <c r="T27" s="673">
        <f t="shared" si="10"/>
        <v>-2.6080619798258819E-3</v>
      </c>
      <c r="U27" s="673">
        <f t="shared" si="10"/>
        <v>-2.4092740059336037E-3</v>
      </c>
      <c r="V27" s="673">
        <f t="shared" si="10"/>
        <v>-1.8354092426775548E-3</v>
      </c>
      <c r="W27" s="673">
        <f t="shared" si="10"/>
        <v>8.2995654933348817E-4</v>
      </c>
      <c r="X27" s="673">
        <f t="shared" si="10"/>
        <v>-1.4722919482528241E-3</v>
      </c>
      <c r="Y27" s="673">
        <f t="shared" si="10"/>
        <v>-1.1295155498838305E-3</v>
      </c>
      <c r="Z27" s="673" t="str">
        <f>IFERROR(IF(1-(#REF!/#REF!)="","",1-(#REF!/#REF!)),"")</f>
        <v/>
      </c>
      <c r="AA27" s="675"/>
    </row>
    <row r="28" spans="2:27" ht="17.25" outlineLevel="1" thickBot="1">
      <c r="B28" s="678"/>
      <c r="C28" s="680"/>
      <c r="D28" s="13" t="s">
        <v>58</v>
      </c>
      <c r="E28" s="12" t="s">
        <v>49</v>
      </c>
      <c r="F28" s="14">
        <v>4.1943333333333337</v>
      </c>
      <c r="G28" s="14">
        <v>6.5182500000000001</v>
      </c>
      <c r="H28" s="14">
        <v>4.8823144666666671</v>
      </c>
      <c r="I28" s="174">
        <v>6.3458508666666669</v>
      </c>
      <c r="J28" s="15">
        <v>0.13655333333333336</v>
      </c>
      <c r="K28" s="15">
        <v>0.13810666666666666</v>
      </c>
      <c r="L28" s="14">
        <v>47.197490999999999</v>
      </c>
      <c r="M28" s="62"/>
      <c r="N28" s="16"/>
      <c r="P28" s="678"/>
      <c r="Q28" s="682"/>
      <c r="R28" s="682"/>
      <c r="S28" s="674"/>
      <c r="T28" s="674"/>
      <c r="U28" s="674"/>
      <c r="V28" s="674"/>
      <c r="W28" s="674"/>
      <c r="X28" s="674"/>
      <c r="Y28" s="674"/>
      <c r="Z28" s="674"/>
      <c r="AA28" s="676"/>
    </row>
    <row r="29" spans="2:27">
      <c r="C29" s="151"/>
    </row>
  </sheetData>
  <mergeCells count="154">
    <mergeCell ref="W9:W10"/>
    <mergeCell ref="X9:X10"/>
    <mergeCell ref="Y9:Y10"/>
    <mergeCell ref="Z9:Z10"/>
    <mergeCell ref="AA9:AA10"/>
    <mergeCell ref="Z7:Z8"/>
    <mergeCell ref="AA7:AA8"/>
    <mergeCell ref="B9:B10"/>
    <mergeCell ref="C9:C10"/>
    <mergeCell ref="P9:P10"/>
    <mergeCell ref="Q9:Q10"/>
    <mergeCell ref="R9:R10"/>
    <mergeCell ref="S9:S10"/>
    <mergeCell ref="T9:T10"/>
    <mergeCell ref="U9:U10"/>
    <mergeCell ref="T7:T8"/>
    <mergeCell ref="U7:U8"/>
    <mergeCell ref="V7:V8"/>
    <mergeCell ref="W7:W8"/>
    <mergeCell ref="X7:X8"/>
    <mergeCell ref="Y7:Y8"/>
    <mergeCell ref="B7:B8"/>
    <mergeCell ref="C7:C8"/>
    <mergeCell ref="P7:P8"/>
    <mergeCell ref="Q7:Q8"/>
    <mergeCell ref="R7:R8"/>
    <mergeCell ref="S7:S8"/>
    <mergeCell ref="V9:V10"/>
    <mergeCell ref="AA13:AA14"/>
    <mergeCell ref="Z11:Z12"/>
    <mergeCell ref="AA11:AA12"/>
    <mergeCell ref="B13:B14"/>
    <mergeCell ref="C13:C14"/>
    <mergeCell ref="P13:P14"/>
    <mergeCell ref="Q13:Q14"/>
    <mergeCell ref="R13:R14"/>
    <mergeCell ref="S13:S14"/>
    <mergeCell ref="T13:T14"/>
    <mergeCell ref="U13:U14"/>
    <mergeCell ref="T11:T12"/>
    <mergeCell ref="U11:U12"/>
    <mergeCell ref="V11:V12"/>
    <mergeCell ref="W11:W12"/>
    <mergeCell ref="X11:X12"/>
    <mergeCell ref="Y11:Y12"/>
    <mergeCell ref="B11:B12"/>
    <mergeCell ref="C11:C12"/>
    <mergeCell ref="P11:P12"/>
    <mergeCell ref="Q11:Q12"/>
    <mergeCell ref="R11:R12"/>
    <mergeCell ref="S11:S12"/>
    <mergeCell ref="P15:P16"/>
    <mergeCell ref="Q15:Q16"/>
    <mergeCell ref="R15:R16"/>
    <mergeCell ref="S15:S16"/>
    <mergeCell ref="V13:V14"/>
    <mergeCell ref="W13:W14"/>
    <mergeCell ref="X13:X14"/>
    <mergeCell ref="Y13:Y14"/>
    <mergeCell ref="Z13:Z14"/>
    <mergeCell ref="V17:V18"/>
    <mergeCell ref="W17:W18"/>
    <mergeCell ref="X17:X18"/>
    <mergeCell ref="Y17:Y18"/>
    <mergeCell ref="Z17:Z18"/>
    <mergeCell ref="AA17:AA18"/>
    <mergeCell ref="Z15:Z16"/>
    <mergeCell ref="AA15:AA16"/>
    <mergeCell ref="V15:V16"/>
    <mergeCell ref="W15:W16"/>
    <mergeCell ref="X15:X16"/>
    <mergeCell ref="Y15:Y16"/>
    <mergeCell ref="B17:B18"/>
    <mergeCell ref="C17:C18"/>
    <mergeCell ref="P17:P18"/>
    <mergeCell ref="Q17:Q18"/>
    <mergeCell ref="R17:R18"/>
    <mergeCell ref="S17:S18"/>
    <mergeCell ref="T17:T18"/>
    <mergeCell ref="U17:U18"/>
    <mergeCell ref="T15:T16"/>
    <mergeCell ref="U15:U16"/>
    <mergeCell ref="B15:B16"/>
    <mergeCell ref="C15:C16"/>
    <mergeCell ref="AA21:AA22"/>
    <mergeCell ref="Z19:Z20"/>
    <mergeCell ref="AA19:AA20"/>
    <mergeCell ref="B21:B22"/>
    <mergeCell ref="C21:C22"/>
    <mergeCell ref="P21:P22"/>
    <mergeCell ref="Q21:Q22"/>
    <mergeCell ref="R21:R22"/>
    <mergeCell ref="S21:S22"/>
    <mergeCell ref="T21:T22"/>
    <mergeCell ref="U21:U22"/>
    <mergeCell ref="T19:T20"/>
    <mergeCell ref="U19:U20"/>
    <mergeCell ref="V19:V20"/>
    <mergeCell ref="W19:W20"/>
    <mergeCell ref="X19:X20"/>
    <mergeCell ref="Y19:Y20"/>
    <mergeCell ref="B19:B20"/>
    <mergeCell ref="C19:C20"/>
    <mergeCell ref="P19:P20"/>
    <mergeCell ref="Q19:Q20"/>
    <mergeCell ref="R19:R20"/>
    <mergeCell ref="S19:S20"/>
    <mergeCell ref="P23:P24"/>
    <mergeCell ref="Q23:Q24"/>
    <mergeCell ref="R23:R24"/>
    <mergeCell ref="S23:S24"/>
    <mergeCell ref="V21:V22"/>
    <mergeCell ref="W21:W22"/>
    <mergeCell ref="X21:X22"/>
    <mergeCell ref="Y21:Y22"/>
    <mergeCell ref="Z21:Z22"/>
    <mergeCell ref="V25:V26"/>
    <mergeCell ref="W25:W26"/>
    <mergeCell ref="X25:X26"/>
    <mergeCell ref="Y25:Y26"/>
    <mergeCell ref="Z25:Z26"/>
    <mergeCell ref="AA25:AA26"/>
    <mergeCell ref="Z23:Z24"/>
    <mergeCell ref="AA23:AA24"/>
    <mergeCell ref="B25:B26"/>
    <mergeCell ref="C25:C26"/>
    <mergeCell ref="P25:P26"/>
    <mergeCell ref="Q25:Q26"/>
    <mergeCell ref="R25:R26"/>
    <mergeCell ref="S25:S26"/>
    <mergeCell ref="T25:T26"/>
    <mergeCell ref="U25:U26"/>
    <mergeCell ref="T23:T24"/>
    <mergeCell ref="U23:U24"/>
    <mergeCell ref="V23:V24"/>
    <mergeCell ref="W23:W24"/>
    <mergeCell ref="X23:X24"/>
    <mergeCell ref="Y23:Y24"/>
    <mergeCell ref="B23:B24"/>
    <mergeCell ref="C23:C24"/>
    <mergeCell ref="Z27:Z28"/>
    <mergeCell ref="AA27:AA28"/>
    <mergeCell ref="T27:T28"/>
    <mergeCell ref="U27:U28"/>
    <mergeCell ref="V27:V28"/>
    <mergeCell ref="W27:W28"/>
    <mergeCell ref="X27:X28"/>
    <mergeCell ref="Y27:Y28"/>
    <mergeCell ref="B27:B28"/>
    <mergeCell ref="C27:C28"/>
    <mergeCell ref="P27:P28"/>
    <mergeCell ref="Q27:Q28"/>
    <mergeCell ref="R27:R28"/>
    <mergeCell ref="S27:S28"/>
  </mergeCells>
  <phoneticPr fontId="19" type="noConversion"/>
  <conditionalFormatting sqref="S7:Y7 S11:Y11 S13:Y13 S15:Y15 S17:Y17 S19:Y19 S21:Y21 S23:Y23 S25:Y25 S27:Y27 S9:Y9">
    <cfRule type="cellIs" dxfId="97" priority="1" operator="notBetween">
      <formula>0.05</formula>
      <formula>-0.05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7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2678"/>
  <sheetViews>
    <sheetView zoomScaleNormal="100" workbookViewId="0">
      <pane ySplit="2" topLeftCell="A2625" activePane="bottomLeft" state="frozen"/>
      <selection pane="bottomLeft" activeCell="J2" sqref="J2"/>
    </sheetView>
  </sheetViews>
  <sheetFormatPr defaultRowHeight="16.5"/>
  <cols>
    <col min="1" max="1" width="6.625" style="312" customWidth="1"/>
    <col min="2" max="2" width="6" style="240" customWidth="1"/>
    <col min="3" max="3" width="20.625" style="391" customWidth="1"/>
    <col min="4" max="4" width="15.375" style="240" bestFit="1" customWidth="1"/>
    <col min="5" max="8" width="9" style="392" bestFit="1" customWidth="1"/>
    <col min="9" max="10" width="9" style="393" bestFit="1" customWidth="1"/>
    <col min="11" max="11" width="9" style="392" bestFit="1" customWidth="1"/>
    <col min="12" max="13" width="21" style="240" customWidth="1"/>
    <col min="14" max="14" width="14.25" style="240" customWidth="1"/>
    <col min="15" max="22" width="9" style="240"/>
    <col min="23" max="23" width="11.25" style="240" bestFit="1" customWidth="1"/>
    <col min="24" max="16384" width="9" style="240"/>
  </cols>
  <sheetData>
    <row r="1" spans="1:15" ht="36" customHeight="1">
      <c r="A1" s="491"/>
      <c r="C1" s="240"/>
      <c r="E1" s="417"/>
      <c r="F1" s="417"/>
      <c r="G1" s="400"/>
      <c r="H1" s="400"/>
      <c r="I1" s="417"/>
      <c r="J1" s="417"/>
      <c r="K1" s="492"/>
      <c r="L1" s="493"/>
      <c r="M1" s="417"/>
      <c r="N1" s="494"/>
      <c r="O1" s="400"/>
    </row>
    <row r="2" spans="1:15" ht="13.5" customHeight="1">
      <c r="A2" s="491"/>
      <c r="C2" s="240"/>
      <c r="E2" s="417"/>
      <c r="F2" s="417"/>
      <c r="G2" s="417"/>
      <c r="H2" s="417"/>
      <c r="I2" s="417"/>
      <c r="J2" s="417"/>
      <c r="K2" s="492"/>
      <c r="L2" s="495"/>
      <c r="M2" s="417"/>
      <c r="N2" s="494"/>
    </row>
    <row r="3" spans="1:15">
      <c r="B3" s="240" t="s">
        <v>451</v>
      </c>
      <c r="C3" s="240"/>
      <c r="E3" s="240"/>
      <c r="F3" s="240"/>
      <c r="G3" s="240"/>
      <c r="H3" s="240"/>
      <c r="I3" s="240"/>
      <c r="J3" s="240"/>
      <c r="K3" s="240"/>
    </row>
    <row r="4" spans="1:15" ht="17.25" thickBot="1">
      <c r="B4" s="240" t="s">
        <v>452</v>
      </c>
      <c r="C4" s="240"/>
      <c r="E4" s="240"/>
      <c r="F4" s="240"/>
      <c r="G4" s="240"/>
      <c r="H4" s="240"/>
      <c r="I4" s="240"/>
      <c r="J4" s="240"/>
      <c r="K4" s="240"/>
    </row>
    <row r="5" spans="1:15" ht="17.25" thickBot="1">
      <c r="B5" s="313" t="s">
        <v>11</v>
      </c>
      <c r="C5" s="250" t="s">
        <v>0</v>
      </c>
      <c r="D5" s="250" t="s">
        <v>1</v>
      </c>
      <c r="E5" s="250" t="s">
        <v>2</v>
      </c>
      <c r="F5" s="250" t="s">
        <v>3</v>
      </c>
      <c r="G5" s="250" t="s">
        <v>192</v>
      </c>
      <c r="H5" s="250" t="s">
        <v>16</v>
      </c>
      <c r="I5" s="250" t="s">
        <v>6</v>
      </c>
      <c r="J5" s="251" t="s">
        <v>7</v>
      </c>
      <c r="K5" s="252" t="s">
        <v>8</v>
      </c>
      <c r="L5" s="254" t="s">
        <v>453</v>
      </c>
      <c r="M5" s="404"/>
    </row>
    <row r="6" spans="1:15">
      <c r="B6" s="314">
        <v>1</v>
      </c>
      <c r="C6" s="271"/>
      <c r="D6" s="291" t="s">
        <v>215</v>
      </c>
      <c r="E6" s="307">
        <v>3.044</v>
      </c>
      <c r="F6" s="307">
        <v>1.2809999999999999</v>
      </c>
      <c r="G6" s="272">
        <v>1.3220689999999999</v>
      </c>
      <c r="H6" s="307">
        <v>1.2262200000000001</v>
      </c>
      <c r="I6" s="273">
        <v>0.1469</v>
      </c>
      <c r="J6" s="273">
        <v>0.13650000000000001</v>
      </c>
      <c r="K6" s="272">
        <v>9.3846150000000002</v>
      </c>
      <c r="L6" s="275" t="s">
        <v>210</v>
      </c>
      <c r="M6" s="397"/>
    </row>
    <row r="7" spans="1:15">
      <c r="B7" s="315">
        <v>2</v>
      </c>
      <c r="C7" s="316"/>
      <c r="D7" s="299" t="s">
        <v>216</v>
      </c>
      <c r="E7" s="309">
        <v>3.0379999999999998</v>
      </c>
      <c r="F7" s="309">
        <v>1.254</v>
      </c>
      <c r="G7" s="317">
        <v>1.296759</v>
      </c>
      <c r="H7" s="309">
        <v>1.197406</v>
      </c>
      <c r="I7" s="318">
        <v>0.1472</v>
      </c>
      <c r="J7" s="318">
        <v>0.13719999999999999</v>
      </c>
      <c r="K7" s="317">
        <v>9.1399419999999996</v>
      </c>
      <c r="L7" s="319" t="s">
        <v>212</v>
      </c>
      <c r="M7" s="398"/>
    </row>
    <row r="8" spans="1:15">
      <c r="B8" s="315">
        <v>3</v>
      </c>
      <c r="C8" s="320" t="s">
        <v>205</v>
      </c>
      <c r="D8" s="299" t="s">
        <v>217</v>
      </c>
      <c r="E8" s="309">
        <v>3.0390000000000001</v>
      </c>
      <c r="F8" s="309">
        <v>1.238</v>
      </c>
      <c r="G8" s="317">
        <v>1.279792</v>
      </c>
      <c r="H8" s="309">
        <v>1.1807620000000001</v>
      </c>
      <c r="I8" s="318">
        <v>0.1472</v>
      </c>
      <c r="J8" s="318">
        <v>0.13719999999999999</v>
      </c>
      <c r="K8" s="317">
        <v>9.0233240000000006</v>
      </c>
      <c r="L8" s="321"/>
      <c r="M8" s="399"/>
    </row>
    <row r="9" spans="1:15">
      <c r="B9" s="315">
        <v>4</v>
      </c>
      <c r="C9" s="320"/>
      <c r="D9" s="299" t="s">
        <v>218</v>
      </c>
      <c r="E9" s="309">
        <v>3.0529999999999999</v>
      </c>
      <c r="F9" s="309">
        <v>1.296</v>
      </c>
      <c r="G9" s="317">
        <v>1.3336060000000001</v>
      </c>
      <c r="H9" s="309">
        <v>1.255833</v>
      </c>
      <c r="I9" s="318">
        <v>0.1464</v>
      </c>
      <c r="J9" s="318">
        <v>0.1346</v>
      </c>
      <c r="K9" s="317">
        <v>9.6285290000000003</v>
      </c>
      <c r="L9" s="321"/>
      <c r="M9" s="399"/>
    </row>
    <row r="10" spans="1:15" ht="17.25" thickBot="1">
      <c r="B10" s="322">
        <v>5</v>
      </c>
      <c r="C10" s="323"/>
      <c r="D10" s="293" t="s">
        <v>219</v>
      </c>
      <c r="E10" s="311">
        <v>3.0840000000000001</v>
      </c>
      <c r="F10" s="311">
        <v>1.3819999999999999</v>
      </c>
      <c r="G10" s="278">
        <v>1.407807</v>
      </c>
      <c r="H10" s="311">
        <v>1.373813</v>
      </c>
      <c r="I10" s="279">
        <v>0.1449</v>
      </c>
      <c r="J10" s="279">
        <v>0.13070000000000001</v>
      </c>
      <c r="K10" s="278">
        <v>10.573833</v>
      </c>
      <c r="L10" s="324"/>
      <c r="M10" s="399"/>
    </row>
    <row r="11" spans="1:15" ht="17.25" thickBot="1">
      <c r="B11" s="325"/>
      <c r="C11" s="326"/>
      <c r="D11" s="327" t="s">
        <v>454</v>
      </c>
      <c r="E11" s="328">
        <f>AVERAGE(E6:E10)</f>
        <v>3.0515999999999996</v>
      </c>
      <c r="F11" s="328">
        <f t="shared" ref="F11:K11" si="0">AVERAGE(F6:F10)</f>
        <v>1.2902</v>
      </c>
      <c r="G11" s="328">
        <f t="shared" si="0"/>
        <v>1.3280065999999999</v>
      </c>
      <c r="H11" s="328">
        <f t="shared" si="0"/>
        <v>1.2468068000000001</v>
      </c>
      <c r="I11" s="329">
        <f t="shared" si="0"/>
        <v>0.14652000000000001</v>
      </c>
      <c r="J11" s="329">
        <f t="shared" si="0"/>
        <v>0.13524</v>
      </c>
      <c r="K11" s="330">
        <f t="shared" si="0"/>
        <v>9.5500486000000002</v>
      </c>
      <c r="L11" s="331"/>
      <c r="M11" s="399"/>
    </row>
    <row r="12" spans="1:15">
      <c r="B12" s="314">
        <v>6</v>
      </c>
      <c r="C12" s="271"/>
      <c r="D12" s="291" t="s">
        <v>220</v>
      </c>
      <c r="E12" s="307">
        <v>3.0369999999999999</v>
      </c>
      <c r="F12" s="307">
        <v>1.2410000000000001</v>
      </c>
      <c r="G12" s="272">
        <v>1.283738</v>
      </c>
      <c r="H12" s="272">
        <v>1.1760219999999999</v>
      </c>
      <c r="I12" s="273">
        <v>0.14729999999999999</v>
      </c>
      <c r="J12" s="273">
        <v>0.13819999999999999</v>
      </c>
      <c r="K12" s="272">
        <v>8.9797399999999996</v>
      </c>
      <c r="L12" s="332"/>
      <c r="M12" s="399"/>
    </row>
    <row r="13" spans="1:15">
      <c r="B13" s="315">
        <v>7</v>
      </c>
      <c r="C13" s="320"/>
      <c r="D13" s="299" t="s">
        <v>221</v>
      </c>
      <c r="E13" s="309">
        <v>3.0379999999999998</v>
      </c>
      <c r="F13" s="309">
        <v>1.2110000000000001</v>
      </c>
      <c r="G13" s="317">
        <v>1.2522930000000001</v>
      </c>
      <c r="H13" s="317">
        <v>1.14097</v>
      </c>
      <c r="I13" s="318">
        <v>0.1477</v>
      </c>
      <c r="J13" s="318">
        <v>0.13919999999999999</v>
      </c>
      <c r="K13" s="317">
        <v>8.6997129999999991</v>
      </c>
      <c r="L13" s="321"/>
      <c r="M13" s="399"/>
    </row>
    <row r="14" spans="1:15">
      <c r="B14" s="315">
        <v>8</v>
      </c>
      <c r="C14" s="320"/>
      <c r="D14" s="299" t="s">
        <v>222</v>
      </c>
      <c r="E14" s="309">
        <v>3.04</v>
      </c>
      <c r="F14" s="309">
        <v>1.204</v>
      </c>
      <c r="G14" s="317">
        <v>1.244235</v>
      </c>
      <c r="H14" s="317">
        <v>1.135853</v>
      </c>
      <c r="I14" s="318">
        <v>0.1477</v>
      </c>
      <c r="J14" s="318">
        <v>0.13880000000000001</v>
      </c>
      <c r="K14" s="317">
        <v>8.6743520000000007</v>
      </c>
      <c r="L14" s="321"/>
      <c r="M14" s="399"/>
    </row>
    <row r="15" spans="1:15">
      <c r="B15" s="315">
        <v>9</v>
      </c>
      <c r="C15" s="320"/>
      <c r="D15" s="299" t="s">
        <v>223</v>
      </c>
      <c r="E15" s="309">
        <v>3.044</v>
      </c>
      <c r="F15" s="309">
        <v>1.2270000000000001</v>
      </c>
      <c r="G15" s="317">
        <v>1.266337</v>
      </c>
      <c r="H15" s="317">
        <v>1.1741170000000001</v>
      </c>
      <c r="I15" s="318">
        <v>0.1469</v>
      </c>
      <c r="J15" s="318">
        <v>0.13669999999999999</v>
      </c>
      <c r="K15" s="317">
        <v>8.9758600000000008</v>
      </c>
      <c r="L15" s="321"/>
      <c r="M15" s="399"/>
    </row>
    <row r="16" spans="1:15" ht="17.25" thickBot="1">
      <c r="B16" s="322">
        <v>10</v>
      </c>
      <c r="C16" s="323"/>
      <c r="D16" s="293" t="s">
        <v>224</v>
      </c>
      <c r="E16" s="311">
        <v>3.048</v>
      </c>
      <c r="F16" s="311">
        <v>1.2649999999999999</v>
      </c>
      <c r="G16" s="278">
        <v>1.3038419999999999</v>
      </c>
      <c r="H16" s="278">
        <v>1.2306170000000001</v>
      </c>
      <c r="I16" s="279">
        <v>0.14599999999999999</v>
      </c>
      <c r="J16" s="279">
        <v>0.13439999999999999</v>
      </c>
      <c r="K16" s="278">
        <v>9.4122020000000006</v>
      </c>
      <c r="L16" s="324"/>
      <c r="M16" s="399"/>
    </row>
    <row r="17" spans="2:13" ht="17.25" thickBot="1">
      <c r="B17" s="325" t="s">
        <v>455</v>
      </c>
      <c r="C17" s="326"/>
      <c r="D17" s="327" t="s">
        <v>456</v>
      </c>
      <c r="E17" s="328">
        <f>AVERAGE(E12:E16)</f>
        <v>3.0413999999999999</v>
      </c>
      <c r="F17" s="328">
        <f t="shared" ref="F17:K17" si="1">AVERAGE(F12:F16)</f>
        <v>1.2296</v>
      </c>
      <c r="G17" s="328">
        <f t="shared" si="1"/>
        <v>1.270089</v>
      </c>
      <c r="H17" s="328">
        <f t="shared" si="1"/>
        <v>1.1715157999999999</v>
      </c>
      <c r="I17" s="329">
        <f t="shared" si="1"/>
        <v>0.14712</v>
      </c>
      <c r="J17" s="329">
        <f t="shared" si="1"/>
        <v>0.13745999999999997</v>
      </c>
      <c r="K17" s="330">
        <f t="shared" si="1"/>
        <v>8.9483734000000013</v>
      </c>
      <c r="L17" s="331"/>
      <c r="M17" s="399"/>
    </row>
    <row r="18" spans="2:13">
      <c r="B18" s="333">
        <v>11</v>
      </c>
      <c r="C18" s="334"/>
      <c r="D18" s="291" t="s">
        <v>225</v>
      </c>
      <c r="E18" s="307">
        <v>3.0369999999999999</v>
      </c>
      <c r="F18" s="307">
        <v>1.1919999999999999</v>
      </c>
      <c r="G18" s="272">
        <v>1.2330509999999999</v>
      </c>
      <c r="H18" s="272">
        <v>1.11646</v>
      </c>
      <c r="I18" s="273">
        <v>0.14799999999999999</v>
      </c>
      <c r="J18" s="273">
        <v>0.14050000000000001</v>
      </c>
      <c r="K18" s="272">
        <v>8.4839859999999998</v>
      </c>
      <c r="L18" s="332"/>
      <c r="M18" s="399"/>
    </row>
    <row r="19" spans="2:13">
      <c r="B19" s="335">
        <v>12</v>
      </c>
      <c r="C19" s="320"/>
      <c r="D19" s="299" t="s">
        <v>226</v>
      </c>
      <c r="E19" s="309">
        <v>3.04</v>
      </c>
      <c r="F19" s="309">
        <v>1.1779999999999999</v>
      </c>
      <c r="G19" s="317">
        <v>1.2173659999999999</v>
      </c>
      <c r="H19" s="317">
        <v>1.100017</v>
      </c>
      <c r="I19" s="318">
        <v>0.1482</v>
      </c>
      <c r="J19" s="318">
        <v>0.14069999999999999</v>
      </c>
      <c r="K19" s="317">
        <v>8.3724240000000005</v>
      </c>
      <c r="L19" s="321"/>
      <c r="M19" s="399"/>
    </row>
    <row r="20" spans="2:13">
      <c r="B20" s="335">
        <v>13</v>
      </c>
      <c r="C20" s="320"/>
      <c r="D20" s="299" t="s">
        <v>227</v>
      </c>
      <c r="E20" s="309">
        <v>3.0459999999999998</v>
      </c>
      <c r="F20" s="309">
        <v>1.1619999999999999</v>
      </c>
      <c r="G20" s="317">
        <v>1.198466</v>
      </c>
      <c r="H20" s="317">
        <v>1.0873189999999999</v>
      </c>
      <c r="I20" s="318">
        <v>0.14810000000000001</v>
      </c>
      <c r="J20" s="318">
        <v>0.14050000000000001</v>
      </c>
      <c r="K20" s="317">
        <v>8.2704629999999995</v>
      </c>
      <c r="L20" s="321"/>
      <c r="M20" s="399"/>
    </row>
    <row r="21" spans="2:13">
      <c r="B21" s="335">
        <v>14</v>
      </c>
      <c r="C21" s="320"/>
      <c r="D21" s="299" t="s">
        <v>228</v>
      </c>
      <c r="E21" s="309">
        <v>3.044</v>
      </c>
      <c r="F21" s="309">
        <v>1.171</v>
      </c>
      <c r="G21" s="317">
        <v>1.208542</v>
      </c>
      <c r="H21" s="317">
        <v>1.1054900000000001</v>
      </c>
      <c r="I21" s="318">
        <v>0.1477</v>
      </c>
      <c r="J21" s="318">
        <v>0.13930000000000001</v>
      </c>
      <c r="K21" s="317">
        <v>8.4063169999999996</v>
      </c>
      <c r="L21" s="321"/>
      <c r="M21" s="399"/>
    </row>
    <row r="22" spans="2:13" ht="17.25" thickBot="1">
      <c r="B22" s="336">
        <v>15</v>
      </c>
      <c r="C22" s="323"/>
      <c r="D22" s="293" t="s">
        <v>229</v>
      </c>
      <c r="E22" s="311">
        <v>3.036</v>
      </c>
      <c r="F22" s="311">
        <v>1.1890000000000001</v>
      </c>
      <c r="G22" s="278">
        <v>1.230353</v>
      </c>
      <c r="H22" s="278">
        <v>1.1350709999999999</v>
      </c>
      <c r="I22" s="279">
        <v>0.14680000000000001</v>
      </c>
      <c r="J22" s="279">
        <v>0.13730000000000001</v>
      </c>
      <c r="K22" s="278">
        <v>8.6598690000000005</v>
      </c>
      <c r="L22" s="324"/>
      <c r="M22" s="399"/>
    </row>
    <row r="23" spans="2:13" ht="17.25" thickBot="1">
      <c r="B23" s="337"/>
      <c r="C23" s="326"/>
      <c r="D23" s="338" t="s">
        <v>457</v>
      </c>
      <c r="E23" s="328">
        <f>AVERAGE(E18:E22)</f>
        <v>3.0406</v>
      </c>
      <c r="F23" s="328">
        <f t="shared" ref="F23:K23" si="2">AVERAGE(F18:F22)</f>
        <v>1.1784000000000001</v>
      </c>
      <c r="G23" s="328">
        <f t="shared" si="2"/>
        <v>1.2175555999999998</v>
      </c>
      <c r="H23" s="328">
        <f t="shared" si="2"/>
        <v>1.1088714</v>
      </c>
      <c r="I23" s="329">
        <f t="shared" si="2"/>
        <v>0.14776000000000003</v>
      </c>
      <c r="J23" s="329">
        <f t="shared" si="2"/>
        <v>0.13966000000000001</v>
      </c>
      <c r="K23" s="330">
        <f t="shared" si="2"/>
        <v>8.4386118000000003</v>
      </c>
      <c r="L23" s="331"/>
      <c r="M23" s="399"/>
    </row>
    <row r="24" spans="2:13">
      <c r="B24" s="333">
        <v>16</v>
      </c>
      <c r="C24" s="271"/>
      <c r="D24" s="291" t="s">
        <v>230</v>
      </c>
      <c r="E24" s="307">
        <v>3.0379999999999998</v>
      </c>
      <c r="F24" s="307">
        <v>1.1599999999999999</v>
      </c>
      <c r="G24" s="272">
        <v>1.199554</v>
      </c>
      <c r="H24" s="272">
        <v>1.0760179999999999</v>
      </c>
      <c r="I24" s="273">
        <v>0.14860000000000001</v>
      </c>
      <c r="J24" s="273">
        <v>0.14199999999999999</v>
      </c>
      <c r="K24" s="272">
        <v>8.1690140000000007</v>
      </c>
      <c r="L24" s="332"/>
      <c r="M24" s="399"/>
    </row>
    <row r="25" spans="2:13">
      <c r="B25" s="335">
        <v>17</v>
      </c>
      <c r="C25" s="320"/>
      <c r="D25" s="299" t="s">
        <v>231</v>
      </c>
      <c r="E25" s="309">
        <v>3.0419999999999998</v>
      </c>
      <c r="F25" s="309">
        <v>1.1479999999999999</v>
      </c>
      <c r="G25" s="317">
        <v>1.185584</v>
      </c>
      <c r="H25" s="317">
        <v>1.064368</v>
      </c>
      <c r="I25" s="318">
        <v>0.14860000000000001</v>
      </c>
      <c r="J25" s="318">
        <v>0.14199999999999999</v>
      </c>
      <c r="K25" s="317">
        <v>8.0845070000000003</v>
      </c>
      <c r="L25" s="321"/>
      <c r="M25" s="399"/>
    </row>
    <row r="26" spans="2:13">
      <c r="B26" s="335">
        <v>18</v>
      </c>
      <c r="C26" s="320"/>
      <c r="D26" s="299" t="s">
        <v>232</v>
      </c>
      <c r="E26" s="309">
        <v>3.0419999999999998</v>
      </c>
      <c r="F26" s="309">
        <v>1.1279999999999999</v>
      </c>
      <c r="G26" s="317">
        <v>1.1649290000000001</v>
      </c>
      <c r="H26" s="317">
        <v>1.0436840000000001</v>
      </c>
      <c r="I26" s="318">
        <v>0.1487</v>
      </c>
      <c r="J26" s="318">
        <v>0.14219999999999999</v>
      </c>
      <c r="K26" s="317">
        <v>7.9324890000000003</v>
      </c>
      <c r="L26" s="321"/>
      <c r="M26" s="399"/>
    </row>
    <row r="27" spans="2:13">
      <c r="B27" s="335">
        <v>19</v>
      </c>
      <c r="C27" s="320"/>
      <c r="D27" s="299" t="s">
        <v>233</v>
      </c>
      <c r="E27" s="309">
        <v>3.0379999999999998</v>
      </c>
      <c r="F27" s="309">
        <v>1.137</v>
      </c>
      <c r="G27" s="317">
        <v>1.17577</v>
      </c>
      <c r="H27" s="317">
        <v>1.063005</v>
      </c>
      <c r="I27" s="318">
        <v>0.1482</v>
      </c>
      <c r="J27" s="318">
        <v>0.14080000000000001</v>
      </c>
      <c r="K27" s="317">
        <v>8.0752839999999999</v>
      </c>
      <c r="L27" s="321"/>
      <c r="M27" s="399"/>
    </row>
    <row r="28" spans="2:13" ht="17.25" thickBot="1">
      <c r="B28" s="336">
        <v>20</v>
      </c>
      <c r="C28" s="323"/>
      <c r="D28" s="293" t="s">
        <v>234</v>
      </c>
      <c r="E28" s="311">
        <v>3.0310000000000001</v>
      </c>
      <c r="F28" s="311">
        <v>1.1499999999999999</v>
      </c>
      <c r="G28" s="278">
        <v>1.191959</v>
      </c>
      <c r="H28" s="278">
        <v>1.088716</v>
      </c>
      <c r="I28" s="279">
        <v>0.1474</v>
      </c>
      <c r="J28" s="279">
        <v>0.13900000000000001</v>
      </c>
      <c r="K28" s="278">
        <v>8.2733810000000005</v>
      </c>
      <c r="L28" s="324"/>
      <c r="M28" s="399"/>
    </row>
    <row r="29" spans="2:13" ht="17.25" thickBot="1">
      <c r="B29" s="337"/>
      <c r="C29" s="326"/>
      <c r="D29" s="338" t="s">
        <v>457</v>
      </c>
      <c r="E29" s="328">
        <f>AVERAGE(E24:E28)</f>
        <v>3.0382000000000002</v>
      </c>
      <c r="F29" s="328">
        <f t="shared" ref="F29:K29" si="3">AVERAGE(F24:F28)</f>
        <v>1.1446000000000001</v>
      </c>
      <c r="G29" s="328">
        <f t="shared" si="3"/>
        <v>1.1835591999999999</v>
      </c>
      <c r="H29" s="328">
        <f t="shared" si="3"/>
        <v>1.0671582000000002</v>
      </c>
      <c r="I29" s="329">
        <f t="shared" si="3"/>
        <v>0.14830000000000002</v>
      </c>
      <c r="J29" s="329">
        <f t="shared" si="3"/>
        <v>0.14119999999999999</v>
      </c>
      <c r="K29" s="328">
        <f t="shared" si="3"/>
        <v>8.106935</v>
      </c>
      <c r="L29" s="331"/>
      <c r="M29" s="399"/>
    </row>
    <row r="30" spans="2:13">
      <c r="B30" s="333">
        <v>21</v>
      </c>
      <c r="C30" s="271"/>
      <c r="D30" s="291" t="s">
        <v>235</v>
      </c>
      <c r="E30" s="307">
        <v>3.0379999999999998</v>
      </c>
      <c r="F30" s="307">
        <v>1.145</v>
      </c>
      <c r="G30" s="272">
        <v>1.184042</v>
      </c>
      <c r="H30" s="272">
        <v>1.0546979999999999</v>
      </c>
      <c r="I30" s="273">
        <v>0.1489</v>
      </c>
      <c r="J30" s="273">
        <v>0.1429</v>
      </c>
      <c r="K30" s="272">
        <v>8.0125960000000003</v>
      </c>
      <c r="L30" s="332"/>
      <c r="M30" s="399"/>
    </row>
    <row r="31" spans="2:13">
      <c r="B31" s="335">
        <v>22</v>
      </c>
      <c r="C31" s="320"/>
      <c r="D31" s="299" t="s">
        <v>236</v>
      </c>
      <c r="E31" s="309">
        <v>3.04</v>
      </c>
      <c r="F31" s="309">
        <v>1.1339999999999999</v>
      </c>
      <c r="G31" s="317">
        <v>1.171896</v>
      </c>
      <c r="H31" s="317">
        <v>1.045779</v>
      </c>
      <c r="I31" s="318">
        <v>0.1489</v>
      </c>
      <c r="J31" s="318">
        <v>0.14280000000000001</v>
      </c>
      <c r="K31" s="317">
        <v>7.9411759999999996</v>
      </c>
      <c r="L31" s="321"/>
      <c r="M31" s="399"/>
    </row>
    <row r="32" spans="2:13">
      <c r="B32" s="335">
        <v>23</v>
      </c>
      <c r="C32" s="320"/>
      <c r="D32" s="299" t="s">
        <v>237</v>
      </c>
      <c r="E32" s="309">
        <v>3.0390000000000001</v>
      </c>
      <c r="F32" s="309">
        <v>1.1100000000000001</v>
      </c>
      <c r="G32" s="317">
        <v>1.1474709999999999</v>
      </c>
      <c r="H32" s="317">
        <v>1.022791</v>
      </c>
      <c r="I32" s="318">
        <v>0.14899999999999999</v>
      </c>
      <c r="J32" s="318">
        <v>0.1431</v>
      </c>
      <c r="K32" s="317">
        <v>7.7568130000000002</v>
      </c>
      <c r="L32" s="321"/>
      <c r="M32" s="399"/>
    </row>
    <row r="33" spans="2:13">
      <c r="B33" s="335">
        <v>24</v>
      </c>
      <c r="C33" s="320"/>
      <c r="D33" s="299" t="s">
        <v>238</v>
      </c>
      <c r="E33" s="309">
        <v>3.0339999999999998</v>
      </c>
      <c r="F33" s="309">
        <v>1.1100000000000001</v>
      </c>
      <c r="G33" s="317">
        <v>1.149362</v>
      </c>
      <c r="H33" s="317">
        <v>1.029134</v>
      </c>
      <c r="I33" s="318">
        <v>0.14860000000000001</v>
      </c>
      <c r="J33" s="318">
        <v>0.1419</v>
      </c>
      <c r="K33" s="317">
        <v>7.8224099999999996</v>
      </c>
      <c r="L33" s="321"/>
      <c r="M33" s="399"/>
    </row>
    <row r="34" spans="2:13" ht="17.25" thickBot="1">
      <c r="B34" s="336">
        <v>25</v>
      </c>
      <c r="C34" s="323"/>
      <c r="D34" s="293" t="s">
        <v>239</v>
      </c>
      <c r="E34" s="311">
        <v>3.0270000000000001</v>
      </c>
      <c r="F34" s="311">
        <v>1.135</v>
      </c>
      <c r="G34" s="278">
        <v>1.177967</v>
      </c>
      <c r="H34" s="278">
        <v>1.069078</v>
      </c>
      <c r="I34" s="279">
        <v>0.1477</v>
      </c>
      <c r="J34" s="279">
        <v>0.13950000000000001</v>
      </c>
      <c r="K34" s="278">
        <v>8.1362009999999998</v>
      </c>
      <c r="L34" s="324"/>
      <c r="M34" s="399"/>
    </row>
    <row r="35" spans="2:13" ht="17.25" thickBot="1">
      <c r="B35" s="339" t="s">
        <v>455</v>
      </c>
      <c r="C35" s="340"/>
      <c r="D35" s="341" t="s">
        <v>457</v>
      </c>
      <c r="E35" s="342">
        <f>AVERAGE(E30:E34)</f>
        <v>3.0356000000000001</v>
      </c>
      <c r="F35" s="342">
        <f t="shared" ref="F35:K35" si="4">AVERAGE(F30:F34)</f>
        <v>1.1268</v>
      </c>
      <c r="G35" s="342">
        <f t="shared" si="4"/>
        <v>1.1661476</v>
      </c>
      <c r="H35" s="342">
        <f t="shared" si="4"/>
        <v>1.0442959999999999</v>
      </c>
      <c r="I35" s="343">
        <f t="shared" si="4"/>
        <v>0.14861999999999997</v>
      </c>
      <c r="J35" s="343">
        <f t="shared" si="4"/>
        <v>0.14204</v>
      </c>
      <c r="K35" s="342">
        <f t="shared" si="4"/>
        <v>7.9338391999999995</v>
      </c>
      <c r="L35" s="344"/>
      <c r="M35" s="399"/>
    </row>
    <row r="36" spans="2:13">
      <c r="B36" s="333"/>
      <c r="C36" s="345"/>
      <c r="D36" s="291" t="s">
        <v>458</v>
      </c>
      <c r="E36" s="346">
        <f>MEDIAN(E6:E10,E12:E16,E18:E22,E24:E28,E30:E34)</f>
        <v>3.0390000000000001</v>
      </c>
      <c r="F36" s="346">
        <f t="shared" ref="F36:K36" si="5">MEDIAN(F6:F10,F12:F16,F18:F22,F24:F28,F30:F34)</f>
        <v>1.1779999999999999</v>
      </c>
      <c r="G36" s="346">
        <f t="shared" si="5"/>
        <v>1.2173659999999999</v>
      </c>
      <c r="H36" s="346">
        <f t="shared" si="5"/>
        <v>1.1054900000000001</v>
      </c>
      <c r="I36" s="347">
        <f t="shared" si="5"/>
        <v>0.1477</v>
      </c>
      <c r="J36" s="347">
        <f t="shared" si="5"/>
        <v>0.13930000000000001</v>
      </c>
      <c r="K36" s="348">
        <f t="shared" si="5"/>
        <v>8.4063169999999996</v>
      </c>
      <c r="L36" s="332"/>
      <c r="M36" s="399"/>
    </row>
    <row r="37" spans="2:13">
      <c r="B37" s="335"/>
      <c r="C37" s="320"/>
      <c r="D37" s="299" t="s">
        <v>457</v>
      </c>
      <c r="E37" s="349">
        <f>AVERAGE(E6:E10,E12:E16,E18:E22,E24:E28,E30:E34)</f>
        <v>3.0414799999999995</v>
      </c>
      <c r="F37" s="349">
        <f t="shared" ref="F37:K37" si="6">AVERAGE(F6:F10,F12:F16,F18:F22,F24:F28,F30:F34)</f>
        <v>1.1939199999999999</v>
      </c>
      <c r="G37" s="349">
        <f t="shared" si="6"/>
        <v>1.2330716000000002</v>
      </c>
      <c r="H37" s="349">
        <f t="shared" si="6"/>
        <v>1.1277296400000001</v>
      </c>
      <c r="I37" s="350">
        <f t="shared" si="6"/>
        <v>0.14766399999999996</v>
      </c>
      <c r="J37" s="350">
        <f t="shared" si="6"/>
        <v>0.13912000000000002</v>
      </c>
      <c r="K37" s="351">
        <f t="shared" si="6"/>
        <v>8.5955615999999999</v>
      </c>
      <c r="L37" s="321"/>
      <c r="M37" s="399"/>
    </row>
    <row r="38" spans="2:13">
      <c r="B38" s="335"/>
      <c r="C38" s="320"/>
      <c r="D38" s="299" t="s">
        <v>199</v>
      </c>
      <c r="E38" s="349">
        <f>MAX(E6:E10,E12:E16,E18:E22,E24:E28,E30:E34)</f>
        <v>3.0840000000000001</v>
      </c>
      <c r="F38" s="349">
        <f t="shared" ref="F38:K38" si="7">MAX(F6:F10,F12:F16,F18:F22,F24:F28,F30:F34)</f>
        <v>1.3819999999999999</v>
      </c>
      <c r="G38" s="349">
        <f t="shared" si="7"/>
        <v>1.407807</v>
      </c>
      <c r="H38" s="349">
        <f t="shared" si="7"/>
        <v>1.373813</v>
      </c>
      <c r="I38" s="350">
        <f t="shared" si="7"/>
        <v>0.14899999999999999</v>
      </c>
      <c r="J38" s="350">
        <f t="shared" si="7"/>
        <v>0.1431</v>
      </c>
      <c r="K38" s="351">
        <f t="shared" si="7"/>
        <v>10.573833</v>
      </c>
      <c r="L38" s="321"/>
      <c r="M38" s="399"/>
    </row>
    <row r="39" spans="2:13">
      <c r="B39" s="335"/>
      <c r="C39" s="320"/>
      <c r="D39" s="299" t="s">
        <v>200</v>
      </c>
      <c r="E39" s="349">
        <f>MIN(E6:E10,E12:E16,E18:E22,E24:E28,E30:E34)</f>
        <v>3.0270000000000001</v>
      </c>
      <c r="F39" s="349">
        <f t="shared" ref="F39:K39" si="8">MIN(F6:F10,F12:F16,F18:F22,F24:F28,F30:F34)</f>
        <v>1.1100000000000001</v>
      </c>
      <c r="G39" s="349">
        <f t="shared" si="8"/>
        <v>1.1474709999999999</v>
      </c>
      <c r="H39" s="349">
        <f t="shared" si="8"/>
        <v>1.022791</v>
      </c>
      <c r="I39" s="350">
        <f t="shared" si="8"/>
        <v>0.1449</v>
      </c>
      <c r="J39" s="350">
        <f t="shared" si="8"/>
        <v>0.13070000000000001</v>
      </c>
      <c r="K39" s="351">
        <f t="shared" si="8"/>
        <v>7.7568130000000002</v>
      </c>
      <c r="L39" s="321"/>
      <c r="M39" s="399"/>
    </row>
    <row r="40" spans="2:13">
      <c r="B40" s="335"/>
      <c r="C40" s="320"/>
      <c r="D40" s="299" t="s">
        <v>201</v>
      </c>
      <c r="E40" s="349">
        <f>E38-E39</f>
        <v>5.699999999999994E-2</v>
      </c>
      <c r="F40" s="349">
        <f t="shared" ref="F40:K40" si="9">F38-F39</f>
        <v>0.2719999999999998</v>
      </c>
      <c r="G40" s="349">
        <f t="shared" si="9"/>
        <v>0.26033600000000012</v>
      </c>
      <c r="H40" s="349">
        <f t="shared" si="9"/>
        <v>0.35102199999999995</v>
      </c>
      <c r="I40" s="350">
        <f t="shared" si="9"/>
        <v>4.0999999999999925E-3</v>
      </c>
      <c r="J40" s="350">
        <f t="shared" si="9"/>
        <v>1.2399999999999994E-2</v>
      </c>
      <c r="K40" s="349">
        <f t="shared" si="9"/>
        <v>2.8170200000000003</v>
      </c>
      <c r="L40" s="321"/>
      <c r="M40" s="399"/>
    </row>
    <row r="41" spans="2:13">
      <c r="B41" s="335"/>
      <c r="C41" s="320"/>
      <c r="D41" s="299" t="s">
        <v>202</v>
      </c>
      <c r="E41" s="349">
        <f>STDEVA(E6:E10,E12:E16,E18:E22,E24:E28,E30:E34)</f>
        <v>1.0304206260875554E-2</v>
      </c>
      <c r="F41" s="349">
        <f t="shared" ref="F41:K41" si="10">STDEVA(F6:F10,F12:F16,F18:F22,F24:F28,F30:F34)</f>
        <v>6.6403388467758173E-2</v>
      </c>
      <c r="G41" s="349">
        <f t="shared" si="10"/>
        <v>6.5364943749178991E-2</v>
      </c>
      <c r="H41" s="349">
        <f t="shared" si="10"/>
        <v>8.3767831332538803E-2</v>
      </c>
      <c r="I41" s="350">
        <f t="shared" si="10"/>
        <v>9.9953322439360129E-4</v>
      </c>
      <c r="J41" s="350">
        <f t="shared" si="10"/>
        <v>3.0602287496198713E-3</v>
      </c>
      <c r="K41" s="349">
        <f t="shared" si="10"/>
        <v>0.67095044624348643</v>
      </c>
      <c r="L41" s="321"/>
      <c r="M41" s="399"/>
    </row>
    <row r="42" spans="2:13" ht="17.25" thickBot="1">
      <c r="B42" s="336"/>
      <c r="C42" s="323"/>
      <c r="D42" s="293" t="s">
        <v>203</v>
      </c>
      <c r="E42" s="352">
        <f>E41*3</f>
        <v>3.0912618782626661E-2</v>
      </c>
      <c r="F42" s="352">
        <f t="shared" ref="F42:K42" si="11">F41*3</f>
        <v>0.19921016540327452</v>
      </c>
      <c r="G42" s="352">
        <f t="shared" si="11"/>
        <v>0.19609483124753696</v>
      </c>
      <c r="H42" s="352">
        <f t="shared" si="11"/>
        <v>0.25130349399761642</v>
      </c>
      <c r="I42" s="353">
        <f t="shared" si="11"/>
        <v>2.9985996731808039E-3</v>
      </c>
      <c r="J42" s="353">
        <f t="shared" si="11"/>
        <v>9.1806862488596139E-3</v>
      </c>
      <c r="K42" s="352">
        <f t="shared" si="11"/>
        <v>2.0128513387304592</v>
      </c>
      <c r="L42" s="324"/>
      <c r="M42" s="399"/>
    </row>
    <row r="44" spans="2:13">
      <c r="B44" s="240" t="s">
        <v>459</v>
      </c>
      <c r="C44" s="240"/>
      <c r="E44" s="240"/>
      <c r="F44" s="240"/>
      <c r="G44" s="240"/>
      <c r="H44" s="240"/>
      <c r="I44" s="240"/>
      <c r="J44" s="240"/>
      <c r="K44" s="240"/>
    </row>
    <row r="45" spans="2:13" ht="17.25" thickBot="1">
      <c r="B45" s="240" t="s">
        <v>460</v>
      </c>
      <c r="C45" s="240"/>
      <c r="E45" s="240"/>
      <c r="F45" s="240"/>
      <c r="G45" s="240"/>
      <c r="H45" s="240"/>
      <c r="I45" s="240"/>
      <c r="J45" s="240"/>
      <c r="K45" s="240"/>
    </row>
    <row r="46" spans="2:13" ht="17.25" thickBot="1">
      <c r="B46" s="313" t="s">
        <v>11</v>
      </c>
      <c r="C46" s="250" t="s">
        <v>0</v>
      </c>
      <c r="D46" s="250" t="s">
        <v>1</v>
      </c>
      <c r="E46" s="250" t="s">
        <v>2</v>
      </c>
      <c r="F46" s="250" t="s">
        <v>3</v>
      </c>
      <c r="G46" s="250" t="s">
        <v>192</v>
      </c>
      <c r="H46" s="250" t="s">
        <v>16</v>
      </c>
      <c r="I46" s="250" t="s">
        <v>6</v>
      </c>
      <c r="J46" s="251" t="s">
        <v>7</v>
      </c>
      <c r="K46" s="252" t="s">
        <v>8</v>
      </c>
      <c r="L46" s="254" t="s">
        <v>461</v>
      </c>
      <c r="M46" s="404"/>
    </row>
    <row r="47" spans="2:13">
      <c r="B47" s="314">
        <v>1</v>
      </c>
      <c r="C47" s="271" t="s">
        <v>205</v>
      </c>
      <c r="D47" s="291" t="s">
        <v>213</v>
      </c>
      <c r="E47" s="307">
        <v>3.0840000000000001</v>
      </c>
      <c r="F47" s="307">
        <v>0.64449999999999996</v>
      </c>
      <c r="G47" s="272">
        <v>0.65653499999999998</v>
      </c>
      <c r="H47" s="307">
        <v>0.38663700000000001</v>
      </c>
      <c r="I47" s="273">
        <v>0.23569999999999999</v>
      </c>
      <c r="J47" s="273">
        <v>0.25819999999999999</v>
      </c>
      <c r="K47" s="272">
        <v>2.496127</v>
      </c>
      <c r="L47" s="275" t="s">
        <v>462</v>
      </c>
      <c r="M47" s="397"/>
    </row>
    <row r="48" spans="2:13">
      <c r="B48" s="315">
        <v>2</v>
      </c>
      <c r="C48" s="316"/>
      <c r="D48" s="299" t="s">
        <v>214</v>
      </c>
      <c r="E48" s="309">
        <v>3.0840000000000001</v>
      </c>
      <c r="F48" s="309">
        <v>0.63970000000000005</v>
      </c>
      <c r="G48" s="317">
        <v>0.65164599999999995</v>
      </c>
      <c r="H48" s="309">
        <v>0.38380500000000001</v>
      </c>
      <c r="I48" s="318">
        <v>0.23549999999999999</v>
      </c>
      <c r="J48" s="318">
        <v>0.25829999999999997</v>
      </c>
      <c r="K48" s="317">
        <v>2.4765779999999999</v>
      </c>
      <c r="L48" s="319" t="s">
        <v>211</v>
      </c>
      <c r="M48" s="398"/>
    </row>
    <row r="49" spans="2:13">
      <c r="B49" s="315">
        <v>3</v>
      </c>
      <c r="C49" s="320"/>
      <c r="D49" s="299" t="s">
        <v>217</v>
      </c>
      <c r="E49" s="309">
        <v>3.0819999999999999</v>
      </c>
      <c r="F49" s="309">
        <v>0.628</v>
      </c>
      <c r="G49" s="317">
        <v>0.64014199999999999</v>
      </c>
      <c r="H49" s="309">
        <v>0.375083</v>
      </c>
      <c r="I49" s="318">
        <v>0.23630000000000001</v>
      </c>
      <c r="J49" s="318">
        <v>0.26029999999999998</v>
      </c>
      <c r="K49" s="317">
        <v>2.412601</v>
      </c>
      <c r="L49" s="321"/>
      <c r="M49" s="399"/>
    </row>
    <row r="50" spans="2:13">
      <c r="B50" s="315">
        <v>4</v>
      </c>
      <c r="C50" s="320"/>
      <c r="D50" s="299" t="s">
        <v>218</v>
      </c>
      <c r="E50" s="309">
        <v>3.0830000000000002</v>
      </c>
      <c r="F50" s="309">
        <v>0.61209999999999998</v>
      </c>
      <c r="G50" s="317">
        <v>0.62373199999999995</v>
      </c>
      <c r="H50" s="309">
        <v>0.36217500000000002</v>
      </c>
      <c r="I50" s="318">
        <v>0.23849999999999999</v>
      </c>
      <c r="J50" s="318">
        <v>0.26469999999999999</v>
      </c>
      <c r="K50" s="317">
        <v>2.3124289999999998</v>
      </c>
      <c r="L50" s="321"/>
      <c r="M50" s="399"/>
    </row>
    <row r="51" spans="2:13" ht="17.25" thickBot="1">
      <c r="B51" s="322">
        <v>5</v>
      </c>
      <c r="C51" s="323"/>
      <c r="D51" s="293" t="s">
        <v>240</v>
      </c>
      <c r="E51" s="311">
        <v>3.08</v>
      </c>
      <c r="F51" s="311">
        <v>0.59960000000000002</v>
      </c>
      <c r="G51" s="278">
        <v>0.61158999999999997</v>
      </c>
      <c r="H51" s="311">
        <v>0.35235699999999998</v>
      </c>
      <c r="I51" s="279">
        <v>0.2404</v>
      </c>
      <c r="J51" s="279">
        <v>0.2676</v>
      </c>
      <c r="K51" s="278">
        <v>2.2406579999999998</v>
      </c>
      <c r="L51" s="324"/>
      <c r="M51" s="399"/>
    </row>
    <row r="52" spans="2:13" ht="17.25" thickBot="1">
      <c r="B52" s="325"/>
      <c r="C52" s="326"/>
      <c r="D52" s="327" t="s">
        <v>463</v>
      </c>
      <c r="E52" s="328">
        <f>AVERAGE(E47:E51)</f>
        <v>3.0826000000000002</v>
      </c>
      <c r="F52" s="328">
        <f t="shared" ref="F52:K52" si="12">AVERAGE(F47:F51)</f>
        <v>0.62478</v>
      </c>
      <c r="G52" s="328">
        <f t="shared" si="12"/>
        <v>0.63672899999999999</v>
      </c>
      <c r="H52" s="328">
        <f t="shared" si="12"/>
        <v>0.37201140000000005</v>
      </c>
      <c r="I52" s="329">
        <f t="shared" si="12"/>
        <v>0.23727999999999999</v>
      </c>
      <c r="J52" s="329">
        <f t="shared" si="12"/>
        <v>0.26182</v>
      </c>
      <c r="K52" s="330">
        <f t="shared" si="12"/>
        <v>2.3876786000000001</v>
      </c>
      <c r="L52" s="331"/>
      <c r="M52" s="399"/>
    </row>
    <row r="53" spans="2:13">
      <c r="B53" s="314">
        <v>6</v>
      </c>
      <c r="C53" s="271"/>
      <c r="D53" s="291" t="s">
        <v>241</v>
      </c>
      <c r="E53" s="307">
        <v>3.0819999999999999</v>
      </c>
      <c r="F53" s="307">
        <v>0.65669999999999995</v>
      </c>
      <c r="G53" s="272">
        <v>0.66939700000000002</v>
      </c>
      <c r="H53" s="307">
        <v>0.39731899999999998</v>
      </c>
      <c r="I53" s="273">
        <v>0.23350000000000001</v>
      </c>
      <c r="J53" s="273">
        <v>0.25459999999999999</v>
      </c>
      <c r="K53" s="272">
        <v>2.5793400000000002</v>
      </c>
      <c r="L53" s="332"/>
      <c r="M53" s="399"/>
    </row>
    <row r="54" spans="2:13">
      <c r="B54" s="315">
        <v>7</v>
      </c>
      <c r="C54" s="320"/>
      <c r="D54" s="299" t="s">
        <v>242</v>
      </c>
      <c r="E54" s="309">
        <v>3.085</v>
      </c>
      <c r="F54" s="309">
        <v>0.64800000000000002</v>
      </c>
      <c r="G54" s="317">
        <v>0.659887</v>
      </c>
      <c r="H54" s="309">
        <v>0.39050499999999999</v>
      </c>
      <c r="I54" s="318">
        <v>0.23430000000000001</v>
      </c>
      <c r="J54" s="318">
        <v>0.25640000000000002</v>
      </c>
      <c r="K54" s="317">
        <v>2.527301</v>
      </c>
      <c r="L54" s="321"/>
      <c r="M54" s="399"/>
    </row>
    <row r="55" spans="2:13">
      <c r="B55" s="315">
        <v>8</v>
      </c>
      <c r="C55" s="320"/>
      <c r="D55" s="299" t="s">
        <v>222</v>
      </c>
      <c r="E55" s="309">
        <v>3.0819999999999999</v>
      </c>
      <c r="F55" s="309">
        <v>0.6361</v>
      </c>
      <c r="G55" s="317">
        <v>0.64839899999999995</v>
      </c>
      <c r="H55" s="309">
        <v>0.38228899999999999</v>
      </c>
      <c r="I55" s="318">
        <v>0.2349</v>
      </c>
      <c r="J55" s="318">
        <v>0.25840000000000002</v>
      </c>
      <c r="K55" s="317">
        <v>2.461687</v>
      </c>
      <c r="L55" s="321"/>
      <c r="M55" s="399"/>
    </row>
    <row r="56" spans="2:13">
      <c r="B56" s="315">
        <v>9</v>
      </c>
      <c r="C56" s="320"/>
      <c r="D56" s="299" t="s">
        <v>223</v>
      </c>
      <c r="E56" s="309">
        <v>3.0830000000000002</v>
      </c>
      <c r="F56" s="309">
        <v>0.62180000000000002</v>
      </c>
      <c r="G56" s="317">
        <v>0.63361699999999999</v>
      </c>
      <c r="H56" s="309">
        <v>0.37008799999999997</v>
      </c>
      <c r="I56" s="318">
        <v>0.2369</v>
      </c>
      <c r="J56" s="318">
        <v>0.26240000000000002</v>
      </c>
      <c r="K56" s="317">
        <v>2.3696649999999999</v>
      </c>
      <c r="L56" s="321"/>
      <c r="M56" s="399"/>
    </row>
    <row r="57" spans="2:13" ht="17.25" thickBot="1">
      <c r="B57" s="322">
        <v>10</v>
      </c>
      <c r="C57" s="323"/>
      <c r="D57" s="293" t="s">
        <v>243</v>
      </c>
      <c r="E57" s="311">
        <v>3.0760000000000001</v>
      </c>
      <c r="F57" s="311">
        <v>0.61050000000000004</v>
      </c>
      <c r="G57" s="278">
        <v>0.62351800000000002</v>
      </c>
      <c r="H57" s="311">
        <v>0.36227799999999999</v>
      </c>
      <c r="I57" s="279">
        <v>0.2379</v>
      </c>
      <c r="J57" s="279">
        <v>0.26369999999999999</v>
      </c>
      <c r="K57" s="278">
        <v>2.315131</v>
      </c>
      <c r="L57" s="324"/>
      <c r="M57" s="399"/>
    </row>
    <row r="58" spans="2:13" ht="17.25" thickBot="1">
      <c r="B58" s="325" t="s">
        <v>464</v>
      </c>
      <c r="C58" s="326"/>
      <c r="D58" s="327" t="s">
        <v>463</v>
      </c>
      <c r="E58" s="328">
        <f>AVERAGE(E53:E57)</f>
        <v>3.0815999999999999</v>
      </c>
      <c r="F58" s="328">
        <f t="shared" ref="F58:K58" si="13">AVERAGE(F53:F57)</f>
        <v>0.63461999999999996</v>
      </c>
      <c r="G58" s="328">
        <f t="shared" si="13"/>
        <v>0.64696359999999997</v>
      </c>
      <c r="H58" s="328">
        <f t="shared" si="13"/>
        <v>0.3804958</v>
      </c>
      <c r="I58" s="329">
        <f t="shared" si="13"/>
        <v>0.23549999999999999</v>
      </c>
      <c r="J58" s="329">
        <f t="shared" si="13"/>
        <v>0.2591</v>
      </c>
      <c r="K58" s="330">
        <f t="shared" si="13"/>
        <v>2.4506247999999999</v>
      </c>
      <c r="L58" s="331"/>
      <c r="M58" s="399"/>
    </row>
    <row r="59" spans="2:13">
      <c r="B59" s="333">
        <v>11</v>
      </c>
      <c r="C59" s="334"/>
      <c r="D59" s="291" t="s">
        <v>244</v>
      </c>
      <c r="E59" s="307">
        <v>3.0779999999999998</v>
      </c>
      <c r="F59" s="307">
        <v>0.67400000000000004</v>
      </c>
      <c r="G59" s="272">
        <v>0.68792500000000001</v>
      </c>
      <c r="H59" s="307">
        <v>0.41587099999999999</v>
      </c>
      <c r="I59" s="273">
        <v>0.22939999999999999</v>
      </c>
      <c r="J59" s="273">
        <v>0.24779999999999999</v>
      </c>
      <c r="K59" s="272">
        <v>2.719935</v>
      </c>
      <c r="L59" s="332"/>
      <c r="M59" s="399"/>
    </row>
    <row r="60" spans="2:13">
      <c r="B60" s="335">
        <v>12</v>
      </c>
      <c r="C60" s="320"/>
      <c r="D60" s="299" t="s">
        <v>245</v>
      </c>
      <c r="E60" s="309">
        <v>3.0790000000000002</v>
      </c>
      <c r="F60" s="309">
        <v>0.67479999999999996</v>
      </c>
      <c r="G60" s="317">
        <v>0.68851700000000005</v>
      </c>
      <c r="H60" s="309">
        <v>0.41830800000000001</v>
      </c>
      <c r="I60" s="318">
        <v>0.2283</v>
      </c>
      <c r="J60" s="318">
        <v>0.2465</v>
      </c>
      <c r="K60" s="317">
        <v>2.7375250000000002</v>
      </c>
      <c r="L60" s="321"/>
      <c r="M60" s="399"/>
    </row>
    <row r="61" spans="2:13">
      <c r="B61" s="335">
        <v>13</v>
      </c>
      <c r="C61" s="320"/>
      <c r="D61" s="299" t="s">
        <v>227</v>
      </c>
      <c r="E61" s="309">
        <v>3.077</v>
      </c>
      <c r="F61" s="309">
        <v>0.65539999999999998</v>
      </c>
      <c r="G61" s="317">
        <v>0.66915800000000003</v>
      </c>
      <c r="H61" s="309">
        <v>0.40272599999999997</v>
      </c>
      <c r="I61" s="318">
        <v>0.2298</v>
      </c>
      <c r="J61" s="318">
        <v>0.24970000000000001</v>
      </c>
      <c r="K61" s="317">
        <v>2.6247500000000001</v>
      </c>
      <c r="L61" s="321"/>
      <c r="M61" s="399"/>
    </row>
    <row r="62" spans="2:13">
      <c r="B62" s="335">
        <v>14</v>
      </c>
      <c r="C62" s="320"/>
      <c r="D62" s="299" t="s">
        <v>228</v>
      </c>
      <c r="E62" s="309">
        <v>3.073</v>
      </c>
      <c r="F62" s="309">
        <v>0.6492</v>
      </c>
      <c r="G62" s="317">
        <v>0.66369</v>
      </c>
      <c r="H62" s="309">
        <v>0.396621</v>
      </c>
      <c r="I62" s="318">
        <v>0.23080000000000001</v>
      </c>
      <c r="J62" s="318">
        <v>0.25169999999999998</v>
      </c>
      <c r="K62" s="317">
        <v>2.5792609999999998</v>
      </c>
      <c r="L62" s="321"/>
      <c r="M62" s="399"/>
    </row>
    <row r="63" spans="2:13" ht="17.25" thickBot="1">
      <c r="B63" s="336">
        <v>15</v>
      </c>
      <c r="C63" s="323"/>
      <c r="D63" s="293" t="s">
        <v>246</v>
      </c>
      <c r="E63" s="311">
        <v>3.0680000000000001</v>
      </c>
      <c r="F63" s="311">
        <v>0.6351</v>
      </c>
      <c r="G63" s="278">
        <v>0.65033399999999997</v>
      </c>
      <c r="H63" s="311">
        <v>0.38549899999999998</v>
      </c>
      <c r="I63" s="279">
        <v>0.23250000000000001</v>
      </c>
      <c r="J63" s="279">
        <v>0.25440000000000002</v>
      </c>
      <c r="K63" s="278">
        <v>2.4964620000000002</v>
      </c>
      <c r="L63" s="324"/>
      <c r="M63" s="399"/>
    </row>
    <row r="64" spans="2:13" ht="17.25" thickBot="1">
      <c r="B64" s="337"/>
      <c r="C64" s="326"/>
      <c r="D64" s="327" t="s">
        <v>463</v>
      </c>
      <c r="E64" s="328">
        <f>AVERAGE(E59:E63)</f>
        <v>3.0750000000000002</v>
      </c>
      <c r="F64" s="328">
        <f t="shared" ref="F64:K64" si="14">AVERAGE(F59:F63)</f>
        <v>0.65769999999999995</v>
      </c>
      <c r="G64" s="328">
        <f t="shared" si="14"/>
        <v>0.67192479999999999</v>
      </c>
      <c r="H64" s="328">
        <f t="shared" si="14"/>
        <v>0.40380499999999991</v>
      </c>
      <c r="I64" s="329">
        <f t="shared" si="14"/>
        <v>0.23016</v>
      </c>
      <c r="J64" s="329">
        <f t="shared" si="14"/>
        <v>0.25002000000000002</v>
      </c>
      <c r="K64" s="330">
        <f t="shared" si="14"/>
        <v>2.6315865999999999</v>
      </c>
      <c r="L64" s="331"/>
      <c r="M64" s="399"/>
    </row>
    <row r="65" spans="2:13">
      <c r="B65" s="333">
        <v>16</v>
      </c>
      <c r="C65" s="271"/>
      <c r="D65" s="291" t="s">
        <v>247</v>
      </c>
      <c r="E65" s="307">
        <v>3.0750000000000002</v>
      </c>
      <c r="F65" s="307">
        <v>0.70550000000000002</v>
      </c>
      <c r="G65" s="272">
        <v>0.72077800000000003</v>
      </c>
      <c r="H65" s="272">
        <v>0.449905</v>
      </c>
      <c r="I65" s="273">
        <v>0.22220000000000001</v>
      </c>
      <c r="J65" s="273">
        <v>0.23569999999999999</v>
      </c>
      <c r="K65" s="272">
        <v>2.9932120000000002</v>
      </c>
      <c r="L65" s="332"/>
      <c r="M65" s="399"/>
    </row>
    <row r="66" spans="2:13">
      <c r="B66" s="335">
        <v>17</v>
      </c>
      <c r="C66" s="320"/>
      <c r="D66" s="299" t="s">
        <v>248</v>
      </c>
      <c r="E66" s="309">
        <v>3.0790000000000002</v>
      </c>
      <c r="F66" s="309">
        <v>0.71430000000000005</v>
      </c>
      <c r="G66" s="317">
        <v>0.72882000000000002</v>
      </c>
      <c r="H66" s="317">
        <v>0.46059699999999998</v>
      </c>
      <c r="I66" s="318">
        <v>0.21959999999999999</v>
      </c>
      <c r="J66" s="318">
        <v>0.23200000000000001</v>
      </c>
      <c r="K66" s="317">
        <v>3.0788790000000001</v>
      </c>
      <c r="L66" s="321"/>
      <c r="M66" s="399"/>
    </row>
    <row r="67" spans="2:13">
      <c r="B67" s="335">
        <v>18</v>
      </c>
      <c r="C67" s="320"/>
      <c r="D67" s="299" t="s">
        <v>232</v>
      </c>
      <c r="E67" s="309"/>
      <c r="F67" s="309"/>
      <c r="G67" s="317"/>
      <c r="H67" s="317"/>
      <c r="I67" s="318"/>
      <c r="J67" s="318"/>
      <c r="K67" s="317"/>
      <c r="L67" s="321"/>
      <c r="M67" s="399"/>
    </row>
    <row r="68" spans="2:13">
      <c r="B68" s="335">
        <v>19</v>
      </c>
      <c r="C68" s="320"/>
      <c r="D68" s="299" t="s">
        <v>233</v>
      </c>
      <c r="E68" s="309">
        <v>3.069</v>
      </c>
      <c r="F68" s="309">
        <v>0.68559999999999999</v>
      </c>
      <c r="G68" s="317">
        <v>0.701816</v>
      </c>
      <c r="H68" s="317">
        <v>0.436747</v>
      </c>
      <c r="I68" s="318">
        <v>0.22189999999999999</v>
      </c>
      <c r="J68" s="318">
        <v>0.23680000000000001</v>
      </c>
      <c r="K68" s="317">
        <v>2.89527</v>
      </c>
      <c r="L68" s="321"/>
      <c r="M68" s="399"/>
    </row>
    <row r="69" spans="2:13" ht="17.25" thickBot="1">
      <c r="B69" s="336">
        <v>20</v>
      </c>
      <c r="C69" s="323"/>
      <c r="D69" s="293" t="s">
        <v>249</v>
      </c>
      <c r="E69" s="311">
        <v>3.0619999999999998</v>
      </c>
      <c r="F69" s="311">
        <v>0.67930000000000001</v>
      </c>
      <c r="G69" s="278">
        <v>0.69695700000000005</v>
      </c>
      <c r="H69" s="278">
        <v>0.43428299999999997</v>
      </c>
      <c r="I69" s="279">
        <v>0.22109999999999999</v>
      </c>
      <c r="J69" s="279">
        <v>0.23519999999999999</v>
      </c>
      <c r="K69" s="278">
        <v>2.8881800000000002</v>
      </c>
      <c r="L69" s="324"/>
      <c r="M69" s="399"/>
    </row>
    <row r="70" spans="2:13" ht="17.25" thickBot="1">
      <c r="B70" s="337"/>
      <c r="C70" s="326"/>
      <c r="D70" s="327" t="s">
        <v>463</v>
      </c>
      <c r="E70" s="328">
        <f>AVERAGE(E65:E69)</f>
        <v>3.0712499999999996</v>
      </c>
      <c r="F70" s="328">
        <f t="shared" ref="F70:K70" si="15">AVERAGE(F65:F69)</f>
        <v>0.69617499999999999</v>
      </c>
      <c r="G70" s="328">
        <f t="shared" si="15"/>
        <v>0.71209275000000005</v>
      </c>
      <c r="H70" s="328">
        <f t="shared" si="15"/>
        <v>0.44538299999999997</v>
      </c>
      <c r="I70" s="329">
        <f t="shared" si="15"/>
        <v>0.22119999999999998</v>
      </c>
      <c r="J70" s="329">
        <f t="shared" si="15"/>
        <v>0.23492499999999999</v>
      </c>
      <c r="K70" s="328">
        <f t="shared" si="15"/>
        <v>2.9638852500000001</v>
      </c>
      <c r="L70" s="331"/>
      <c r="M70" s="399"/>
    </row>
    <row r="71" spans="2:13">
      <c r="B71" s="333">
        <v>21</v>
      </c>
      <c r="C71" s="271"/>
      <c r="D71" s="291" t="s">
        <v>250</v>
      </c>
      <c r="E71" s="307">
        <v>3.0760000000000001</v>
      </c>
      <c r="F71" s="307">
        <v>0.73609999999999998</v>
      </c>
      <c r="G71" s="272">
        <v>0.75179600000000002</v>
      </c>
      <c r="H71" s="307">
        <v>0.48653000000000002</v>
      </c>
      <c r="I71" s="273">
        <v>0.2152</v>
      </c>
      <c r="J71" s="273">
        <v>0.224</v>
      </c>
      <c r="K71" s="272">
        <v>3.2861609999999999</v>
      </c>
      <c r="L71" s="332"/>
      <c r="M71" s="399"/>
    </row>
    <row r="72" spans="2:13">
      <c r="B72" s="335">
        <v>22</v>
      </c>
      <c r="C72" s="320"/>
      <c r="D72" s="299" t="s">
        <v>251</v>
      </c>
      <c r="E72" s="309">
        <v>3.0819999999999999</v>
      </c>
      <c r="F72" s="309">
        <v>0.74339999999999995</v>
      </c>
      <c r="G72" s="317">
        <v>0.75777399999999995</v>
      </c>
      <c r="H72" s="309">
        <v>0.49392200000000003</v>
      </c>
      <c r="I72" s="318">
        <v>0.2137</v>
      </c>
      <c r="J72" s="318">
        <v>0.222</v>
      </c>
      <c r="K72" s="317">
        <v>3.348649</v>
      </c>
      <c r="L72" s="321"/>
      <c r="M72" s="399"/>
    </row>
    <row r="73" spans="2:13">
      <c r="B73" s="335">
        <v>23</v>
      </c>
      <c r="C73" s="320"/>
      <c r="D73" s="299" t="s">
        <v>237</v>
      </c>
      <c r="E73" s="309">
        <v>3.0760000000000001</v>
      </c>
      <c r="F73" s="309">
        <v>0.7228</v>
      </c>
      <c r="G73" s="317">
        <v>0.73821199999999998</v>
      </c>
      <c r="H73" s="309">
        <v>0.47812700000000002</v>
      </c>
      <c r="I73" s="318">
        <v>0.2147</v>
      </c>
      <c r="J73" s="318">
        <v>0.224</v>
      </c>
      <c r="K73" s="317">
        <v>3.2267860000000002</v>
      </c>
      <c r="L73" s="321"/>
      <c r="M73" s="399"/>
    </row>
    <row r="74" spans="2:13">
      <c r="B74" s="335">
        <v>24</v>
      </c>
      <c r="C74" s="320"/>
      <c r="D74" s="299" t="s">
        <v>238</v>
      </c>
      <c r="E74" s="309">
        <v>3.0739999999999998</v>
      </c>
      <c r="F74" s="309">
        <v>0.72870000000000001</v>
      </c>
      <c r="G74" s="317">
        <v>0.744722</v>
      </c>
      <c r="H74" s="309">
        <v>0.48637399999999997</v>
      </c>
      <c r="I74" s="318">
        <v>0.21260000000000001</v>
      </c>
      <c r="J74" s="318">
        <v>0.22120000000000001</v>
      </c>
      <c r="K74" s="317">
        <v>3.2943039999999999</v>
      </c>
      <c r="L74" s="321"/>
      <c r="M74" s="399"/>
    </row>
    <row r="75" spans="2:13" ht="17.25" thickBot="1">
      <c r="B75" s="336">
        <v>25</v>
      </c>
      <c r="C75" s="323"/>
      <c r="D75" s="293" t="s">
        <v>252</v>
      </c>
      <c r="E75" s="311">
        <v>3.0720000000000001</v>
      </c>
      <c r="F75" s="311">
        <v>0.73119999999999996</v>
      </c>
      <c r="G75" s="278">
        <v>0.74776399999999998</v>
      </c>
      <c r="H75" s="311">
        <v>0.49478800000000001</v>
      </c>
      <c r="I75" s="279">
        <v>0.2102</v>
      </c>
      <c r="J75" s="279">
        <v>0.217</v>
      </c>
      <c r="K75" s="278">
        <v>3.3695849999999998</v>
      </c>
      <c r="L75" s="324"/>
      <c r="M75" s="399"/>
    </row>
    <row r="76" spans="2:13" ht="17.25" thickBot="1">
      <c r="B76" s="339" t="s">
        <v>464</v>
      </c>
      <c r="C76" s="340"/>
      <c r="D76" s="341" t="s">
        <v>465</v>
      </c>
      <c r="E76" s="342">
        <f>AVERAGE(E71:E75)</f>
        <v>3.0759999999999996</v>
      </c>
      <c r="F76" s="342">
        <f t="shared" ref="F76:K76" si="16">AVERAGE(F71:F75)</f>
        <v>0.73243999999999987</v>
      </c>
      <c r="G76" s="342">
        <f t="shared" si="16"/>
        <v>0.74805359999999999</v>
      </c>
      <c r="H76" s="342">
        <f t="shared" si="16"/>
        <v>0.48794819999999994</v>
      </c>
      <c r="I76" s="343">
        <f t="shared" si="16"/>
        <v>0.21328</v>
      </c>
      <c r="J76" s="343">
        <f t="shared" si="16"/>
        <v>0.22164</v>
      </c>
      <c r="K76" s="342">
        <f t="shared" si="16"/>
        <v>3.305097</v>
      </c>
      <c r="L76" s="344"/>
      <c r="M76" s="399"/>
    </row>
    <row r="77" spans="2:13">
      <c r="B77" s="333"/>
      <c r="C77" s="345"/>
      <c r="D77" s="291" t="s">
        <v>466</v>
      </c>
      <c r="E77" s="346">
        <f>MEDIAN(E47:E51,E53:E57,E59:E63,E65:E69,E71:E75)</f>
        <v>3.0785</v>
      </c>
      <c r="F77" s="346">
        <f t="shared" ref="F77:K77" si="17">MEDIAN(F47:F51,F53:F57,F59:F63,F65:F69,F71:F75)</f>
        <v>0.65605000000000002</v>
      </c>
      <c r="G77" s="346">
        <f t="shared" si="17"/>
        <v>0.66927749999999997</v>
      </c>
      <c r="H77" s="346">
        <f t="shared" si="17"/>
        <v>0.40002249999999995</v>
      </c>
      <c r="I77" s="347">
        <f t="shared" si="17"/>
        <v>0.2303</v>
      </c>
      <c r="J77" s="347">
        <f t="shared" si="17"/>
        <v>0.25069999999999998</v>
      </c>
      <c r="K77" s="348">
        <f t="shared" si="17"/>
        <v>2.6020450000000004</v>
      </c>
      <c r="L77" s="332"/>
      <c r="M77" s="399"/>
    </row>
    <row r="78" spans="2:13">
      <c r="B78" s="335"/>
      <c r="C78" s="320"/>
      <c r="D78" s="299" t="s">
        <v>467</v>
      </c>
      <c r="E78" s="349">
        <f>AVERAGE(E47:E51,E53:E57,E59:E63,E65:E69,E71:E75)</f>
        <v>3.0775416666666668</v>
      </c>
      <c r="F78" s="349">
        <f t="shared" ref="F78:K78" si="18">AVERAGE(F47:F51,F53:F57,F59:F63,F65:F69,F71:F75)</f>
        <v>0.66801666666666659</v>
      </c>
      <c r="G78" s="349">
        <f t="shared" si="18"/>
        <v>0.68194691666666651</v>
      </c>
      <c r="H78" s="349">
        <f t="shared" si="18"/>
        <v>0.41678474999999993</v>
      </c>
      <c r="I78" s="350">
        <f t="shared" si="18"/>
        <v>0.22774583333333334</v>
      </c>
      <c r="J78" s="350">
        <f t="shared" si="18"/>
        <v>0.24594166666666664</v>
      </c>
      <c r="K78" s="351">
        <f t="shared" si="18"/>
        <v>2.7387698333333339</v>
      </c>
      <c r="L78" s="321"/>
      <c r="M78" s="399"/>
    </row>
    <row r="79" spans="2:13">
      <c r="B79" s="335"/>
      <c r="C79" s="320"/>
      <c r="D79" s="299" t="s">
        <v>199</v>
      </c>
      <c r="E79" s="349">
        <f>MAX(E47:E51,E53:E57,E59:E63,E65:E69,E71:E75)</f>
        <v>3.085</v>
      </c>
      <c r="F79" s="349">
        <f t="shared" ref="F79:K79" si="19">MAX(F47:F51,F53:F57,F59:F63,F65:F69,F71:F75)</f>
        <v>0.74339999999999995</v>
      </c>
      <c r="G79" s="349">
        <f t="shared" si="19"/>
        <v>0.75777399999999995</v>
      </c>
      <c r="H79" s="349">
        <f t="shared" si="19"/>
        <v>0.49478800000000001</v>
      </c>
      <c r="I79" s="350">
        <f t="shared" si="19"/>
        <v>0.2404</v>
      </c>
      <c r="J79" s="350">
        <f t="shared" si="19"/>
        <v>0.2676</v>
      </c>
      <c r="K79" s="351">
        <f t="shared" si="19"/>
        <v>3.3695849999999998</v>
      </c>
      <c r="L79" s="321"/>
      <c r="M79" s="399"/>
    </row>
    <row r="80" spans="2:13">
      <c r="B80" s="335"/>
      <c r="C80" s="320"/>
      <c r="D80" s="299" t="s">
        <v>200</v>
      </c>
      <c r="E80" s="349">
        <f>MIN(E47:E51,E53:E57,E59:E63,E65:E69,E71:E75)</f>
        <v>3.0619999999999998</v>
      </c>
      <c r="F80" s="349">
        <f t="shared" ref="F80:K80" si="20">MIN(F47:F51,F53:F57,F59:F63,F65:F69,F71:F75)</f>
        <v>0.59960000000000002</v>
      </c>
      <c r="G80" s="349">
        <f t="shared" si="20"/>
        <v>0.61158999999999997</v>
      </c>
      <c r="H80" s="349">
        <f t="shared" si="20"/>
        <v>0.35235699999999998</v>
      </c>
      <c r="I80" s="350">
        <f t="shared" si="20"/>
        <v>0.2102</v>
      </c>
      <c r="J80" s="350">
        <f t="shared" si="20"/>
        <v>0.217</v>
      </c>
      <c r="K80" s="351">
        <f t="shared" si="20"/>
        <v>2.2406579999999998</v>
      </c>
      <c r="L80" s="321"/>
      <c r="M80" s="399"/>
    </row>
    <row r="81" spans="2:13">
      <c r="B81" s="335"/>
      <c r="C81" s="320"/>
      <c r="D81" s="299" t="s">
        <v>201</v>
      </c>
      <c r="E81" s="349">
        <f>E79-E80</f>
        <v>2.3000000000000131E-2</v>
      </c>
      <c r="F81" s="349">
        <f t="shared" ref="F81:K81" si="21">F79-F80</f>
        <v>0.14379999999999993</v>
      </c>
      <c r="G81" s="349">
        <f t="shared" si="21"/>
        <v>0.14618399999999998</v>
      </c>
      <c r="H81" s="349">
        <f t="shared" si="21"/>
        <v>0.14243100000000003</v>
      </c>
      <c r="I81" s="350">
        <f t="shared" si="21"/>
        <v>3.0200000000000005E-2</v>
      </c>
      <c r="J81" s="350">
        <f t="shared" si="21"/>
        <v>5.0600000000000006E-2</v>
      </c>
      <c r="K81" s="349">
        <f t="shared" si="21"/>
        <v>1.128927</v>
      </c>
      <c r="L81" s="321"/>
      <c r="M81" s="399"/>
    </row>
    <row r="82" spans="2:13">
      <c r="B82" s="335"/>
      <c r="C82" s="320"/>
      <c r="D82" s="299" t="s">
        <v>202</v>
      </c>
      <c r="E82" s="349">
        <f>STDEVA(E47:E51,E53:E57,E59:E63,E65:E69,E71:E75)</f>
        <v>5.7933932886609458E-3</v>
      </c>
      <c r="F82" s="349">
        <f t="shared" ref="F82:K82" si="22">STDEVA(F47:F51,F53:F57,F59:F63,F65:F69,F71:F75)</f>
        <v>4.3942290877197462E-2</v>
      </c>
      <c r="G82" s="349">
        <f t="shared" si="22"/>
        <v>4.5270745968169032E-2</v>
      </c>
      <c r="H82" s="349">
        <f t="shared" si="22"/>
        <v>4.6199819686502483E-2</v>
      </c>
      <c r="I82" s="350">
        <f t="shared" si="22"/>
        <v>9.4714205888564839E-3</v>
      </c>
      <c r="J82" s="350">
        <f t="shared" si="22"/>
        <v>1.5965395096260854E-2</v>
      </c>
      <c r="K82" s="349">
        <f t="shared" si="22"/>
        <v>0.36520080116187104</v>
      </c>
      <c r="L82" s="321"/>
      <c r="M82" s="399"/>
    </row>
    <row r="83" spans="2:13" ht="17.25" thickBot="1">
      <c r="B83" s="336"/>
      <c r="C83" s="323"/>
      <c r="D83" s="293" t="s">
        <v>203</v>
      </c>
      <c r="E83" s="352">
        <f>E82*3</f>
        <v>1.7380179865982837E-2</v>
      </c>
      <c r="F83" s="352">
        <f t="shared" ref="F83:K83" si="23">F82*3</f>
        <v>0.13182687263159237</v>
      </c>
      <c r="G83" s="352">
        <f t="shared" si="23"/>
        <v>0.13581223790450708</v>
      </c>
      <c r="H83" s="352">
        <f t="shared" si="23"/>
        <v>0.13859945905950743</v>
      </c>
      <c r="I83" s="353">
        <f t="shared" si="23"/>
        <v>2.841426176656945E-2</v>
      </c>
      <c r="J83" s="353">
        <f t="shared" si="23"/>
        <v>4.7896185288782561E-2</v>
      </c>
      <c r="K83" s="352">
        <f t="shared" si="23"/>
        <v>1.0956024034856131</v>
      </c>
      <c r="L83" s="324"/>
      <c r="M83" s="399"/>
    </row>
    <row r="85" spans="2:13">
      <c r="B85" s="240" t="s">
        <v>468</v>
      </c>
      <c r="C85" s="240"/>
      <c r="E85" s="240"/>
      <c r="F85" s="240"/>
      <c r="G85" s="240"/>
      <c r="H85" s="240"/>
      <c r="I85" s="240"/>
      <c r="J85" s="240"/>
      <c r="K85" s="240"/>
    </row>
    <row r="86" spans="2:13" ht="17.25" thickBot="1">
      <c r="B86" s="240" t="s">
        <v>469</v>
      </c>
      <c r="C86" s="240"/>
      <c r="E86" s="240"/>
      <c r="F86" s="240"/>
      <c r="G86" s="240"/>
      <c r="H86" s="240"/>
      <c r="I86" s="240"/>
      <c r="J86" s="240"/>
      <c r="K86" s="240"/>
    </row>
    <row r="87" spans="2:13" ht="17.25" thickBot="1">
      <c r="B87" s="313" t="s">
        <v>11</v>
      </c>
      <c r="C87" s="250" t="s">
        <v>0</v>
      </c>
      <c r="D87" s="250" t="s">
        <v>1</v>
      </c>
      <c r="E87" s="250" t="s">
        <v>2</v>
      </c>
      <c r="F87" s="250" t="s">
        <v>3</v>
      </c>
      <c r="G87" s="250" t="s">
        <v>192</v>
      </c>
      <c r="H87" s="250" t="s">
        <v>16</v>
      </c>
      <c r="I87" s="250" t="s">
        <v>6</v>
      </c>
      <c r="J87" s="251" t="s">
        <v>7</v>
      </c>
      <c r="K87" s="252" t="s">
        <v>8</v>
      </c>
      <c r="L87" s="254" t="s">
        <v>470</v>
      </c>
      <c r="M87" s="404"/>
    </row>
    <row r="88" spans="2:13">
      <c r="B88" s="314">
        <v>1</v>
      </c>
      <c r="C88" s="271"/>
      <c r="D88" s="291" t="s">
        <v>215</v>
      </c>
      <c r="E88" s="307">
        <v>4.9009999999999998</v>
      </c>
      <c r="F88" s="307">
        <v>3.14</v>
      </c>
      <c r="G88" s="272">
        <v>2.0127709999999999</v>
      </c>
      <c r="H88" s="307">
        <v>3.6180629999999998</v>
      </c>
      <c r="I88" s="273">
        <v>0.1399</v>
      </c>
      <c r="J88" s="273">
        <v>0.10829999999999999</v>
      </c>
      <c r="K88" s="272">
        <v>28.993535999999999</v>
      </c>
      <c r="L88" s="275" t="s">
        <v>210</v>
      </c>
      <c r="M88" s="397"/>
    </row>
    <row r="89" spans="2:13">
      <c r="B89" s="315">
        <v>2</v>
      </c>
      <c r="C89" s="316"/>
      <c r="D89" s="299" t="s">
        <v>216</v>
      </c>
      <c r="E89" s="309">
        <v>4.9029999999999996</v>
      </c>
      <c r="F89" s="309">
        <v>3.1179999999999999</v>
      </c>
      <c r="G89" s="317">
        <v>1.997854</v>
      </c>
      <c r="H89" s="309">
        <v>3.6058490000000001</v>
      </c>
      <c r="I89" s="318">
        <v>0.1399</v>
      </c>
      <c r="J89" s="318">
        <v>0.10780000000000001</v>
      </c>
      <c r="K89" s="317">
        <v>28.923933000000002</v>
      </c>
      <c r="L89" s="319" t="s">
        <v>212</v>
      </c>
      <c r="M89" s="398"/>
    </row>
    <row r="90" spans="2:13">
      <c r="B90" s="315">
        <v>3</v>
      </c>
      <c r="C90" s="320" t="s">
        <v>205</v>
      </c>
      <c r="D90" s="299" t="s">
        <v>217</v>
      </c>
      <c r="E90" s="309">
        <v>4.9000000000000004</v>
      </c>
      <c r="F90" s="309">
        <v>3.052</v>
      </c>
      <c r="G90" s="317">
        <v>1.9567619999999999</v>
      </c>
      <c r="H90" s="309">
        <v>3.5485660000000001</v>
      </c>
      <c r="I90" s="318">
        <v>0.1399</v>
      </c>
      <c r="J90" s="318">
        <v>0.10730000000000001</v>
      </c>
      <c r="K90" s="317">
        <v>28.443615999999999</v>
      </c>
      <c r="L90" s="321"/>
      <c r="M90" s="399"/>
    </row>
    <row r="91" spans="2:13">
      <c r="B91" s="315">
        <v>4</v>
      </c>
      <c r="C91" s="320"/>
      <c r="D91" s="299" t="s">
        <v>218</v>
      </c>
      <c r="E91" s="309">
        <v>4.8949999999999996</v>
      </c>
      <c r="F91" s="309">
        <v>3.03</v>
      </c>
      <c r="G91" s="317">
        <v>1.9446410000000001</v>
      </c>
      <c r="H91" s="309">
        <v>3.5364409999999999</v>
      </c>
      <c r="I91" s="318">
        <v>0.1399</v>
      </c>
      <c r="J91" s="318">
        <v>0.10680000000000001</v>
      </c>
      <c r="K91" s="317">
        <v>28.370787</v>
      </c>
      <c r="L91" s="321"/>
      <c r="M91" s="399"/>
    </row>
    <row r="92" spans="2:13" ht="17.25" thickBot="1">
      <c r="B92" s="322">
        <v>5</v>
      </c>
      <c r="C92" s="323"/>
      <c r="D92" s="354" t="s">
        <v>219</v>
      </c>
      <c r="E92" s="352">
        <v>4.883</v>
      </c>
      <c r="F92" s="352">
        <v>2.9980000000000002</v>
      </c>
      <c r="G92" s="355">
        <v>1.9288320000000001</v>
      </c>
      <c r="H92" s="352">
        <v>3.4864709999999999</v>
      </c>
      <c r="I92" s="353">
        <v>0.1399</v>
      </c>
      <c r="J92" s="353">
        <v>0.107</v>
      </c>
      <c r="K92" s="355">
        <v>28.018692000000001</v>
      </c>
      <c r="L92" s="324"/>
      <c r="M92" s="399"/>
    </row>
    <row r="93" spans="2:13" ht="17.25" thickBot="1">
      <c r="B93" s="325"/>
      <c r="C93" s="326"/>
      <c r="D93" s="327" t="s">
        <v>471</v>
      </c>
      <c r="E93" s="328">
        <f>AVERAGE(E88:E92)</f>
        <v>4.896399999999999</v>
      </c>
      <c r="F93" s="328">
        <f t="shared" ref="F93:K93" si="24">AVERAGE(F88:F92)</f>
        <v>3.0676000000000001</v>
      </c>
      <c r="G93" s="328">
        <f t="shared" si="24"/>
        <v>1.9681720000000003</v>
      </c>
      <c r="H93" s="328">
        <f t="shared" si="24"/>
        <v>3.5590779999999995</v>
      </c>
      <c r="I93" s="329">
        <f t="shared" si="24"/>
        <v>0.1399</v>
      </c>
      <c r="J93" s="329">
        <f t="shared" si="24"/>
        <v>0.10744000000000001</v>
      </c>
      <c r="K93" s="330">
        <f t="shared" si="24"/>
        <v>28.550112800000001</v>
      </c>
      <c r="L93" s="331"/>
      <c r="M93" s="399"/>
    </row>
    <row r="94" spans="2:13">
      <c r="B94" s="314">
        <v>6</v>
      </c>
      <c r="C94" s="271"/>
      <c r="D94" s="291" t="s">
        <v>220</v>
      </c>
      <c r="E94" s="307">
        <v>4.9009999999999998</v>
      </c>
      <c r="F94" s="307">
        <v>3.1259999999999999</v>
      </c>
      <c r="G94" s="272">
        <v>2.0037970000000001</v>
      </c>
      <c r="H94" s="272">
        <v>3.6089630000000001</v>
      </c>
      <c r="I94" s="273">
        <v>0.14000000000000001</v>
      </c>
      <c r="J94" s="273">
        <v>0.1081</v>
      </c>
      <c r="K94" s="272">
        <v>28.917669</v>
      </c>
      <c r="L94" s="332"/>
      <c r="M94" s="399"/>
    </row>
    <row r="95" spans="2:13">
      <c r="B95" s="315">
        <v>7</v>
      </c>
      <c r="C95" s="320"/>
      <c r="D95" s="299" t="s">
        <v>221</v>
      </c>
      <c r="E95" s="309">
        <v>4.9050000000000002</v>
      </c>
      <c r="F95" s="309">
        <v>3.1040000000000001</v>
      </c>
      <c r="G95" s="317">
        <v>1.9880720000000001</v>
      </c>
      <c r="H95" s="317">
        <v>3.6005919999999998</v>
      </c>
      <c r="I95" s="318">
        <v>0.1399</v>
      </c>
      <c r="J95" s="318">
        <v>0.1077</v>
      </c>
      <c r="K95" s="317">
        <v>28.820799000000001</v>
      </c>
      <c r="L95" s="321"/>
      <c r="M95" s="399"/>
    </row>
    <row r="96" spans="2:13">
      <c r="B96" s="315">
        <v>8</v>
      </c>
      <c r="C96" s="320"/>
      <c r="D96" s="299" t="s">
        <v>222</v>
      </c>
      <c r="E96" s="309">
        <v>4.9029999999999996</v>
      </c>
      <c r="F96" s="309">
        <v>3.0270000000000001</v>
      </c>
      <c r="G96" s="317">
        <v>1.939546</v>
      </c>
      <c r="H96" s="317">
        <v>3.5215200000000002</v>
      </c>
      <c r="I96" s="318">
        <v>0.1399</v>
      </c>
      <c r="J96" s="318">
        <v>0.1071</v>
      </c>
      <c r="K96" s="317">
        <v>28.263304999999999</v>
      </c>
      <c r="L96" s="321"/>
      <c r="M96" s="399"/>
    </row>
    <row r="97" spans="2:13">
      <c r="B97" s="315">
        <v>9</v>
      </c>
      <c r="C97" s="320"/>
      <c r="D97" s="299" t="s">
        <v>223</v>
      </c>
      <c r="E97" s="309">
        <v>4.9059999999999997</v>
      </c>
      <c r="F97" s="309">
        <v>3.0169999999999999</v>
      </c>
      <c r="G97" s="317">
        <v>1.931956</v>
      </c>
      <c r="H97" s="317">
        <v>3.5176259999999999</v>
      </c>
      <c r="I97" s="318">
        <v>0.1399</v>
      </c>
      <c r="J97" s="318">
        <v>0.1067</v>
      </c>
      <c r="K97" s="317">
        <v>28.275538999999998</v>
      </c>
      <c r="L97" s="321"/>
      <c r="M97" s="399"/>
    </row>
    <row r="98" spans="2:13" ht="17.25" thickBot="1">
      <c r="B98" s="322">
        <v>10</v>
      </c>
      <c r="C98" s="323"/>
      <c r="D98" s="293" t="s">
        <v>224</v>
      </c>
      <c r="E98" s="311">
        <v>4.8840000000000003</v>
      </c>
      <c r="F98" s="311">
        <v>2.9649999999999999</v>
      </c>
      <c r="G98" s="278">
        <v>1.9072100000000001</v>
      </c>
      <c r="H98" s="278">
        <v>3.4586290000000002</v>
      </c>
      <c r="I98" s="279">
        <v>0.1399</v>
      </c>
      <c r="J98" s="279">
        <v>0.1067</v>
      </c>
      <c r="K98" s="278">
        <v>27.788191000000001</v>
      </c>
      <c r="L98" s="324"/>
      <c r="M98" s="399"/>
    </row>
    <row r="99" spans="2:13" ht="17.25" thickBot="1">
      <c r="B99" s="325" t="s">
        <v>464</v>
      </c>
      <c r="C99" s="326"/>
      <c r="D99" s="327" t="s">
        <v>471</v>
      </c>
      <c r="E99" s="328">
        <f>AVERAGE(E94:E98)</f>
        <v>4.8997999999999999</v>
      </c>
      <c r="F99" s="328">
        <f t="shared" ref="F99:K99" si="25">AVERAGE(F94:F98)</f>
        <v>3.0478000000000001</v>
      </c>
      <c r="G99" s="328">
        <f t="shared" si="25"/>
        <v>1.9541162000000001</v>
      </c>
      <c r="H99" s="328">
        <f t="shared" si="25"/>
        <v>3.5414659999999998</v>
      </c>
      <c r="I99" s="329">
        <f t="shared" si="25"/>
        <v>0.13992000000000002</v>
      </c>
      <c r="J99" s="329">
        <f t="shared" si="25"/>
        <v>0.10725999999999999</v>
      </c>
      <c r="K99" s="330">
        <f t="shared" si="25"/>
        <v>28.4131006</v>
      </c>
      <c r="L99" s="331"/>
      <c r="M99" s="399"/>
    </row>
    <row r="100" spans="2:13">
      <c r="B100" s="333">
        <v>11</v>
      </c>
      <c r="C100" s="334"/>
      <c r="D100" s="291" t="s">
        <v>225</v>
      </c>
      <c r="E100" s="307">
        <v>4.8979999999999997</v>
      </c>
      <c r="F100" s="307">
        <v>3.1139999999999999</v>
      </c>
      <c r="G100" s="272">
        <v>1.997328</v>
      </c>
      <c r="H100" s="272">
        <v>3.598398</v>
      </c>
      <c r="I100" s="273">
        <v>0.1399</v>
      </c>
      <c r="J100" s="273">
        <v>0.1081</v>
      </c>
      <c r="K100" s="272">
        <v>28.806660000000001</v>
      </c>
      <c r="L100" s="332"/>
      <c r="M100" s="399"/>
    </row>
    <row r="101" spans="2:13">
      <c r="B101" s="335">
        <v>12</v>
      </c>
      <c r="C101" s="320"/>
      <c r="D101" s="299" t="s">
        <v>226</v>
      </c>
      <c r="E101" s="309">
        <v>4.9059999999999997</v>
      </c>
      <c r="F101" s="309">
        <v>3.0840000000000001</v>
      </c>
      <c r="G101" s="317">
        <v>1.9748600000000001</v>
      </c>
      <c r="H101" s="317">
        <v>3.5704579999999999</v>
      </c>
      <c r="I101" s="318">
        <v>0.14000000000000001</v>
      </c>
      <c r="J101" s="318">
        <v>0.1076</v>
      </c>
      <c r="K101" s="317">
        <v>28.661709999999999</v>
      </c>
      <c r="L101" s="321"/>
      <c r="M101" s="399"/>
    </row>
    <row r="102" spans="2:13">
      <c r="B102" s="335">
        <v>13</v>
      </c>
      <c r="C102" s="320"/>
      <c r="D102" s="299" t="s">
        <v>227</v>
      </c>
      <c r="E102" s="309">
        <v>4.9160000000000004</v>
      </c>
      <c r="F102" s="309">
        <v>3.004</v>
      </c>
      <c r="G102" s="317">
        <v>1.919719</v>
      </c>
      <c r="H102" s="317">
        <v>3.4954679999999998</v>
      </c>
      <c r="I102" s="318">
        <v>0.1399</v>
      </c>
      <c r="J102" s="318">
        <v>0.1071</v>
      </c>
      <c r="K102" s="317">
        <v>28.048552999999998</v>
      </c>
      <c r="L102" s="321"/>
      <c r="M102" s="399"/>
    </row>
    <row r="103" spans="2:13">
      <c r="B103" s="335">
        <v>14</v>
      </c>
      <c r="C103" s="320"/>
      <c r="D103" s="299" t="s">
        <v>228</v>
      </c>
      <c r="E103" s="309">
        <v>4.9059999999999997</v>
      </c>
      <c r="F103" s="309">
        <v>3.0129999999999999</v>
      </c>
      <c r="G103" s="317">
        <v>1.929395</v>
      </c>
      <c r="H103" s="317">
        <v>3.5205600000000001</v>
      </c>
      <c r="I103" s="318">
        <v>0.1399</v>
      </c>
      <c r="J103" s="318">
        <v>0.1067</v>
      </c>
      <c r="K103" s="317">
        <v>28.238050999999999</v>
      </c>
      <c r="L103" s="321"/>
      <c r="M103" s="399"/>
    </row>
    <row r="104" spans="2:13" ht="17.25" thickBot="1">
      <c r="B104" s="336">
        <v>15</v>
      </c>
      <c r="C104" s="323"/>
      <c r="D104" s="293" t="s">
        <v>229</v>
      </c>
      <c r="E104" s="311">
        <v>4.891</v>
      </c>
      <c r="F104" s="311">
        <v>2.9569999999999999</v>
      </c>
      <c r="G104" s="278">
        <v>1.8993420000000001</v>
      </c>
      <c r="H104" s="278">
        <v>3.452388</v>
      </c>
      <c r="I104" s="279">
        <v>0.1399</v>
      </c>
      <c r="J104" s="279">
        <v>0.1067</v>
      </c>
      <c r="K104" s="278">
        <v>27.713215000000002</v>
      </c>
      <c r="L104" s="324"/>
      <c r="M104" s="399"/>
    </row>
    <row r="105" spans="2:13" ht="17.25" thickBot="1">
      <c r="B105" s="337"/>
      <c r="C105" s="326"/>
      <c r="D105" s="338" t="s">
        <v>467</v>
      </c>
      <c r="E105" s="328">
        <f>AVERAGE(E100:E104)</f>
        <v>4.9033999999999995</v>
      </c>
      <c r="F105" s="328">
        <f t="shared" ref="F105:K105" si="26">AVERAGE(F100:F104)</f>
        <v>3.0344000000000002</v>
      </c>
      <c r="G105" s="328">
        <f t="shared" si="26"/>
        <v>1.9441288000000001</v>
      </c>
      <c r="H105" s="328">
        <f t="shared" si="26"/>
        <v>3.5274543999999999</v>
      </c>
      <c r="I105" s="329">
        <f t="shared" si="26"/>
        <v>0.13992000000000002</v>
      </c>
      <c r="J105" s="329">
        <f t="shared" si="26"/>
        <v>0.10724</v>
      </c>
      <c r="K105" s="330">
        <f t="shared" si="26"/>
        <v>28.293637799999999</v>
      </c>
      <c r="L105" s="331"/>
      <c r="M105" s="399"/>
    </row>
    <row r="106" spans="2:13">
      <c r="B106" s="333">
        <v>16</v>
      </c>
      <c r="C106" s="271"/>
      <c r="D106" s="291" t="s">
        <v>230</v>
      </c>
      <c r="E106" s="307">
        <v>4.8929999999999998</v>
      </c>
      <c r="F106" s="307">
        <v>3.1019999999999999</v>
      </c>
      <c r="G106" s="272">
        <v>1.9916640000000001</v>
      </c>
      <c r="H106" s="272">
        <v>3.5824699999999998</v>
      </c>
      <c r="I106" s="273">
        <v>0.14000000000000001</v>
      </c>
      <c r="J106" s="273">
        <v>0.1082</v>
      </c>
      <c r="K106" s="272">
        <v>28.669131</v>
      </c>
      <c r="L106" s="332"/>
      <c r="M106" s="399"/>
    </row>
    <row r="107" spans="2:13">
      <c r="B107" s="335">
        <v>17</v>
      </c>
      <c r="C107" s="320"/>
      <c r="D107" s="299" t="s">
        <v>231</v>
      </c>
      <c r="E107" s="309">
        <v>4.9050000000000002</v>
      </c>
      <c r="F107" s="309">
        <v>3.0790000000000002</v>
      </c>
      <c r="G107" s="317">
        <v>1.9720599999999999</v>
      </c>
      <c r="H107" s="317">
        <v>3.5671200000000001</v>
      </c>
      <c r="I107" s="318">
        <v>0.1399</v>
      </c>
      <c r="J107" s="318">
        <v>0.1075</v>
      </c>
      <c r="K107" s="317">
        <v>28.641860000000001</v>
      </c>
      <c r="L107" s="321"/>
      <c r="M107" s="399"/>
    </row>
    <row r="108" spans="2:13">
      <c r="B108" s="335">
        <v>18</v>
      </c>
      <c r="C108" s="320"/>
      <c r="D108" s="299" t="s">
        <v>232</v>
      </c>
      <c r="E108" s="309">
        <v>4.907</v>
      </c>
      <c r="F108" s="309">
        <v>3.0009999999999999</v>
      </c>
      <c r="G108" s="317">
        <v>1.921319</v>
      </c>
      <c r="H108" s="317">
        <v>3.494278</v>
      </c>
      <c r="I108" s="318">
        <v>0.1399</v>
      </c>
      <c r="J108" s="318">
        <v>0.1071</v>
      </c>
      <c r="K108" s="317">
        <v>28.020541999999999</v>
      </c>
      <c r="L108" s="321"/>
      <c r="M108" s="399"/>
    </row>
    <row r="109" spans="2:13">
      <c r="B109" s="335">
        <v>19</v>
      </c>
      <c r="C109" s="320"/>
      <c r="D109" s="299" t="s">
        <v>233</v>
      </c>
      <c r="E109" s="309">
        <v>4.9080000000000004</v>
      </c>
      <c r="F109" s="309">
        <v>2.9969999999999999</v>
      </c>
      <c r="G109" s="317">
        <v>1.9183669999999999</v>
      </c>
      <c r="H109" s="317">
        <v>3.504559</v>
      </c>
      <c r="I109" s="318">
        <v>0.1399</v>
      </c>
      <c r="J109" s="318">
        <v>0.1066</v>
      </c>
      <c r="K109" s="317">
        <v>28.114446999999998</v>
      </c>
      <c r="L109" s="321"/>
      <c r="M109" s="399"/>
    </row>
    <row r="110" spans="2:13" ht="17.25" thickBot="1">
      <c r="B110" s="336">
        <v>20</v>
      </c>
      <c r="C110" s="323"/>
      <c r="D110" s="293" t="s">
        <v>234</v>
      </c>
      <c r="E110" s="311">
        <v>4.8810000000000002</v>
      </c>
      <c r="F110" s="311">
        <v>2.9540000000000002</v>
      </c>
      <c r="G110" s="278">
        <v>1.901302</v>
      </c>
      <c r="H110" s="278">
        <v>3.4355669999999998</v>
      </c>
      <c r="I110" s="279">
        <v>0.1399</v>
      </c>
      <c r="J110" s="279">
        <v>0.10680000000000001</v>
      </c>
      <c r="K110" s="278">
        <v>27.659175999999999</v>
      </c>
      <c r="L110" s="324"/>
      <c r="M110" s="399"/>
    </row>
    <row r="111" spans="2:13" ht="17.25" thickBot="1">
      <c r="B111" s="337"/>
      <c r="C111" s="326"/>
      <c r="D111" s="338" t="s">
        <v>467</v>
      </c>
      <c r="E111" s="328">
        <f>AVERAGE(E106:E110)</f>
        <v>4.8987999999999996</v>
      </c>
      <c r="F111" s="328">
        <f t="shared" ref="F111:K111" si="27">AVERAGE(F106:F110)</f>
        <v>3.0266000000000002</v>
      </c>
      <c r="G111" s="328">
        <f t="shared" si="27"/>
        <v>1.9409423999999997</v>
      </c>
      <c r="H111" s="328">
        <f t="shared" si="27"/>
        <v>3.5167988000000001</v>
      </c>
      <c r="I111" s="329">
        <f t="shared" si="27"/>
        <v>0.13992000000000002</v>
      </c>
      <c r="J111" s="329">
        <f t="shared" si="27"/>
        <v>0.10724</v>
      </c>
      <c r="K111" s="328">
        <f t="shared" si="27"/>
        <v>28.221031199999999</v>
      </c>
      <c r="L111" s="331"/>
      <c r="M111" s="399"/>
    </row>
    <row r="112" spans="2:13">
      <c r="B112" s="333">
        <v>21</v>
      </c>
      <c r="C112" s="271"/>
      <c r="D112" s="291" t="s">
        <v>235</v>
      </c>
      <c r="E112" s="307">
        <v>4.8970000000000002</v>
      </c>
      <c r="F112" s="307">
        <v>3.0960000000000001</v>
      </c>
      <c r="G112" s="272">
        <v>1.9861880000000001</v>
      </c>
      <c r="H112" s="272">
        <v>3.5693920000000001</v>
      </c>
      <c r="I112" s="273">
        <v>0.1399</v>
      </c>
      <c r="J112" s="273">
        <v>0.1081</v>
      </c>
      <c r="K112" s="272">
        <v>28.640148</v>
      </c>
      <c r="L112" s="332"/>
      <c r="M112" s="399"/>
    </row>
    <row r="113" spans="2:13">
      <c r="B113" s="335">
        <v>22</v>
      </c>
      <c r="C113" s="320"/>
      <c r="D113" s="299" t="s">
        <v>236</v>
      </c>
      <c r="E113" s="309">
        <v>4.8869999999999996</v>
      </c>
      <c r="F113" s="309">
        <v>3.077</v>
      </c>
      <c r="G113" s="317">
        <v>1.978038</v>
      </c>
      <c r="H113" s="317">
        <v>3.5619320000000001</v>
      </c>
      <c r="I113" s="318">
        <v>0.1399</v>
      </c>
      <c r="J113" s="318">
        <v>0.10780000000000001</v>
      </c>
      <c r="K113" s="317">
        <v>28.543599</v>
      </c>
      <c r="L113" s="321"/>
      <c r="M113" s="399"/>
    </row>
    <row r="114" spans="2:13">
      <c r="B114" s="335">
        <v>23</v>
      </c>
      <c r="C114" s="320"/>
      <c r="D114" s="299" t="s">
        <v>237</v>
      </c>
      <c r="E114" s="309">
        <v>4.8879999999999999</v>
      </c>
      <c r="F114" s="309">
        <v>3.0139999999999998</v>
      </c>
      <c r="G114" s="317">
        <v>1.9371419999999999</v>
      </c>
      <c r="H114" s="317">
        <v>3.5006249999999999</v>
      </c>
      <c r="I114" s="318">
        <v>0.14000000000000001</v>
      </c>
      <c r="J114" s="318">
        <v>0.10730000000000001</v>
      </c>
      <c r="K114" s="317">
        <v>28.089469000000001</v>
      </c>
      <c r="L114" s="321"/>
      <c r="M114" s="399"/>
    </row>
    <row r="115" spans="2:13">
      <c r="B115" s="335">
        <v>24</v>
      </c>
      <c r="C115" s="320"/>
      <c r="D115" s="299" t="s">
        <v>238</v>
      </c>
      <c r="E115" s="309">
        <v>4.875</v>
      </c>
      <c r="F115" s="309">
        <v>3.0030000000000001</v>
      </c>
      <c r="G115" s="317">
        <v>1.935219</v>
      </c>
      <c r="H115" s="317">
        <v>3.4976539999999998</v>
      </c>
      <c r="I115" s="318">
        <v>0.1399</v>
      </c>
      <c r="J115" s="318">
        <v>0.1067</v>
      </c>
      <c r="K115" s="317">
        <v>28.14433</v>
      </c>
      <c r="L115" s="321"/>
      <c r="M115" s="399"/>
    </row>
    <row r="116" spans="2:13" ht="17.25" thickBot="1">
      <c r="B116" s="336">
        <v>25</v>
      </c>
      <c r="C116" s="323"/>
      <c r="D116" s="293" t="s">
        <v>239</v>
      </c>
      <c r="E116" s="311">
        <v>4.8650000000000002</v>
      </c>
      <c r="F116" s="311">
        <v>2.9510000000000001</v>
      </c>
      <c r="G116" s="278">
        <v>1.905618</v>
      </c>
      <c r="H116" s="278">
        <v>3.4421189999999999</v>
      </c>
      <c r="I116" s="279">
        <v>0.1399</v>
      </c>
      <c r="J116" s="279">
        <v>0.1069</v>
      </c>
      <c r="K116" s="278">
        <v>27.605239000000001</v>
      </c>
      <c r="L116" s="324"/>
      <c r="M116" s="399"/>
    </row>
    <row r="117" spans="2:13" ht="17.25" thickBot="1">
      <c r="B117" s="339" t="s">
        <v>464</v>
      </c>
      <c r="C117" s="340"/>
      <c r="D117" s="341" t="s">
        <v>467</v>
      </c>
      <c r="E117" s="342">
        <f>AVERAGE(E112:E116)</f>
        <v>4.8823999999999996</v>
      </c>
      <c r="F117" s="342">
        <f t="shared" ref="F117:K117" si="28">AVERAGE(F112:F116)</f>
        <v>3.0282</v>
      </c>
      <c r="G117" s="342">
        <f t="shared" si="28"/>
        <v>1.9484410000000001</v>
      </c>
      <c r="H117" s="342">
        <f t="shared" si="28"/>
        <v>3.5143444000000001</v>
      </c>
      <c r="I117" s="343">
        <f t="shared" si="28"/>
        <v>0.13991999999999999</v>
      </c>
      <c r="J117" s="343">
        <f t="shared" si="28"/>
        <v>0.10736000000000001</v>
      </c>
      <c r="K117" s="342">
        <f t="shared" si="28"/>
        <v>28.204557000000001</v>
      </c>
      <c r="L117" s="344"/>
      <c r="M117" s="399"/>
    </row>
    <row r="118" spans="2:13">
      <c r="B118" s="333"/>
      <c r="C118" s="345"/>
      <c r="D118" s="291" t="s">
        <v>466</v>
      </c>
      <c r="E118" s="346">
        <f>MEDIAN(E88:E92,E94:E98,E100:E104,E106:E110,E112:E116)</f>
        <v>4.9000000000000004</v>
      </c>
      <c r="F118" s="346">
        <f t="shared" ref="F118:K118" si="29">MEDIAN(F88:F92,F94:F98,F100:F104,F106:F110,F112:F116)</f>
        <v>3.0270000000000001</v>
      </c>
      <c r="G118" s="346">
        <f t="shared" si="29"/>
        <v>1.939546</v>
      </c>
      <c r="H118" s="346">
        <f t="shared" si="29"/>
        <v>3.5215200000000002</v>
      </c>
      <c r="I118" s="347">
        <f t="shared" si="29"/>
        <v>0.1399</v>
      </c>
      <c r="J118" s="347">
        <f t="shared" si="29"/>
        <v>0.1071</v>
      </c>
      <c r="K118" s="348">
        <f t="shared" si="29"/>
        <v>28.275538999999998</v>
      </c>
      <c r="L118" s="332"/>
      <c r="M118" s="399"/>
    </row>
    <row r="119" spans="2:13">
      <c r="B119" s="335"/>
      <c r="C119" s="320"/>
      <c r="D119" s="299" t="s">
        <v>467</v>
      </c>
      <c r="E119" s="349">
        <f>AVERAGE(E88:E92,E94:E98,E100:E104,E106:E110,E112:E116)</f>
        <v>4.8961600000000001</v>
      </c>
      <c r="F119" s="349">
        <f t="shared" ref="F119:K119" si="30">AVERAGE(F88:F92,F94:F98,F100:F104,F106:F110,F112:F116)</f>
        <v>3.0409199999999994</v>
      </c>
      <c r="G119" s="349">
        <f t="shared" si="30"/>
        <v>1.95116008</v>
      </c>
      <c r="H119" s="349">
        <f t="shared" si="30"/>
        <v>3.5318283200000002</v>
      </c>
      <c r="I119" s="350">
        <f t="shared" si="30"/>
        <v>0.13991599999999996</v>
      </c>
      <c r="J119" s="350">
        <f t="shared" si="30"/>
        <v>0.107308</v>
      </c>
      <c r="K119" s="351">
        <f t="shared" si="30"/>
        <v>28.336487879999996</v>
      </c>
      <c r="L119" s="321"/>
      <c r="M119" s="399"/>
    </row>
    <row r="120" spans="2:13">
      <c r="B120" s="335"/>
      <c r="C120" s="320"/>
      <c r="D120" s="299" t="s">
        <v>199</v>
      </c>
      <c r="E120" s="349">
        <f>MAX(E88:E92,E94:E98,E100:E104,E106:E110,E112:E116)</f>
        <v>4.9160000000000004</v>
      </c>
      <c r="F120" s="349">
        <f t="shared" ref="F120:K120" si="31">MAX(F88:F92,F94:F98,F100:F104,F106:F110,F112:F116)</f>
        <v>3.14</v>
      </c>
      <c r="G120" s="349">
        <f t="shared" si="31"/>
        <v>2.0127709999999999</v>
      </c>
      <c r="H120" s="349">
        <f t="shared" si="31"/>
        <v>3.6180629999999998</v>
      </c>
      <c r="I120" s="350">
        <f t="shared" si="31"/>
        <v>0.14000000000000001</v>
      </c>
      <c r="J120" s="350">
        <f t="shared" si="31"/>
        <v>0.10829999999999999</v>
      </c>
      <c r="K120" s="351">
        <f t="shared" si="31"/>
        <v>28.993535999999999</v>
      </c>
      <c r="L120" s="321"/>
      <c r="M120" s="399"/>
    </row>
    <row r="121" spans="2:13">
      <c r="B121" s="335"/>
      <c r="C121" s="320"/>
      <c r="D121" s="299" t="s">
        <v>200</v>
      </c>
      <c r="E121" s="349">
        <f>MIN(E88:E92,E94:E98,E100:E104,E106:E110,E112:E116)</f>
        <v>4.8650000000000002</v>
      </c>
      <c r="F121" s="349">
        <f t="shared" ref="F121:K121" si="32">MIN(F88:F92,F94:F98,F100:F104,F106:F110,F112:F116)</f>
        <v>2.9510000000000001</v>
      </c>
      <c r="G121" s="349">
        <f t="shared" si="32"/>
        <v>1.8993420000000001</v>
      </c>
      <c r="H121" s="349">
        <f t="shared" si="32"/>
        <v>3.4355669999999998</v>
      </c>
      <c r="I121" s="350">
        <f t="shared" si="32"/>
        <v>0.1399</v>
      </c>
      <c r="J121" s="350">
        <f t="shared" si="32"/>
        <v>0.1066</v>
      </c>
      <c r="K121" s="351">
        <f t="shared" si="32"/>
        <v>27.605239000000001</v>
      </c>
      <c r="L121" s="321"/>
      <c r="M121" s="399"/>
    </row>
    <row r="122" spans="2:13">
      <c r="B122" s="335"/>
      <c r="C122" s="320"/>
      <c r="D122" s="299" t="s">
        <v>201</v>
      </c>
      <c r="E122" s="349">
        <f>E120-E121</f>
        <v>5.1000000000000156E-2</v>
      </c>
      <c r="F122" s="349">
        <f t="shared" ref="F122:K122" si="33">F120-F121</f>
        <v>0.18900000000000006</v>
      </c>
      <c r="G122" s="349">
        <f t="shared" si="33"/>
        <v>0.11342899999999978</v>
      </c>
      <c r="H122" s="349">
        <f t="shared" si="33"/>
        <v>0.18249599999999999</v>
      </c>
      <c r="I122" s="350">
        <f t="shared" si="33"/>
        <v>1.0000000000001674E-4</v>
      </c>
      <c r="J122" s="350">
        <f t="shared" si="33"/>
        <v>1.6999999999999932E-3</v>
      </c>
      <c r="K122" s="349">
        <f t="shared" si="33"/>
        <v>1.3882969999999979</v>
      </c>
      <c r="L122" s="321"/>
      <c r="M122" s="399"/>
    </row>
    <row r="123" spans="2:13">
      <c r="B123" s="335"/>
      <c r="C123" s="320"/>
      <c r="D123" s="299" t="s">
        <v>202</v>
      </c>
      <c r="E123" s="349">
        <f>STDEVA(E88:E92,E94:E98,E100:E104,E106:E110,E112:E116)</f>
        <v>1.1929235795584981E-2</v>
      </c>
      <c r="F123" s="349">
        <f t="shared" ref="F123:K123" si="34">STDEVA(F88:F92,F94:F98,F100:F104,F106:F110,F112:F116)</f>
        <v>5.8741609329900614E-2</v>
      </c>
      <c r="G123" s="349">
        <f t="shared" si="34"/>
        <v>3.5917020995065829E-2</v>
      </c>
      <c r="H123" s="349">
        <f t="shared" si="34"/>
        <v>5.5165891117700629E-2</v>
      </c>
      <c r="I123" s="350">
        <f t="shared" si="34"/>
        <v>3.7416573867745677E-5</v>
      </c>
      <c r="J123" s="350">
        <f t="shared" si="34"/>
        <v>5.6562649631477927E-4</v>
      </c>
      <c r="K123" s="349">
        <f t="shared" si="34"/>
        <v>0.41632958474039533</v>
      </c>
      <c r="L123" s="321"/>
      <c r="M123" s="399"/>
    </row>
    <row r="124" spans="2:13" ht="17.25" thickBot="1">
      <c r="B124" s="336"/>
      <c r="C124" s="323"/>
      <c r="D124" s="293" t="s">
        <v>203</v>
      </c>
      <c r="E124" s="352">
        <f>E123*3</f>
        <v>3.5787707386754943E-2</v>
      </c>
      <c r="F124" s="352">
        <f t="shared" ref="F124:K124" si="35">F123*3</f>
        <v>0.17622482798970185</v>
      </c>
      <c r="G124" s="352">
        <f t="shared" si="35"/>
        <v>0.10775106298519749</v>
      </c>
      <c r="H124" s="352">
        <f t="shared" si="35"/>
        <v>0.16549767335310189</v>
      </c>
      <c r="I124" s="353">
        <f t="shared" si="35"/>
        <v>1.1224972160323703E-4</v>
      </c>
      <c r="J124" s="353">
        <f t="shared" si="35"/>
        <v>1.6968794889443378E-3</v>
      </c>
      <c r="K124" s="352">
        <f t="shared" si="35"/>
        <v>1.2489887542211859</v>
      </c>
      <c r="L124" s="324"/>
      <c r="M124" s="399"/>
    </row>
    <row r="126" spans="2:13">
      <c r="B126" s="240" t="s">
        <v>472</v>
      </c>
      <c r="C126" s="240"/>
      <c r="E126" s="240"/>
      <c r="F126" s="240"/>
      <c r="G126" s="240"/>
      <c r="H126" s="240"/>
      <c r="I126" s="240"/>
      <c r="J126" s="240"/>
      <c r="K126" s="240"/>
    </row>
    <row r="127" spans="2:13" ht="17.25" thickBot="1">
      <c r="B127" s="240" t="s">
        <v>460</v>
      </c>
      <c r="C127" s="240"/>
      <c r="E127" s="240"/>
      <c r="F127" s="240"/>
      <c r="G127" s="240"/>
      <c r="H127" s="240"/>
      <c r="I127" s="240"/>
      <c r="J127" s="240"/>
      <c r="K127" s="240"/>
    </row>
    <row r="128" spans="2:13" ht="17.25" thickBot="1">
      <c r="B128" s="313" t="s">
        <v>11</v>
      </c>
      <c r="C128" s="250" t="s">
        <v>0</v>
      </c>
      <c r="D128" s="250" t="s">
        <v>1</v>
      </c>
      <c r="E128" s="250" t="s">
        <v>2</v>
      </c>
      <c r="F128" s="250" t="s">
        <v>3</v>
      </c>
      <c r="G128" s="250" t="s">
        <v>192</v>
      </c>
      <c r="H128" s="250" t="s">
        <v>16</v>
      </c>
      <c r="I128" s="250" t="s">
        <v>6</v>
      </c>
      <c r="J128" s="251" t="s">
        <v>7</v>
      </c>
      <c r="K128" s="252" t="s">
        <v>8</v>
      </c>
      <c r="L128" s="254" t="s">
        <v>461</v>
      </c>
      <c r="M128" s="404"/>
    </row>
    <row r="129" spans="2:13">
      <c r="B129" s="314">
        <v>1</v>
      </c>
      <c r="C129" s="271" t="s">
        <v>205</v>
      </c>
      <c r="D129" s="291" t="s">
        <v>213</v>
      </c>
      <c r="E129" s="307">
        <v>3.9060000000000001</v>
      </c>
      <c r="F129" s="307">
        <v>4.476</v>
      </c>
      <c r="G129" s="272">
        <v>3.6000399999999999</v>
      </c>
      <c r="H129" s="307">
        <v>5.0793169999999996</v>
      </c>
      <c r="I129" s="273">
        <v>0.14000000000000001</v>
      </c>
      <c r="J129" s="273">
        <v>0.1108</v>
      </c>
      <c r="K129" s="272">
        <v>40.397112</v>
      </c>
      <c r="L129" s="275" t="s">
        <v>462</v>
      </c>
      <c r="M129" s="397"/>
    </row>
    <row r="130" spans="2:13">
      <c r="B130" s="315">
        <v>2</v>
      </c>
      <c r="C130" s="316"/>
      <c r="D130" s="299" t="s">
        <v>214</v>
      </c>
      <c r="E130" s="309">
        <v>3.9129999999999998</v>
      </c>
      <c r="F130" s="309">
        <v>4.4980000000000002</v>
      </c>
      <c r="G130" s="317">
        <v>3.6112630000000001</v>
      </c>
      <c r="H130" s="309">
        <v>5.0429469999999998</v>
      </c>
      <c r="I130" s="318">
        <v>0.1401</v>
      </c>
      <c r="J130" s="318">
        <v>0.1125</v>
      </c>
      <c r="K130" s="317">
        <v>39.982222</v>
      </c>
      <c r="L130" s="319" t="s">
        <v>211</v>
      </c>
      <c r="M130" s="398"/>
    </row>
    <row r="131" spans="2:13">
      <c r="B131" s="315">
        <v>3</v>
      </c>
      <c r="C131" s="320"/>
      <c r="D131" s="299" t="s">
        <v>217</v>
      </c>
      <c r="E131" s="309">
        <v>3.9159999999999999</v>
      </c>
      <c r="F131" s="309">
        <v>4.4880000000000004</v>
      </c>
      <c r="G131" s="317">
        <v>3.6004740000000002</v>
      </c>
      <c r="H131" s="309">
        <v>5.0516100000000002</v>
      </c>
      <c r="I131" s="318">
        <v>0.1401</v>
      </c>
      <c r="J131" s="318">
        <v>0.11169999999999999</v>
      </c>
      <c r="K131" s="317">
        <v>40.179051000000001</v>
      </c>
      <c r="L131" s="321"/>
      <c r="M131" s="399"/>
    </row>
    <row r="132" spans="2:13">
      <c r="B132" s="315">
        <v>4</v>
      </c>
      <c r="C132" s="320"/>
      <c r="D132" s="299" t="s">
        <v>218</v>
      </c>
      <c r="E132" s="309">
        <v>3.9180000000000001</v>
      </c>
      <c r="F132" s="309">
        <v>4.484</v>
      </c>
      <c r="G132" s="317">
        <v>3.5954290000000002</v>
      </c>
      <c r="H132" s="309">
        <v>5.0959580000000004</v>
      </c>
      <c r="I132" s="318">
        <v>0.1401</v>
      </c>
      <c r="J132" s="318">
        <v>0.1103</v>
      </c>
      <c r="K132" s="317">
        <v>40.652765000000002</v>
      </c>
      <c r="L132" s="321"/>
      <c r="M132" s="399"/>
    </row>
    <row r="133" spans="2:13" ht="17.25" thickBot="1">
      <c r="B133" s="322">
        <v>5</v>
      </c>
      <c r="C133" s="323"/>
      <c r="D133" s="354" t="s">
        <v>240</v>
      </c>
      <c r="E133" s="352">
        <v>3.915</v>
      </c>
      <c r="F133" s="352">
        <v>4.5010000000000003</v>
      </c>
      <c r="G133" s="355">
        <v>3.6118250000000001</v>
      </c>
      <c r="H133" s="352">
        <v>5.1658160000000004</v>
      </c>
      <c r="I133" s="353">
        <v>0.14000000000000001</v>
      </c>
      <c r="J133" s="353">
        <v>0.10920000000000001</v>
      </c>
      <c r="K133" s="355">
        <v>41.217948999999997</v>
      </c>
      <c r="L133" s="324"/>
      <c r="M133" s="399"/>
    </row>
    <row r="134" spans="2:13" ht="17.25" thickBot="1">
      <c r="B134" s="325"/>
      <c r="C134" s="326"/>
      <c r="D134" s="327" t="s">
        <v>463</v>
      </c>
      <c r="E134" s="328">
        <f>AVERAGE(E129:E133)</f>
        <v>3.9135999999999997</v>
      </c>
      <c r="F134" s="328">
        <f t="shared" ref="F134:K134" si="36">AVERAGE(F129:F133)</f>
        <v>4.4893999999999998</v>
      </c>
      <c r="G134" s="328">
        <f t="shared" si="36"/>
        <v>3.6038061999999997</v>
      </c>
      <c r="H134" s="328">
        <f t="shared" si="36"/>
        <v>5.0871295999999999</v>
      </c>
      <c r="I134" s="329">
        <f t="shared" si="36"/>
        <v>0.14006000000000002</v>
      </c>
      <c r="J134" s="329">
        <f t="shared" si="36"/>
        <v>0.1109</v>
      </c>
      <c r="K134" s="330">
        <f t="shared" si="36"/>
        <v>40.485819800000002</v>
      </c>
      <c r="L134" s="331"/>
      <c r="M134" s="399"/>
    </row>
    <row r="135" spans="2:13">
      <c r="B135" s="314">
        <v>6</v>
      </c>
      <c r="C135" s="271"/>
      <c r="D135" s="291" t="s">
        <v>241</v>
      </c>
      <c r="E135" s="307">
        <v>3.9060000000000001</v>
      </c>
      <c r="F135" s="307">
        <v>4.4740000000000002</v>
      </c>
      <c r="G135" s="272">
        <v>3.5984319999999999</v>
      </c>
      <c r="H135" s="307">
        <v>5.0812799999999996</v>
      </c>
      <c r="I135" s="273">
        <v>0.1401</v>
      </c>
      <c r="J135" s="273">
        <v>0.1106</v>
      </c>
      <c r="K135" s="272">
        <v>40.452080000000002</v>
      </c>
      <c r="L135" s="332"/>
      <c r="M135" s="399"/>
    </row>
    <row r="136" spans="2:13">
      <c r="B136" s="315">
        <v>7</v>
      </c>
      <c r="C136" s="320"/>
      <c r="D136" s="299" t="s">
        <v>242</v>
      </c>
      <c r="E136" s="309">
        <v>3.9140000000000001</v>
      </c>
      <c r="F136" s="309">
        <v>4.4710000000000001</v>
      </c>
      <c r="G136" s="317">
        <v>3.5886689999999999</v>
      </c>
      <c r="H136" s="309">
        <v>5.0239200000000004</v>
      </c>
      <c r="I136" s="318">
        <v>0.1401</v>
      </c>
      <c r="J136" s="318">
        <v>0.11219999999999999</v>
      </c>
      <c r="K136" s="317">
        <v>39.848484999999997</v>
      </c>
      <c r="L136" s="321"/>
      <c r="M136" s="399"/>
    </row>
    <row r="137" spans="2:13">
      <c r="B137" s="315">
        <v>8</v>
      </c>
      <c r="C137" s="320"/>
      <c r="D137" s="299" t="s">
        <v>222</v>
      </c>
      <c r="E137" s="309">
        <v>3.919</v>
      </c>
      <c r="F137" s="309">
        <v>4.4790000000000001</v>
      </c>
      <c r="G137" s="317">
        <v>3.590503</v>
      </c>
      <c r="H137" s="309">
        <v>5.0672199999999998</v>
      </c>
      <c r="I137" s="318">
        <v>0.14000000000000001</v>
      </c>
      <c r="J137" s="318">
        <v>0.1115</v>
      </c>
      <c r="K137" s="317">
        <v>40.170403999999998</v>
      </c>
      <c r="L137" s="321"/>
      <c r="M137" s="399"/>
    </row>
    <row r="138" spans="2:13">
      <c r="B138" s="315">
        <v>9</v>
      </c>
      <c r="C138" s="320"/>
      <c r="D138" s="299" t="s">
        <v>223</v>
      </c>
      <c r="E138" s="309">
        <v>3.9209999999999998</v>
      </c>
      <c r="F138" s="309">
        <v>4.4710000000000001</v>
      </c>
      <c r="G138" s="317">
        <v>3.5822620000000001</v>
      </c>
      <c r="H138" s="309">
        <v>5.092759</v>
      </c>
      <c r="I138" s="318">
        <v>0.14000000000000001</v>
      </c>
      <c r="J138" s="318">
        <v>0.1101</v>
      </c>
      <c r="K138" s="317">
        <v>40.608538000000003</v>
      </c>
      <c r="L138" s="321"/>
      <c r="M138" s="399"/>
    </row>
    <row r="139" spans="2:13" ht="17.25" thickBot="1">
      <c r="B139" s="322">
        <v>10</v>
      </c>
      <c r="C139" s="323"/>
      <c r="D139" s="293" t="s">
        <v>243</v>
      </c>
      <c r="E139" s="311">
        <v>3.919</v>
      </c>
      <c r="F139" s="311">
        <v>4.4859999999999998</v>
      </c>
      <c r="G139" s="278">
        <v>3.5961150000000002</v>
      </c>
      <c r="H139" s="311">
        <v>5.1498270000000002</v>
      </c>
      <c r="I139" s="279">
        <v>0.1401</v>
      </c>
      <c r="J139" s="279">
        <v>0.109</v>
      </c>
      <c r="K139" s="278">
        <v>41.155963</v>
      </c>
      <c r="L139" s="324"/>
      <c r="M139" s="399"/>
    </row>
    <row r="140" spans="2:13" ht="17.25" thickBot="1">
      <c r="B140" s="325" t="s">
        <v>464</v>
      </c>
      <c r="C140" s="326"/>
      <c r="D140" s="327" t="s">
        <v>463</v>
      </c>
      <c r="E140" s="328">
        <f>AVERAGE(E135:E139)</f>
        <v>3.9157999999999999</v>
      </c>
      <c r="F140" s="328">
        <f t="shared" ref="F140:K140" si="37">AVERAGE(F135:F139)</f>
        <v>4.4762000000000004</v>
      </c>
      <c r="G140" s="328">
        <f t="shared" si="37"/>
        <v>3.5911962000000002</v>
      </c>
      <c r="H140" s="328">
        <f t="shared" si="37"/>
        <v>5.0830012</v>
      </c>
      <c r="I140" s="329">
        <f t="shared" si="37"/>
        <v>0.14006000000000002</v>
      </c>
      <c r="J140" s="329">
        <f t="shared" si="37"/>
        <v>0.11068</v>
      </c>
      <c r="K140" s="330">
        <f t="shared" si="37"/>
        <v>40.447094000000007</v>
      </c>
      <c r="L140" s="331"/>
      <c r="M140" s="399"/>
    </row>
    <row r="141" spans="2:13">
      <c r="B141" s="333">
        <v>11</v>
      </c>
      <c r="C141" s="334"/>
      <c r="D141" s="291" t="s">
        <v>244</v>
      </c>
      <c r="E141" s="307">
        <v>3.9049999999999998</v>
      </c>
      <c r="F141" s="307">
        <v>4.45</v>
      </c>
      <c r="G141" s="272">
        <v>3.5800450000000001</v>
      </c>
      <c r="H141" s="307">
        <v>5.0549790000000003</v>
      </c>
      <c r="I141" s="273">
        <v>0.14019999999999999</v>
      </c>
      <c r="J141" s="273">
        <v>0.1106</v>
      </c>
      <c r="K141" s="272">
        <v>40.235081000000001</v>
      </c>
      <c r="L141" s="332"/>
      <c r="M141" s="399"/>
    </row>
    <row r="142" spans="2:13">
      <c r="B142" s="335">
        <v>12</v>
      </c>
      <c r="C142" s="320"/>
      <c r="D142" s="299" t="s">
        <v>245</v>
      </c>
      <c r="E142" s="309">
        <v>3.9140000000000001</v>
      </c>
      <c r="F142" s="309">
        <v>4.4539999999999997</v>
      </c>
      <c r="G142" s="317">
        <v>3.5750229999999998</v>
      </c>
      <c r="H142" s="309">
        <v>5.0043540000000002</v>
      </c>
      <c r="I142" s="318">
        <v>0.1401</v>
      </c>
      <c r="J142" s="318">
        <v>0.11210000000000001</v>
      </c>
      <c r="K142" s="317">
        <v>39.732382000000001</v>
      </c>
      <c r="L142" s="321"/>
      <c r="M142" s="399"/>
    </row>
    <row r="143" spans="2:13">
      <c r="B143" s="335">
        <v>13</v>
      </c>
      <c r="C143" s="320"/>
      <c r="D143" s="299" t="s">
        <v>227</v>
      </c>
      <c r="E143" s="309">
        <v>3.919</v>
      </c>
      <c r="F143" s="309">
        <v>4.4560000000000004</v>
      </c>
      <c r="G143" s="317">
        <v>3.572066</v>
      </c>
      <c r="H143" s="309">
        <v>5.0258479999999999</v>
      </c>
      <c r="I143" s="318">
        <v>0.1401</v>
      </c>
      <c r="J143" s="318">
        <v>0.1114</v>
      </c>
      <c r="K143" s="317">
        <v>40</v>
      </c>
      <c r="L143" s="321"/>
      <c r="M143" s="399"/>
    </row>
    <row r="144" spans="2:13">
      <c r="B144" s="335">
        <v>14</v>
      </c>
      <c r="C144" s="320"/>
      <c r="D144" s="299" t="s">
        <v>228</v>
      </c>
      <c r="E144" s="309">
        <v>3.9220000000000002</v>
      </c>
      <c r="F144" s="309">
        <v>4.4850000000000003</v>
      </c>
      <c r="G144" s="317">
        <v>3.5925630000000002</v>
      </c>
      <c r="H144" s="309">
        <v>5.110843</v>
      </c>
      <c r="I144" s="318">
        <v>0.1401</v>
      </c>
      <c r="J144" s="318">
        <v>0.1101</v>
      </c>
      <c r="K144" s="317">
        <v>40.735695</v>
      </c>
      <c r="L144" s="321"/>
      <c r="M144" s="399"/>
    </row>
    <row r="145" spans="2:13" ht="17.25" thickBot="1">
      <c r="B145" s="336">
        <v>15</v>
      </c>
      <c r="C145" s="323"/>
      <c r="D145" s="293" t="s">
        <v>246</v>
      </c>
      <c r="E145" s="311">
        <v>3.92</v>
      </c>
      <c r="F145" s="311">
        <v>4.4779999999999998</v>
      </c>
      <c r="G145" s="278">
        <v>3.5887859999999998</v>
      </c>
      <c r="H145" s="311">
        <v>5.1384639999999999</v>
      </c>
      <c r="I145" s="279">
        <v>0.1401</v>
      </c>
      <c r="J145" s="279">
        <v>0.1089</v>
      </c>
      <c r="K145" s="278">
        <v>41.120294000000001</v>
      </c>
      <c r="L145" s="324"/>
      <c r="M145" s="399"/>
    </row>
    <row r="146" spans="2:13" ht="17.25" thickBot="1">
      <c r="B146" s="337"/>
      <c r="C146" s="326"/>
      <c r="D146" s="327" t="s">
        <v>463</v>
      </c>
      <c r="E146" s="328">
        <f>AVERAGE(E141:E145)</f>
        <v>3.9159999999999995</v>
      </c>
      <c r="F146" s="328">
        <f t="shared" ref="F146:K146" si="38">AVERAGE(F141:F145)</f>
        <v>4.4645999999999999</v>
      </c>
      <c r="G146" s="328">
        <f t="shared" si="38"/>
        <v>3.5816965999999999</v>
      </c>
      <c r="H146" s="328">
        <f t="shared" si="38"/>
        <v>5.0668975999999999</v>
      </c>
      <c r="I146" s="329">
        <f t="shared" si="38"/>
        <v>0.14011999999999999</v>
      </c>
      <c r="J146" s="329">
        <f t="shared" si="38"/>
        <v>0.11062000000000001</v>
      </c>
      <c r="K146" s="330">
        <f t="shared" si="38"/>
        <v>40.364690400000001</v>
      </c>
      <c r="L146" s="331"/>
      <c r="M146" s="399"/>
    </row>
    <row r="147" spans="2:13">
      <c r="B147" s="333">
        <v>16</v>
      </c>
      <c r="C147" s="271"/>
      <c r="D147" s="291" t="s">
        <v>247</v>
      </c>
      <c r="E147" s="307">
        <v>3.9020000000000001</v>
      </c>
      <c r="F147" s="307">
        <v>4.4409999999999998</v>
      </c>
      <c r="G147" s="272">
        <v>3.5755509999999999</v>
      </c>
      <c r="H147" s="272">
        <v>5.0401319999999998</v>
      </c>
      <c r="I147" s="273">
        <v>0.14019999999999999</v>
      </c>
      <c r="J147" s="273">
        <v>0.11070000000000001</v>
      </c>
      <c r="K147" s="272">
        <v>40.117435</v>
      </c>
      <c r="L147" s="332"/>
      <c r="M147" s="399"/>
    </row>
    <row r="148" spans="2:13">
      <c r="B148" s="335">
        <v>17</v>
      </c>
      <c r="C148" s="320"/>
      <c r="D148" s="299" t="s">
        <v>248</v>
      </c>
      <c r="E148" s="309">
        <v>3.9119999999999999</v>
      </c>
      <c r="F148" s="309">
        <v>4.4409999999999998</v>
      </c>
      <c r="G148" s="317">
        <v>3.566411</v>
      </c>
      <c r="H148" s="317">
        <v>4.9892580000000004</v>
      </c>
      <c r="I148" s="318">
        <v>0.14000000000000001</v>
      </c>
      <c r="J148" s="318">
        <v>0.1123</v>
      </c>
      <c r="K148" s="317">
        <v>39.545859</v>
      </c>
      <c r="L148" s="321"/>
      <c r="M148" s="399"/>
    </row>
    <row r="149" spans="2:13">
      <c r="B149" s="335">
        <v>18</v>
      </c>
      <c r="C149" s="320"/>
      <c r="D149" s="299" t="s">
        <v>232</v>
      </c>
      <c r="E149" s="309">
        <v>3.9169999999999998</v>
      </c>
      <c r="F149" s="309">
        <v>4.4610000000000003</v>
      </c>
      <c r="G149" s="317">
        <v>3.5779000000000001</v>
      </c>
      <c r="H149" s="317">
        <v>5.0310329999999999</v>
      </c>
      <c r="I149" s="318">
        <v>0.1401</v>
      </c>
      <c r="J149" s="318">
        <v>0.1116</v>
      </c>
      <c r="K149" s="317">
        <v>39.973117999999999</v>
      </c>
      <c r="L149" s="321"/>
      <c r="M149" s="399"/>
    </row>
    <row r="150" spans="2:13">
      <c r="B150" s="335">
        <v>19</v>
      </c>
      <c r="C150" s="320"/>
      <c r="D150" s="299" t="s">
        <v>233</v>
      </c>
      <c r="E150" s="309">
        <v>3.919</v>
      </c>
      <c r="F150" s="309">
        <v>4.4580000000000002</v>
      </c>
      <c r="G150" s="317">
        <v>3.5736690000000002</v>
      </c>
      <c r="H150" s="317">
        <v>5.07193</v>
      </c>
      <c r="I150" s="318">
        <v>0.1401</v>
      </c>
      <c r="J150" s="318">
        <v>0.11020000000000001</v>
      </c>
      <c r="K150" s="317">
        <v>40.453721000000002</v>
      </c>
      <c r="L150" s="321"/>
      <c r="M150" s="399"/>
    </row>
    <row r="151" spans="2:13" ht="17.25" thickBot="1">
      <c r="B151" s="336">
        <v>20</v>
      </c>
      <c r="C151" s="323"/>
      <c r="D151" s="293" t="s">
        <v>249</v>
      </c>
      <c r="E151" s="311">
        <v>3.9169999999999998</v>
      </c>
      <c r="F151" s="311">
        <v>4.4850000000000003</v>
      </c>
      <c r="G151" s="278">
        <v>3.5971489999999999</v>
      </c>
      <c r="H151" s="278">
        <v>5.1403439999999998</v>
      </c>
      <c r="I151" s="279">
        <v>0.1401</v>
      </c>
      <c r="J151" s="279">
        <v>0.1091</v>
      </c>
      <c r="K151" s="278">
        <v>41.109074</v>
      </c>
      <c r="L151" s="324"/>
      <c r="M151" s="399"/>
    </row>
    <row r="152" spans="2:13" ht="17.25" thickBot="1">
      <c r="B152" s="337"/>
      <c r="C152" s="326"/>
      <c r="D152" s="327" t="s">
        <v>463</v>
      </c>
      <c r="E152" s="328">
        <f>AVERAGE(E147:E151)</f>
        <v>3.9134000000000002</v>
      </c>
      <c r="F152" s="328">
        <f t="shared" ref="F152:K152" si="39">AVERAGE(F147:F151)</f>
        <v>4.4572000000000003</v>
      </c>
      <c r="G152" s="328">
        <f t="shared" si="39"/>
        <v>3.5781359999999998</v>
      </c>
      <c r="H152" s="328">
        <f t="shared" si="39"/>
        <v>5.0545394000000003</v>
      </c>
      <c r="I152" s="329">
        <f t="shared" si="39"/>
        <v>0.1401</v>
      </c>
      <c r="J152" s="329">
        <f t="shared" si="39"/>
        <v>0.11078000000000002</v>
      </c>
      <c r="K152" s="328">
        <f t="shared" si="39"/>
        <v>40.239841400000003</v>
      </c>
      <c r="L152" s="331"/>
      <c r="M152" s="399"/>
    </row>
    <row r="153" spans="2:13">
      <c r="B153" s="333">
        <v>21</v>
      </c>
      <c r="C153" s="271"/>
      <c r="D153" s="291" t="s">
        <v>250</v>
      </c>
      <c r="E153" s="307">
        <v>3.8959999999999999</v>
      </c>
      <c r="F153" s="307">
        <v>4.4050000000000002</v>
      </c>
      <c r="G153" s="272">
        <v>3.5520290000000001</v>
      </c>
      <c r="H153" s="307">
        <v>4.9821929999999996</v>
      </c>
      <c r="I153" s="273">
        <v>0.1401</v>
      </c>
      <c r="J153" s="273">
        <v>0.1111</v>
      </c>
      <c r="K153" s="272">
        <v>39.648964999999997</v>
      </c>
      <c r="L153" s="332"/>
      <c r="M153" s="399"/>
    </row>
    <row r="154" spans="2:13">
      <c r="B154" s="335">
        <v>22</v>
      </c>
      <c r="C154" s="320"/>
      <c r="D154" s="299" t="s">
        <v>251</v>
      </c>
      <c r="E154" s="309">
        <v>3.9049999999999998</v>
      </c>
      <c r="F154" s="309">
        <v>4.4240000000000004</v>
      </c>
      <c r="G154" s="317">
        <v>3.5591279999999998</v>
      </c>
      <c r="H154" s="309">
        <v>4.9553560000000001</v>
      </c>
      <c r="I154" s="318">
        <v>0.1401</v>
      </c>
      <c r="J154" s="318">
        <v>0.11269999999999999</v>
      </c>
      <c r="K154" s="317">
        <v>39.254657999999999</v>
      </c>
      <c r="L154" s="321"/>
      <c r="M154" s="399"/>
    </row>
    <row r="155" spans="2:13">
      <c r="B155" s="335">
        <v>23</v>
      </c>
      <c r="C155" s="320"/>
      <c r="D155" s="299" t="s">
        <v>237</v>
      </c>
      <c r="E155" s="309">
        <v>3.9119999999999999</v>
      </c>
      <c r="F155" s="309">
        <v>4.4509999999999996</v>
      </c>
      <c r="G155" s="317">
        <v>3.5744419999999999</v>
      </c>
      <c r="H155" s="309">
        <v>4.996988</v>
      </c>
      <c r="I155" s="318">
        <v>0.1401</v>
      </c>
      <c r="J155" s="318">
        <v>0.11210000000000001</v>
      </c>
      <c r="K155" s="317">
        <v>39.705620000000003</v>
      </c>
      <c r="L155" s="321"/>
      <c r="M155" s="399"/>
    </row>
    <row r="156" spans="2:13">
      <c r="B156" s="335">
        <v>24</v>
      </c>
      <c r="C156" s="320"/>
      <c r="D156" s="299" t="s">
        <v>238</v>
      </c>
      <c r="E156" s="309">
        <v>3.9129999999999998</v>
      </c>
      <c r="F156" s="309">
        <v>4.4550000000000001</v>
      </c>
      <c r="G156" s="317">
        <v>3.57674</v>
      </c>
      <c r="H156" s="309">
        <v>5.070055</v>
      </c>
      <c r="I156" s="318">
        <v>0.1401</v>
      </c>
      <c r="J156" s="318">
        <v>0.1105</v>
      </c>
      <c r="K156" s="317">
        <v>40.316741999999998</v>
      </c>
      <c r="L156" s="321"/>
      <c r="M156" s="399"/>
    </row>
    <row r="157" spans="2:13" ht="17.25" thickBot="1">
      <c r="B157" s="336">
        <v>25</v>
      </c>
      <c r="C157" s="323"/>
      <c r="D157" s="293" t="s">
        <v>252</v>
      </c>
      <c r="E157" s="311">
        <v>3.9119999999999999</v>
      </c>
      <c r="F157" s="311">
        <v>4.4509999999999996</v>
      </c>
      <c r="G157" s="278">
        <v>3.5744419999999999</v>
      </c>
      <c r="H157" s="311">
        <v>5.101769</v>
      </c>
      <c r="I157" s="279">
        <v>0.14000000000000001</v>
      </c>
      <c r="J157" s="279">
        <v>0.1094</v>
      </c>
      <c r="K157" s="278">
        <v>40.685558</v>
      </c>
      <c r="L157" s="324"/>
      <c r="M157" s="399"/>
    </row>
    <row r="158" spans="2:13" ht="17.25" thickBot="1">
      <c r="B158" s="339" t="s">
        <v>464</v>
      </c>
      <c r="C158" s="340"/>
      <c r="D158" s="341" t="s">
        <v>465</v>
      </c>
      <c r="E158" s="342">
        <f>AVERAGE(E153:E157)</f>
        <v>3.9076</v>
      </c>
      <c r="F158" s="342">
        <f t="shared" ref="F158:K158" si="40">AVERAGE(F153:F157)</f>
        <v>4.4371999999999998</v>
      </c>
      <c r="G158" s="342">
        <f t="shared" si="40"/>
        <v>3.5673562000000003</v>
      </c>
      <c r="H158" s="342">
        <f t="shared" si="40"/>
        <v>5.0212722000000003</v>
      </c>
      <c r="I158" s="343">
        <f t="shared" si="40"/>
        <v>0.14008000000000001</v>
      </c>
      <c r="J158" s="343">
        <f t="shared" si="40"/>
        <v>0.11115999999999999</v>
      </c>
      <c r="K158" s="342">
        <f t="shared" si="40"/>
        <v>39.922308599999994</v>
      </c>
      <c r="L158" s="344"/>
      <c r="M158" s="399"/>
    </row>
    <row r="159" spans="2:13">
      <c r="B159" s="333"/>
      <c r="C159" s="345"/>
      <c r="D159" s="291" t="s">
        <v>466</v>
      </c>
      <c r="E159" s="346">
        <f>MEDIAN(E129:E133,E135:E139,E141:E145,E147:E151,E153:E157)</f>
        <v>3.9140000000000001</v>
      </c>
      <c r="F159" s="346">
        <f t="shared" ref="F159:K159" si="41">MEDIAN(F129:F133,F135:F139,F141:F145,F147:F151,F153:F157)</f>
        <v>4.4710000000000001</v>
      </c>
      <c r="G159" s="346">
        <f t="shared" si="41"/>
        <v>3.5822620000000001</v>
      </c>
      <c r="H159" s="346">
        <f t="shared" si="41"/>
        <v>5.0672199999999998</v>
      </c>
      <c r="I159" s="347">
        <f t="shared" si="41"/>
        <v>0.1401</v>
      </c>
      <c r="J159" s="347">
        <f t="shared" si="41"/>
        <v>0.11070000000000001</v>
      </c>
      <c r="K159" s="348">
        <f t="shared" si="41"/>
        <v>40.235081000000001</v>
      </c>
      <c r="L159" s="332"/>
      <c r="M159" s="399"/>
    </row>
    <row r="160" spans="2:13">
      <c r="B160" s="335"/>
      <c r="C160" s="320"/>
      <c r="D160" s="299" t="s">
        <v>467</v>
      </c>
      <c r="E160" s="349">
        <f>AVERAGE(E129:E133,E135:E139,E141:E145,E147:E151,E153:E157)</f>
        <v>3.9132800000000003</v>
      </c>
      <c r="F160" s="349">
        <f t="shared" ref="F160:K160" si="42">AVERAGE(F129:F133,F135:F139,F141:F145,F147:F151,F153:F157)</f>
        <v>4.4649199999999993</v>
      </c>
      <c r="G160" s="349">
        <f t="shared" si="42"/>
        <v>3.5844382399999999</v>
      </c>
      <c r="H160" s="349">
        <f t="shared" si="42"/>
        <v>5.0625679999999997</v>
      </c>
      <c r="I160" s="350">
        <f t="shared" si="42"/>
        <v>0.14008399999999996</v>
      </c>
      <c r="J160" s="350">
        <f t="shared" si="42"/>
        <v>0.11082800000000001</v>
      </c>
      <c r="K160" s="351">
        <f t="shared" si="42"/>
        <v>40.291950839999984</v>
      </c>
      <c r="L160" s="321"/>
      <c r="M160" s="399"/>
    </row>
    <row r="161" spans="2:13">
      <c r="B161" s="335"/>
      <c r="C161" s="320"/>
      <c r="D161" s="299" t="s">
        <v>199</v>
      </c>
      <c r="E161" s="349">
        <f>MAX(E129:E133,E135:E139,E141:E145,E147:E151,E153:E157)</f>
        <v>3.9220000000000002</v>
      </c>
      <c r="F161" s="349">
        <f t="shared" ref="F161:K161" si="43">MAX(F129:F133,F135:F139,F141:F145,F147:F151,F153:F157)</f>
        <v>4.5010000000000003</v>
      </c>
      <c r="G161" s="349">
        <f t="shared" si="43"/>
        <v>3.6118250000000001</v>
      </c>
      <c r="H161" s="349">
        <f t="shared" si="43"/>
        <v>5.1658160000000004</v>
      </c>
      <c r="I161" s="350">
        <f t="shared" si="43"/>
        <v>0.14019999999999999</v>
      </c>
      <c r="J161" s="350">
        <f t="shared" si="43"/>
        <v>0.11269999999999999</v>
      </c>
      <c r="K161" s="351">
        <f t="shared" si="43"/>
        <v>41.217948999999997</v>
      </c>
      <c r="L161" s="321"/>
      <c r="M161" s="399"/>
    </row>
    <row r="162" spans="2:13">
      <c r="B162" s="335"/>
      <c r="C162" s="320"/>
      <c r="D162" s="299" t="s">
        <v>200</v>
      </c>
      <c r="E162" s="349">
        <f>MIN(E129:E133,E135:E139,E141:E145,E147:E151,E153:E157)</f>
        <v>3.8959999999999999</v>
      </c>
      <c r="F162" s="349">
        <f t="shared" ref="F162:K162" si="44">MIN(F129:F133,F135:F139,F141:F145,F147:F151,F153:F157)</f>
        <v>4.4050000000000002</v>
      </c>
      <c r="G162" s="349">
        <f t="shared" si="44"/>
        <v>3.5520290000000001</v>
      </c>
      <c r="H162" s="349">
        <f t="shared" si="44"/>
        <v>4.9553560000000001</v>
      </c>
      <c r="I162" s="350">
        <f t="shared" si="44"/>
        <v>0.14000000000000001</v>
      </c>
      <c r="J162" s="350">
        <f t="shared" si="44"/>
        <v>0.1089</v>
      </c>
      <c r="K162" s="351">
        <f t="shared" si="44"/>
        <v>39.254657999999999</v>
      </c>
      <c r="L162" s="321"/>
      <c r="M162" s="399"/>
    </row>
    <row r="163" spans="2:13">
      <c r="B163" s="335"/>
      <c r="C163" s="320"/>
      <c r="D163" s="299" t="s">
        <v>201</v>
      </c>
      <c r="E163" s="349">
        <f>E161-E162</f>
        <v>2.6000000000000245E-2</v>
      </c>
      <c r="F163" s="349">
        <f t="shared" ref="F163:K163" si="45">F161-F162</f>
        <v>9.6000000000000085E-2</v>
      </c>
      <c r="G163" s="349">
        <f t="shared" si="45"/>
        <v>5.979599999999996E-2</v>
      </c>
      <c r="H163" s="349">
        <f t="shared" si="45"/>
        <v>0.21046000000000031</v>
      </c>
      <c r="I163" s="350">
        <f t="shared" si="45"/>
        <v>1.9999999999997797E-4</v>
      </c>
      <c r="J163" s="350">
        <f t="shared" si="45"/>
        <v>3.7999999999999978E-3</v>
      </c>
      <c r="K163" s="349">
        <f t="shared" si="45"/>
        <v>1.9632909999999981</v>
      </c>
      <c r="L163" s="321"/>
      <c r="M163" s="399"/>
    </row>
    <row r="164" spans="2:13">
      <c r="B164" s="335"/>
      <c r="C164" s="320"/>
      <c r="D164" s="299" t="s">
        <v>202</v>
      </c>
      <c r="E164" s="349">
        <f>STDEVA(E129:E133,E135:E139,E141:E145,E147:E151,E153:E157)</f>
        <v>6.6050485741337879E-3</v>
      </c>
      <c r="F164" s="349">
        <f t="shared" ref="F164:K164" si="46">STDEVA(F129:F133,F135:F139,F141:F145,F147:F151,F153:F157)</f>
        <v>2.2887259920459421E-2</v>
      </c>
      <c r="G164" s="349">
        <f t="shared" si="46"/>
        <v>1.5142125743214991E-2</v>
      </c>
      <c r="H164" s="349">
        <f t="shared" si="46"/>
        <v>5.5035674892897124E-2</v>
      </c>
      <c r="I164" s="350">
        <f t="shared" si="46"/>
        <v>5.5377492419447735E-5</v>
      </c>
      <c r="J164" s="350">
        <f t="shared" si="46"/>
        <v>1.1635147900506747E-3</v>
      </c>
      <c r="K164" s="349">
        <f t="shared" si="46"/>
        <v>0.53413564781107503</v>
      </c>
      <c r="L164" s="321"/>
      <c r="M164" s="399"/>
    </row>
    <row r="165" spans="2:13" ht="17.25" thickBot="1">
      <c r="B165" s="336"/>
      <c r="C165" s="323"/>
      <c r="D165" s="293" t="s">
        <v>203</v>
      </c>
      <c r="E165" s="352">
        <f>E164*3</f>
        <v>1.9815145722401364E-2</v>
      </c>
      <c r="F165" s="352">
        <f t="shared" ref="F165:K165" si="47">F164*3</f>
        <v>6.8661779761378258E-2</v>
      </c>
      <c r="G165" s="352">
        <f t="shared" si="47"/>
        <v>4.5426377229644974E-2</v>
      </c>
      <c r="H165" s="352">
        <f t="shared" si="47"/>
        <v>0.16510702467869137</v>
      </c>
      <c r="I165" s="353">
        <f t="shared" si="47"/>
        <v>1.6613247725834321E-4</v>
      </c>
      <c r="J165" s="353">
        <f t="shared" si="47"/>
        <v>3.490544370152024E-3</v>
      </c>
      <c r="K165" s="352">
        <f t="shared" si="47"/>
        <v>1.6024069434332251</v>
      </c>
      <c r="L165" s="324"/>
      <c r="M165" s="399"/>
    </row>
    <row r="167" spans="2:13">
      <c r="B167" s="240" t="s">
        <v>473</v>
      </c>
      <c r="C167" s="240"/>
      <c r="E167" s="240"/>
      <c r="F167" s="240"/>
      <c r="G167" s="240"/>
      <c r="H167" s="240"/>
      <c r="I167" s="240"/>
      <c r="J167" s="240"/>
      <c r="K167" s="240"/>
    </row>
    <row r="168" spans="2:13" ht="17.25" thickBot="1">
      <c r="B168" s="240" t="s">
        <v>469</v>
      </c>
      <c r="C168" s="240"/>
      <c r="E168" s="240"/>
      <c r="F168" s="240"/>
      <c r="G168" s="240"/>
      <c r="H168" s="240"/>
      <c r="I168" s="240"/>
      <c r="J168" s="240"/>
      <c r="K168" s="240"/>
    </row>
    <row r="169" spans="2:13" ht="17.25" thickBot="1">
      <c r="B169" s="313" t="s">
        <v>11</v>
      </c>
      <c r="C169" s="250" t="s">
        <v>0</v>
      </c>
      <c r="D169" s="250" t="s">
        <v>1</v>
      </c>
      <c r="E169" s="250" t="s">
        <v>2</v>
      </c>
      <c r="F169" s="250" t="s">
        <v>3</v>
      </c>
      <c r="G169" s="250" t="s">
        <v>192</v>
      </c>
      <c r="H169" s="250" t="s">
        <v>16</v>
      </c>
      <c r="I169" s="250" t="s">
        <v>6</v>
      </c>
      <c r="J169" s="251" t="s">
        <v>7</v>
      </c>
      <c r="K169" s="252" t="s">
        <v>8</v>
      </c>
      <c r="L169" s="254" t="s">
        <v>470</v>
      </c>
      <c r="M169" s="404"/>
    </row>
    <row r="170" spans="2:13">
      <c r="B170" s="314">
        <v>1</v>
      </c>
      <c r="C170" s="271" t="s">
        <v>205</v>
      </c>
      <c r="D170" s="291" t="s">
        <v>213</v>
      </c>
      <c r="E170" s="307">
        <v>3.9159999999999999</v>
      </c>
      <c r="F170" s="307">
        <v>4.49</v>
      </c>
      <c r="G170" s="272">
        <v>3.6020780000000001</v>
      </c>
      <c r="H170" s="307">
        <v>5.2835640000000001</v>
      </c>
      <c r="I170" s="273">
        <v>0.14030000000000001</v>
      </c>
      <c r="J170" s="273">
        <v>0.1053</v>
      </c>
      <c r="K170" s="272">
        <v>42.640076000000001</v>
      </c>
      <c r="L170" s="275" t="s">
        <v>474</v>
      </c>
      <c r="M170" s="397"/>
    </row>
    <row r="171" spans="2:13">
      <c r="B171" s="315">
        <v>2</v>
      </c>
      <c r="C171" s="316"/>
      <c r="D171" s="299" t="s">
        <v>214</v>
      </c>
      <c r="E171" s="309">
        <v>3.927</v>
      </c>
      <c r="F171" s="309">
        <v>4.5179999999999998</v>
      </c>
      <c r="G171" s="317">
        <v>3.6143879999999999</v>
      </c>
      <c r="H171" s="309">
        <v>5.3503949999999998</v>
      </c>
      <c r="I171" s="318">
        <v>0.14019999999999999</v>
      </c>
      <c r="J171" s="318">
        <v>0.1048</v>
      </c>
      <c r="K171" s="317">
        <v>43.110686999999999</v>
      </c>
      <c r="L171" s="319" t="s">
        <v>211</v>
      </c>
      <c r="M171" s="398"/>
    </row>
    <row r="172" spans="2:13">
      <c r="B172" s="315">
        <v>3</v>
      </c>
      <c r="C172" s="320"/>
      <c r="D172" s="299" t="s">
        <v>217</v>
      </c>
      <c r="E172" s="309">
        <v>3.9510000000000001</v>
      </c>
      <c r="F172" s="309">
        <v>4.51</v>
      </c>
      <c r="G172" s="317">
        <v>3.5860720000000001</v>
      </c>
      <c r="H172" s="309">
        <v>5.359553</v>
      </c>
      <c r="I172" s="318">
        <v>0.14030000000000001</v>
      </c>
      <c r="J172" s="318">
        <v>0.1041</v>
      </c>
      <c r="K172" s="317">
        <v>43.323726999999998</v>
      </c>
      <c r="L172" s="356" t="s">
        <v>253</v>
      </c>
      <c r="M172" s="400"/>
    </row>
    <row r="173" spans="2:13">
      <c r="B173" s="315">
        <v>4</v>
      </c>
      <c r="C173" s="320"/>
      <c r="D173" s="299" t="s">
        <v>218</v>
      </c>
      <c r="E173" s="309">
        <v>3.9510000000000001</v>
      </c>
      <c r="F173" s="309">
        <v>4.5199999999999996</v>
      </c>
      <c r="G173" s="317">
        <v>3.594023</v>
      </c>
      <c r="H173" s="309">
        <v>5.4048540000000003</v>
      </c>
      <c r="I173" s="318">
        <v>0.14019999999999999</v>
      </c>
      <c r="J173" s="318">
        <v>0.10349999999999999</v>
      </c>
      <c r="K173" s="317">
        <v>43.671498</v>
      </c>
      <c r="L173" s="321"/>
      <c r="M173" s="399"/>
    </row>
    <row r="174" spans="2:13" ht="17.25" thickBot="1">
      <c r="B174" s="322">
        <v>5</v>
      </c>
      <c r="C174" s="323"/>
      <c r="D174" s="354" t="s">
        <v>240</v>
      </c>
      <c r="E174" s="352">
        <v>3.9279999999999999</v>
      </c>
      <c r="F174" s="352">
        <v>4.4560000000000004</v>
      </c>
      <c r="G174" s="355">
        <v>3.5638809999999999</v>
      </c>
      <c r="H174" s="352">
        <v>5.31447</v>
      </c>
      <c r="I174" s="353">
        <v>0.14019999999999999</v>
      </c>
      <c r="J174" s="353">
        <v>0.1037</v>
      </c>
      <c r="K174" s="355">
        <v>42.970106000000001</v>
      </c>
      <c r="L174" s="324"/>
      <c r="M174" s="399"/>
    </row>
    <row r="175" spans="2:13" ht="17.25" thickBot="1">
      <c r="B175" s="325"/>
      <c r="C175" s="326"/>
      <c r="D175" s="327" t="s">
        <v>463</v>
      </c>
      <c r="E175" s="328">
        <f t="shared" ref="E175:K175" si="48">AVERAGE(E170:E174)</f>
        <v>3.9346000000000005</v>
      </c>
      <c r="F175" s="328">
        <f t="shared" si="48"/>
        <v>4.4987999999999992</v>
      </c>
      <c r="G175" s="328">
        <f t="shared" si="48"/>
        <v>3.5920884000000002</v>
      </c>
      <c r="H175" s="328">
        <f t="shared" si="48"/>
        <v>5.3425672000000004</v>
      </c>
      <c r="I175" s="329">
        <f t="shared" si="48"/>
        <v>0.14023999999999998</v>
      </c>
      <c r="J175" s="329">
        <f t="shared" si="48"/>
        <v>0.10428</v>
      </c>
      <c r="K175" s="330">
        <f t="shared" si="48"/>
        <v>43.1432188</v>
      </c>
      <c r="L175" s="331"/>
      <c r="M175" s="399"/>
    </row>
    <row r="176" spans="2:13">
      <c r="B176" s="314">
        <v>6</v>
      </c>
      <c r="C176" s="271"/>
      <c r="D176" s="291" t="s">
        <v>241</v>
      </c>
      <c r="E176" s="307">
        <v>3.92</v>
      </c>
      <c r="F176" s="307">
        <v>4.5030000000000001</v>
      </c>
      <c r="G176" s="272">
        <v>3.6088209999999998</v>
      </c>
      <c r="H176" s="307">
        <v>5.3080489999999996</v>
      </c>
      <c r="I176" s="273">
        <v>0.14019999999999999</v>
      </c>
      <c r="J176" s="273">
        <v>0.10539999999999999</v>
      </c>
      <c r="K176" s="272">
        <v>42.72296</v>
      </c>
      <c r="L176" s="332"/>
      <c r="M176" s="399"/>
    </row>
    <row r="177" spans="2:13">
      <c r="B177" s="315">
        <v>7</v>
      </c>
      <c r="C177" s="320"/>
      <c r="D177" s="299" t="s">
        <v>242</v>
      </c>
      <c r="E177" s="309">
        <v>3.9489999999999998</v>
      </c>
      <c r="F177" s="309">
        <v>4.5380000000000003</v>
      </c>
      <c r="G177" s="317">
        <v>3.610163</v>
      </c>
      <c r="H177" s="309">
        <v>5.3817259999999996</v>
      </c>
      <c r="I177" s="318">
        <v>0.14019999999999999</v>
      </c>
      <c r="J177" s="318">
        <v>0.1046</v>
      </c>
      <c r="K177" s="317">
        <v>43.384321</v>
      </c>
      <c r="L177" s="321"/>
      <c r="M177" s="399"/>
    </row>
    <row r="178" spans="2:13">
      <c r="B178" s="315">
        <v>8</v>
      </c>
      <c r="C178" s="320"/>
      <c r="D178" s="299" t="s">
        <v>222</v>
      </c>
      <c r="E178" s="309">
        <v>3.9470000000000001</v>
      </c>
      <c r="F178" s="309">
        <v>4.5110000000000001</v>
      </c>
      <c r="G178" s="317">
        <v>3.5905019999999999</v>
      </c>
      <c r="H178" s="309">
        <v>5.3693869999999997</v>
      </c>
      <c r="I178" s="318">
        <v>0.14019999999999999</v>
      </c>
      <c r="J178" s="318">
        <v>0.1041</v>
      </c>
      <c r="K178" s="317">
        <v>43.333333000000003</v>
      </c>
      <c r="L178" s="321"/>
      <c r="M178" s="399"/>
    </row>
    <row r="179" spans="2:13">
      <c r="B179" s="315">
        <v>9</v>
      </c>
      <c r="C179" s="320"/>
      <c r="D179" s="299" t="s">
        <v>223</v>
      </c>
      <c r="E179" s="309">
        <v>4.01</v>
      </c>
      <c r="F179" s="309">
        <v>4.516</v>
      </c>
      <c r="G179" s="317">
        <v>3.5380099999999999</v>
      </c>
      <c r="H179" s="309">
        <v>5.4011740000000001</v>
      </c>
      <c r="I179" s="318">
        <v>0.14019999999999999</v>
      </c>
      <c r="J179" s="318">
        <v>0.1036</v>
      </c>
      <c r="K179" s="317">
        <v>43.590733999999998</v>
      </c>
      <c r="L179" s="321"/>
      <c r="M179" s="399"/>
    </row>
    <row r="180" spans="2:13" ht="17.25" thickBot="1">
      <c r="B180" s="322">
        <v>10</v>
      </c>
      <c r="C180" s="323"/>
      <c r="D180" s="293" t="s">
        <v>243</v>
      </c>
      <c r="E180" s="311">
        <v>3.931</v>
      </c>
      <c r="F180" s="311">
        <v>4.46</v>
      </c>
      <c r="G180" s="278">
        <v>3.5643579999999999</v>
      </c>
      <c r="H180" s="311">
        <v>5.3232390000000001</v>
      </c>
      <c r="I180" s="279">
        <v>0.14019999999999999</v>
      </c>
      <c r="J180" s="279">
        <v>0.1036</v>
      </c>
      <c r="K180" s="278">
        <v>43.050193</v>
      </c>
      <c r="L180" s="324"/>
      <c r="M180" s="399"/>
    </row>
    <row r="181" spans="2:13" ht="17.25" thickBot="1">
      <c r="B181" s="325" t="s">
        <v>464</v>
      </c>
      <c r="C181" s="326"/>
      <c r="D181" s="327" t="s">
        <v>463</v>
      </c>
      <c r="E181" s="328">
        <f t="shared" ref="E181:K181" si="49">AVERAGE(E176:E180)</f>
        <v>3.9513999999999996</v>
      </c>
      <c r="F181" s="328">
        <f t="shared" si="49"/>
        <v>4.5055999999999994</v>
      </c>
      <c r="G181" s="328">
        <f t="shared" si="49"/>
        <v>3.5823707999999996</v>
      </c>
      <c r="H181" s="328">
        <f t="shared" si="49"/>
        <v>5.3567150000000003</v>
      </c>
      <c r="I181" s="329">
        <f t="shared" si="49"/>
        <v>0.14019999999999999</v>
      </c>
      <c r="J181" s="329">
        <f t="shared" si="49"/>
        <v>0.10425999999999999</v>
      </c>
      <c r="K181" s="330">
        <f t="shared" si="49"/>
        <v>43.2163082</v>
      </c>
      <c r="L181" s="331"/>
      <c r="M181" s="399"/>
    </row>
    <row r="182" spans="2:13">
      <c r="B182" s="333">
        <v>11</v>
      </c>
      <c r="C182" s="334"/>
      <c r="D182" s="291" t="s">
        <v>244</v>
      </c>
      <c r="E182" s="307">
        <v>3.92</v>
      </c>
      <c r="F182" s="307">
        <v>4.5190000000000001</v>
      </c>
      <c r="G182" s="272">
        <v>3.6216439999999999</v>
      </c>
      <c r="H182" s="307">
        <v>5.3077680000000003</v>
      </c>
      <c r="I182" s="273">
        <v>0.14030000000000001</v>
      </c>
      <c r="J182" s="273">
        <v>0.1055</v>
      </c>
      <c r="K182" s="272">
        <v>42.834122999999998</v>
      </c>
      <c r="L182" s="332"/>
      <c r="M182" s="399"/>
    </row>
    <row r="183" spans="2:13">
      <c r="B183" s="335">
        <v>12</v>
      </c>
      <c r="C183" s="320"/>
      <c r="D183" s="299" t="s">
        <v>245</v>
      </c>
      <c r="E183" s="309">
        <v>3.9350000000000001</v>
      </c>
      <c r="F183" s="309">
        <v>4.5529999999999999</v>
      </c>
      <c r="G183" s="317">
        <v>3.6349830000000001</v>
      </c>
      <c r="H183" s="309">
        <v>5.3707089999999997</v>
      </c>
      <c r="I183" s="318">
        <v>0.14030000000000001</v>
      </c>
      <c r="J183" s="318">
        <v>0.105</v>
      </c>
      <c r="K183" s="317">
        <v>43.361905</v>
      </c>
      <c r="L183" s="321"/>
      <c r="M183" s="399"/>
    </row>
    <row r="184" spans="2:13">
      <c r="B184" s="335">
        <v>13</v>
      </c>
      <c r="C184" s="320"/>
      <c r="D184" s="299" t="s">
        <v>227</v>
      </c>
      <c r="E184" s="309">
        <v>4.024</v>
      </c>
      <c r="F184" s="309">
        <v>4.4880000000000004</v>
      </c>
      <c r="G184" s="317">
        <v>3.503841</v>
      </c>
      <c r="H184" s="309">
        <v>5.3354439999999999</v>
      </c>
      <c r="I184" s="318">
        <v>0.14019999999999999</v>
      </c>
      <c r="J184" s="318">
        <v>0.1043</v>
      </c>
      <c r="K184" s="317">
        <v>43.029722</v>
      </c>
      <c r="L184" s="321"/>
      <c r="M184" s="399"/>
    </row>
    <row r="185" spans="2:13">
      <c r="B185" s="335">
        <v>14</v>
      </c>
      <c r="C185" s="320"/>
      <c r="D185" s="299" t="s">
        <v>228</v>
      </c>
      <c r="E185" s="309">
        <v>3.94</v>
      </c>
      <c r="F185" s="309">
        <v>4.5170000000000003</v>
      </c>
      <c r="G185" s="317">
        <v>3.6016650000000001</v>
      </c>
      <c r="H185" s="309">
        <v>5.3755090000000001</v>
      </c>
      <c r="I185" s="318">
        <v>0.14019999999999999</v>
      </c>
      <c r="J185" s="318">
        <v>0.1038</v>
      </c>
      <c r="K185" s="317">
        <v>43.516378000000003</v>
      </c>
      <c r="L185" s="321"/>
      <c r="M185" s="399"/>
    </row>
    <row r="186" spans="2:13" ht="17.25" thickBot="1">
      <c r="B186" s="336">
        <v>15</v>
      </c>
      <c r="C186" s="323"/>
      <c r="D186" s="293" t="s">
        <v>246</v>
      </c>
      <c r="E186" s="311">
        <v>3.9289999999999998</v>
      </c>
      <c r="F186" s="311">
        <v>4.4560000000000004</v>
      </c>
      <c r="G186" s="278">
        <v>3.5629740000000001</v>
      </c>
      <c r="H186" s="311">
        <v>5.3120710000000004</v>
      </c>
      <c r="I186" s="279">
        <v>0.14019999999999999</v>
      </c>
      <c r="J186" s="279">
        <v>0.10390000000000001</v>
      </c>
      <c r="K186" s="278">
        <v>42.887391999999998</v>
      </c>
      <c r="L186" s="324"/>
      <c r="M186" s="399"/>
    </row>
    <row r="187" spans="2:13" ht="17.25" thickBot="1">
      <c r="B187" s="337"/>
      <c r="C187" s="326"/>
      <c r="D187" s="327" t="s">
        <v>463</v>
      </c>
      <c r="E187" s="328">
        <f t="shared" ref="E187:K187" si="50">AVERAGE(E182:E186)</f>
        <v>3.9496000000000002</v>
      </c>
      <c r="F187" s="328">
        <f t="shared" si="50"/>
        <v>4.5065999999999997</v>
      </c>
      <c r="G187" s="328">
        <f t="shared" si="50"/>
        <v>3.5850214</v>
      </c>
      <c r="H187" s="328">
        <f t="shared" si="50"/>
        <v>5.3403001999999997</v>
      </c>
      <c r="I187" s="329">
        <f t="shared" si="50"/>
        <v>0.14023999999999998</v>
      </c>
      <c r="J187" s="329">
        <f t="shared" si="50"/>
        <v>0.1045</v>
      </c>
      <c r="K187" s="330">
        <f t="shared" si="50"/>
        <v>43.125904000000006</v>
      </c>
      <c r="L187" s="331"/>
      <c r="M187" s="399"/>
    </row>
    <row r="188" spans="2:13">
      <c r="B188" s="333">
        <v>16</v>
      </c>
      <c r="C188" s="271"/>
      <c r="D188" s="291" t="s">
        <v>247</v>
      </c>
      <c r="E188" s="307">
        <v>3.92</v>
      </c>
      <c r="F188" s="307">
        <v>4.5149999999999997</v>
      </c>
      <c r="G188" s="272">
        <v>3.6184379999999998</v>
      </c>
      <c r="H188" s="272">
        <v>5.2961270000000003</v>
      </c>
      <c r="I188" s="273">
        <v>0.14019999999999999</v>
      </c>
      <c r="J188" s="273">
        <v>0.10580000000000001</v>
      </c>
      <c r="K188" s="272">
        <v>42.674858</v>
      </c>
      <c r="L188" s="332"/>
      <c r="M188" s="399"/>
    </row>
    <row r="189" spans="2:13">
      <c r="B189" s="335">
        <v>17</v>
      </c>
      <c r="C189" s="320"/>
      <c r="D189" s="299" t="s">
        <v>248</v>
      </c>
      <c r="E189" s="309">
        <v>3.9609999999999999</v>
      </c>
      <c r="F189" s="309">
        <v>4.5339999999999998</v>
      </c>
      <c r="G189" s="317">
        <v>3.5960540000000001</v>
      </c>
      <c r="H189" s="317">
        <v>5.3466490000000002</v>
      </c>
      <c r="I189" s="318">
        <v>0.14019999999999999</v>
      </c>
      <c r="J189" s="318">
        <v>0.1052</v>
      </c>
      <c r="K189" s="317">
        <v>43.098858999999997</v>
      </c>
      <c r="L189" s="321"/>
      <c r="M189" s="399"/>
    </row>
    <row r="190" spans="2:13">
      <c r="B190" s="335">
        <v>18</v>
      </c>
      <c r="C190" s="320"/>
      <c r="D190" s="299" t="s">
        <v>232</v>
      </c>
      <c r="E190" s="309">
        <v>3.9420000000000002</v>
      </c>
      <c r="F190" s="309">
        <v>4.4800000000000004</v>
      </c>
      <c r="G190" s="317">
        <v>3.5703510000000001</v>
      </c>
      <c r="H190" s="317">
        <v>5.3161189999999996</v>
      </c>
      <c r="I190" s="318">
        <v>0.1401</v>
      </c>
      <c r="J190" s="318">
        <v>0.1046</v>
      </c>
      <c r="K190" s="317">
        <v>42.829827999999999</v>
      </c>
      <c r="L190" s="321"/>
      <c r="M190" s="399"/>
    </row>
    <row r="191" spans="2:13">
      <c r="B191" s="335">
        <v>19</v>
      </c>
      <c r="C191" s="320"/>
      <c r="D191" s="299" t="s">
        <v>233</v>
      </c>
      <c r="E191" s="309">
        <v>3.9580000000000002</v>
      </c>
      <c r="F191" s="309">
        <v>4.4950000000000001</v>
      </c>
      <c r="G191" s="317">
        <v>3.5678239999999999</v>
      </c>
      <c r="H191" s="317">
        <v>5.3483910000000003</v>
      </c>
      <c r="I191" s="318">
        <v>0.14019999999999999</v>
      </c>
      <c r="J191" s="318">
        <v>0.1041</v>
      </c>
      <c r="K191" s="317">
        <v>43.179634999999998</v>
      </c>
      <c r="L191" s="321"/>
      <c r="M191" s="399"/>
    </row>
    <row r="192" spans="2:13" ht="17.25" thickBot="1">
      <c r="B192" s="336">
        <v>20</v>
      </c>
      <c r="C192" s="323"/>
      <c r="D192" s="293" t="s">
        <v>249</v>
      </c>
      <c r="E192" s="311">
        <v>3.9260000000000002</v>
      </c>
      <c r="F192" s="311">
        <v>4.4589999999999996</v>
      </c>
      <c r="G192" s="278">
        <v>3.5680969999999999</v>
      </c>
      <c r="H192" s="278">
        <v>5.287102</v>
      </c>
      <c r="I192" s="279">
        <v>0.14019999999999999</v>
      </c>
      <c r="J192" s="279">
        <v>0.1043</v>
      </c>
      <c r="K192" s="278">
        <v>42.751677999999998</v>
      </c>
      <c r="L192" s="324"/>
      <c r="M192" s="399"/>
    </row>
    <row r="193" spans="2:13" ht="17.25" thickBot="1">
      <c r="B193" s="337"/>
      <c r="C193" s="326"/>
      <c r="D193" s="327" t="s">
        <v>463</v>
      </c>
      <c r="E193" s="328">
        <f t="shared" ref="E193:K193" si="51">AVERAGE(E188:E192)</f>
        <v>3.9414000000000002</v>
      </c>
      <c r="F193" s="328">
        <f t="shared" si="51"/>
        <v>4.4965999999999999</v>
      </c>
      <c r="G193" s="328">
        <f t="shared" si="51"/>
        <v>3.5841527999999996</v>
      </c>
      <c r="H193" s="328">
        <f t="shared" si="51"/>
        <v>5.3188776000000004</v>
      </c>
      <c r="I193" s="329">
        <f t="shared" si="51"/>
        <v>0.14018</v>
      </c>
      <c r="J193" s="329">
        <f t="shared" si="51"/>
        <v>0.1048</v>
      </c>
      <c r="K193" s="328">
        <f t="shared" si="51"/>
        <v>42.906971599999999</v>
      </c>
      <c r="L193" s="331"/>
      <c r="M193" s="399"/>
    </row>
    <row r="194" spans="2:13">
      <c r="B194" s="333">
        <v>21</v>
      </c>
      <c r="C194" s="271"/>
      <c r="D194" s="291" t="s">
        <v>250</v>
      </c>
      <c r="E194" s="307">
        <v>3.915</v>
      </c>
      <c r="F194" s="307">
        <v>4.4989999999999997</v>
      </c>
      <c r="G194" s="272">
        <v>3.6102210000000001</v>
      </c>
      <c r="H194" s="307">
        <v>5.2518399999999996</v>
      </c>
      <c r="I194" s="273">
        <v>0.14030000000000001</v>
      </c>
      <c r="J194" s="273">
        <v>0.1065</v>
      </c>
      <c r="K194" s="272">
        <v>42.244131000000003</v>
      </c>
      <c r="L194" s="332"/>
      <c r="M194" s="399"/>
    </row>
    <row r="195" spans="2:13">
      <c r="B195" s="335">
        <v>22</v>
      </c>
      <c r="C195" s="320"/>
      <c r="D195" s="299" t="s">
        <v>251</v>
      </c>
      <c r="E195" s="309">
        <v>3.9209999999999998</v>
      </c>
      <c r="F195" s="309">
        <v>4.516</v>
      </c>
      <c r="G195" s="317">
        <v>3.6183169999999998</v>
      </c>
      <c r="H195" s="309">
        <v>5.2902269999999998</v>
      </c>
      <c r="I195" s="318">
        <v>0.14019999999999999</v>
      </c>
      <c r="J195" s="318">
        <v>0.10589999999999999</v>
      </c>
      <c r="K195" s="317">
        <v>42.644004000000002</v>
      </c>
      <c r="L195" s="321"/>
      <c r="M195" s="399"/>
    </row>
    <row r="196" spans="2:13">
      <c r="B196" s="335">
        <v>23</v>
      </c>
      <c r="C196" s="320"/>
      <c r="D196" s="299" t="s">
        <v>237</v>
      </c>
      <c r="E196" s="309">
        <v>3.9220000000000002</v>
      </c>
      <c r="F196" s="309">
        <v>4.4880000000000004</v>
      </c>
      <c r="G196" s="317">
        <v>3.5949659999999999</v>
      </c>
      <c r="H196" s="309">
        <v>5.2872899999999996</v>
      </c>
      <c r="I196" s="318">
        <v>0.14019999999999999</v>
      </c>
      <c r="J196" s="318">
        <v>0.1052</v>
      </c>
      <c r="K196" s="317">
        <v>42.661597</v>
      </c>
      <c r="L196" s="321"/>
      <c r="M196" s="399"/>
    </row>
    <row r="197" spans="2:13">
      <c r="B197" s="335">
        <v>24</v>
      </c>
      <c r="C197" s="320"/>
      <c r="D197" s="299" t="s">
        <v>238</v>
      </c>
      <c r="E197" s="309">
        <v>3.9249999999999998</v>
      </c>
      <c r="F197" s="309">
        <v>4.484</v>
      </c>
      <c r="G197" s="317">
        <v>3.589016</v>
      </c>
      <c r="H197" s="309">
        <v>5.3048000000000002</v>
      </c>
      <c r="I197" s="318">
        <v>0.14019999999999999</v>
      </c>
      <c r="J197" s="318">
        <v>0.1047</v>
      </c>
      <c r="K197" s="317">
        <v>42.827125000000002</v>
      </c>
      <c r="L197" s="321"/>
      <c r="M197" s="399"/>
    </row>
    <row r="198" spans="2:13" ht="17.25" thickBot="1">
      <c r="B198" s="336">
        <v>25</v>
      </c>
      <c r="C198" s="323"/>
      <c r="D198" s="293" t="s">
        <v>252</v>
      </c>
      <c r="E198" s="311">
        <v>3.92</v>
      </c>
      <c r="F198" s="311">
        <v>4.4450000000000003</v>
      </c>
      <c r="G198" s="278">
        <v>3.5623390000000001</v>
      </c>
      <c r="H198" s="311">
        <v>5.2549849999999996</v>
      </c>
      <c r="I198" s="279">
        <v>0.1401</v>
      </c>
      <c r="J198" s="279">
        <v>0.1047</v>
      </c>
      <c r="K198" s="278">
        <v>42.454631999999997</v>
      </c>
      <c r="L198" s="324"/>
      <c r="M198" s="399"/>
    </row>
    <row r="199" spans="2:13" ht="17.25" thickBot="1">
      <c r="B199" s="339" t="s">
        <v>464</v>
      </c>
      <c r="C199" s="340"/>
      <c r="D199" s="341" t="s">
        <v>465</v>
      </c>
      <c r="E199" s="342">
        <f t="shared" ref="E199:K199" si="52">AVERAGE(E194:E198)</f>
        <v>3.9206000000000003</v>
      </c>
      <c r="F199" s="342">
        <f t="shared" si="52"/>
        <v>4.4864000000000006</v>
      </c>
      <c r="G199" s="342">
        <f t="shared" si="52"/>
        <v>3.5949718000000006</v>
      </c>
      <c r="H199" s="342">
        <f t="shared" si="52"/>
        <v>5.2778283999999998</v>
      </c>
      <c r="I199" s="343">
        <f t="shared" si="52"/>
        <v>0.14019999999999999</v>
      </c>
      <c r="J199" s="343">
        <f t="shared" si="52"/>
        <v>0.10540000000000001</v>
      </c>
      <c r="K199" s="342">
        <f t="shared" si="52"/>
        <v>42.566297800000001</v>
      </c>
      <c r="L199" s="344"/>
      <c r="M199" s="399"/>
    </row>
    <row r="200" spans="2:13">
      <c r="B200" s="333"/>
      <c r="C200" s="345"/>
      <c r="D200" s="291" t="s">
        <v>466</v>
      </c>
      <c r="E200" s="346">
        <f t="shared" ref="E200:K200" si="53">MEDIAN(E170:E174,E176:E180,E182:E186,E188:E192,E194:E198)</f>
        <v>3.9289999999999998</v>
      </c>
      <c r="F200" s="346">
        <f t="shared" si="53"/>
        <v>4.5030000000000001</v>
      </c>
      <c r="G200" s="346">
        <f t="shared" si="53"/>
        <v>3.594023</v>
      </c>
      <c r="H200" s="346">
        <f t="shared" si="53"/>
        <v>5.3161189999999996</v>
      </c>
      <c r="I200" s="347">
        <f t="shared" si="53"/>
        <v>0.14019999999999999</v>
      </c>
      <c r="J200" s="347">
        <f t="shared" si="53"/>
        <v>0.1046</v>
      </c>
      <c r="K200" s="348">
        <f t="shared" si="53"/>
        <v>42.970106000000001</v>
      </c>
      <c r="L200" s="332"/>
      <c r="M200" s="399"/>
    </row>
    <row r="201" spans="2:13">
      <c r="B201" s="335"/>
      <c r="C201" s="320"/>
      <c r="D201" s="299" t="s">
        <v>467</v>
      </c>
      <c r="E201" s="349">
        <f t="shared" ref="E201:K201" si="54">AVERAGE(E170:E174,E176:E180,E182:E186,E188:E192,E194:E198)</f>
        <v>3.9395200000000004</v>
      </c>
      <c r="F201" s="349">
        <f t="shared" si="54"/>
        <v>4.4988000000000001</v>
      </c>
      <c r="G201" s="349">
        <f t="shared" si="54"/>
        <v>3.587721039999999</v>
      </c>
      <c r="H201" s="349">
        <f t="shared" si="54"/>
        <v>5.3272576799999998</v>
      </c>
      <c r="I201" s="350">
        <f t="shared" si="54"/>
        <v>0.14021200000000003</v>
      </c>
      <c r="J201" s="350">
        <f t="shared" si="54"/>
        <v>0.104648</v>
      </c>
      <c r="K201" s="351">
        <f t="shared" si="54"/>
        <v>42.991740079999992</v>
      </c>
      <c r="L201" s="321"/>
      <c r="M201" s="399"/>
    </row>
    <row r="202" spans="2:13">
      <c r="B202" s="335"/>
      <c r="C202" s="320"/>
      <c r="D202" s="299" t="s">
        <v>199</v>
      </c>
      <c r="E202" s="349">
        <f t="shared" ref="E202:K202" si="55">MAX(E170:E174,E176:E180,E182:E186,E188:E192,E194:E198)</f>
        <v>4.024</v>
      </c>
      <c r="F202" s="349">
        <f t="shared" si="55"/>
        <v>4.5529999999999999</v>
      </c>
      <c r="G202" s="349">
        <f t="shared" si="55"/>
        <v>3.6349830000000001</v>
      </c>
      <c r="H202" s="349">
        <f t="shared" si="55"/>
        <v>5.4048540000000003</v>
      </c>
      <c r="I202" s="350">
        <f t="shared" si="55"/>
        <v>0.14030000000000001</v>
      </c>
      <c r="J202" s="350">
        <f t="shared" si="55"/>
        <v>0.1065</v>
      </c>
      <c r="K202" s="351">
        <f t="shared" si="55"/>
        <v>43.671498</v>
      </c>
      <c r="L202" s="321"/>
      <c r="M202" s="399"/>
    </row>
    <row r="203" spans="2:13">
      <c r="B203" s="335"/>
      <c r="C203" s="320"/>
      <c r="D203" s="299" t="s">
        <v>200</v>
      </c>
      <c r="E203" s="349">
        <f t="shared" ref="E203:K203" si="56">MIN(E170:E174,E176:E180,E182:E186,E188:E192,E194:E198)</f>
        <v>3.915</v>
      </c>
      <c r="F203" s="349">
        <f t="shared" si="56"/>
        <v>4.4450000000000003</v>
      </c>
      <c r="G203" s="349">
        <f t="shared" si="56"/>
        <v>3.503841</v>
      </c>
      <c r="H203" s="349">
        <f t="shared" si="56"/>
        <v>5.2518399999999996</v>
      </c>
      <c r="I203" s="350">
        <f t="shared" si="56"/>
        <v>0.1401</v>
      </c>
      <c r="J203" s="350">
        <f t="shared" si="56"/>
        <v>0.10349999999999999</v>
      </c>
      <c r="K203" s="351">
        <f t="shared" si="56"/>
        <v>42.244131000000003</v>
      </c>
      <c r="L203" s="321"/>
      <c r="M203" s="399"/>
    </row>
    <row r="204" spans="2:13">
      <c r="B204" s="335"/>
      <c r="C204" s="320"/>
      <c r="D204" s="299" t="s">
        <v>201</v>
      </c>
      <c r="E204" s="349">
        <f t="shared" ref="E204:K204" si="57">E202-E203</f>
        <v>0.10899999999999999</v>
      </c>
      <c r="F204" s="349">
        <f t="shared" si="57"/>
        <v>0.10799999999999965</v>
      </c>
      <c r="G204" s="349">
        <f t="shared" si="57"/>
        <v>0.13114200000000009</v>
      </c>
      <c r="H204" s="349">
        <f t="shared" si="57"/>
        <v>0.15301400000000065</v>
      </c>
      <c r="I204" s="350">
        <f t="shared" si="57"/>
        <v>2.0000000000000573E-4</v>
      </c>
      <c r="J204" s="350">
        <f t="shared" si="57"/>
        <v>3.0000000000000027E-3</v>
      </c>
      <c r="K204" s="349">
        <f t="shared" si="57"/>
        <v>1.4273669999999967</v>
      </c>
      <c r="L204" s="321"/>
      <c r="M204" s="399"/>
    </row>
    <row r="205" spans="2:13">
      <c r="B205" s="335"/>
      <c r="C205" s="320"/>
      <c r="D205" s="299" t="s">
        <v>202</v>
      </c>
      <c r="E205" s="349">
        <f t="shared" ref="E205:K205" si="58">STDEVA(E170:E174,E176:E180,E182:E186,E188:E192,E194:E198)</f>
        <v>2.7032572944505295E-2</v>
      </c>
      <c r="F205" s="349">
        <f t="shared" si="58"/>
        <v>2.8108421039491498E-2</v>
      </c>
      <c r="G205" s="349">
        <f t="shared" si="58"/>
        <v>2.9555923778040387E-2</v>
      </c>
      <c r="H205" s="349">
        <f t="shared" si="58"/>
        <v>4.2361938895388994E-2</v>
      </c>
      <c r="I205" s="350">
        <f t="shared" si="58"/>
        <v>5.2599112793535561E-5</v>
      </c>
      <c r="J205" s="350">
        <f t="shared" si="58"/>
        <v>8.0732067152195874E-4</v>
      </c>
      <c r="K205" s="349">
        <f t="shared" si="58"/>
        <v>0.36518979650129862</v>
      </c>
      <c r="L205" s="321"/>
      <c r="M205" s="399"/>
    </row>
    <row r="206" spans="2:13" ht="17.25" thickBot="1">
      <c r="B206" s="336"/>
      <c r="C206" s="323"/>
      <c r="D206" s="293" t="s">
        <v>203</v>
      </c>
      <c r="E206" s="352">
        <f t="shared" ref="E206:K206" si="59">E205*3</f>
        <v>8.1097718833515881E-2</v>
      </c>
      <c r="F206" s="352">
        <f t="shared" si="59"/>
        <v>8.4325263118474492E-2</v>
      </c>
      <c r="G206" s="352">
        <f t="shared" si="59"/>
        <v>8.8667771334121154E-2</v>
      </c>
      <c r="H206" s="352">
        <f t="shared" si="59"/>
        <v>0.12708581668616697</v>
      </c>
      <c r="I206" s="353">
        <f t="shared" si="59"/>
        <v>1.5779733838060668E-4</v>
      </c>
      <c r="J206" s="353">
        <f t="shared" si="59"/>
        <v>2.421962014565876E-3</v>
      </c>
      <c r="K206" s="352">
        <f t="shared" si="59"/>
        <v>1.0955693895038958</v>
      </c>
      <c r="L206" s="324"/>
      <c r="M206" s="399"/>
    </row>
    <row r="208" spans="2:13">
      <c r="B208" s="240" t="s">
        <v>475</v>
      </c>
      <c r="C208" s="240"/>
      <c r="E208" s="240"/>
      <c r="F208" s="240"/>
      <c r="G208" s="240"/>
      <c r="H208" s="240"/>
      <c r="I208" s="240"/>
      <c r="J208" s="240"/>
      <c r="K208" s="240"/>
    </row>
    <row r="209" spans="2:13" ht="17.25" thickBot="1">
      <c r="B209" s="240" t="s">
        <v>469</v>
      </c>
      <c r="C209" s="240"/>
      <c r="E209" s="240"/>
      <c r="F209" s="240"/>
      <c r="G209" s="240"/>
      <c r="H209" s="240"/>
      <c r="I209" s="240"/>
      <c r="J209" s="240"/>
      <c r="K209" s="240"/>
    </row>
    <row r="210" spans="2:13" ht="17.25" thickBot="1">
      <c r="B210" s="313" t="s">
        <v>11</v>
      </c>
      <c r="C210" s="250" t="s">
        <v>0</v>
      </c>
      <c r="D210" s="250" t="s">
        <v>1</v>
      </c>
      <c r="E210" s="250" t="s">
        <v>2</v>
      </c>
      <c r="F210" s="250" t="s">
        <v>3</v>
      </c>
      <c r="G210" s="250" t="s">
        <v>192</v>
      </c>
      <c r="H210" s="250" t="s">
        <v>16</v>
      </c>
      <c r="I210" s="250" t="s">
        <v>6</v>
      </c>
      <c r="J210" s="251" t="s">
        <v>7</v>
      </c>
      <c r="K210" s="252" t="s">
        <v>8</v>
      </c>
      <c r="L210" s="254" t="s">
        <v>470</v>
      </c>
      <c r="M210" s="404"/>
    </row>
    <row r="211" spans="2:13">
      <c r="B211" s="314">
        <v>1</v>
      </c>
      <c r="C211" s="271" t="s">
        <v>205</v>
      </c>
      <c r="D211" s="291" t="s">
        <v>213</v>
      </c>
      <c r="E211" s="307">
        <v>3.9529999999999998</v>
      </c>
      <c r="F211" s="307">
        <v>4.5220000000000002</v>
      </c>
      <c r="G211" s="272">
        <v>3.5937950000000001</v>
      </c>
      <c r="H211" s="307">
        <v>5.7156900000000004</v>
      </c>
      <c r="I211" s="273">
        <v>0.1391</v>
      </c>
      <c r="J211" s="273">
        <v>9.7000000000000003E-2</v>
      </c>
      <c r="K211" s="272">
        <v>46.618557000000003</v>
      </c>
      <c r="L211" s="275" t="s">
        <v>474</v>
      </c>
      <c r="M211" s="397"/>
    </row>
    <row r="212" spans="2:13">
      <c r="B212" s="315">
        <v>2</v>
      </c>
      <c r="C212" s="316"/>
      <c r="D212" s="299" t="s">
        <v>214</v>
      </c>
      <c r="E212" s="309">
        <v>3.96</v>
      </c>
      <c r="F212" s="309">
        <v>4.5069999999999997</v>
      </c>
      <c r="G212" s="317">
        <v>3.575542</v>
      </c>
      <c r="H212" s="309">
        <v>5.6679380000000004</v>
      </c>
      <c r="I212" s="318">
        <v>0.13930000000000001</v>
      </c>
      <c r="J212" s="318">
        <v>9.74E-2</v>
      </c>
      <c r="K212" s="317">
        <v>46.273100999999997</v>
      </c>
      <c r="L212" s="319" t="s">
        <v>211</v>
      </c>
      <c r="M212" s="398"/>
    </row>
    <row r="213" spans="2:13">
      <c r="B213" s="315">
        <v>3</v>
      </c>
      <c r="C213" s="320"/>
      <c r="D213" s="299" t="s">
        <v>217</v>
      </c>
      <c r="E213" s="309">
        <v>3.9590000000000001</v>
      </c>
      <c r="F213" s="309">
        <v>4.5110000000000001</v>
      </c>
      <c r="G213" s="317">
        <v>3.5796190000000001</v>
      </c>
      <c r="H213" s="309">
        <v>5.6823810000000003</v>
      </c>
      <c r="I213" s="318">
        <v>0.13919999999999999</v>
      </c>
      <c r="J213" s="318">
        <v>9.74E-2</v>
      </c>
      <c r="K213" s="317">
        <v>46.314168000000002</v>
      </c>
      <c r="L213" s="356" t="s">
        <v>254</v>
      </c>
      <c r="M213" s="400"/>
    </row>
    <row r="214" spans="2:13">
      <c r="B214" s="315">
        <v>4</v>
      </c>
      <c r="C214" s="320"/>
      <c r="D214" s="299" t="s">
        <v>218</v>
      </c>
      <c r="E214" s="309">
        <v>4.077</v>
      </c>
      <c r="F214" s="309">
        <v>4.5380000000000003</v>
      </c>
      <c r="G214" s="317">
        <v>3.49682</v>
      </c>
      <c r="H214" s="309">
        <v>5.7227230000000002</v>
      </c>
      <c r="I214" s="318">
        <v>0.1391</v>
      </c>
      <c r="J214" s="318">
        <v>9.7500000000000003E-2</v>
      </c>
      <c r="K214" s="317">
        <v>46.543590000000002</v>
      </c>
      <c r="L214" s="321"/>
      <c r="M214" s="399"/>
    </row>
    <row r="215" spans="2:13" ht="17.25" thickBot="1">
      <c r="B215" s="322">
        <v>5</v>
      </c>
      <c r="C215" s="323"/>
      <c r="D215" s="354" t="s">
        <v>240</v>
      </c>
      <c r="E215" s="352">
        <v>3.9460000000000002</v>
      </c>
      <c r="F215" s="352">
        <v>4.5389999999999997</v>
      </c>
      <c r="G215" s="355">
        <v>3.6137039999999998</v>
      </c>
      <c r="H215" s="352">
        <v>5.7098240000000002</v>
      </c>
      <c r="I215" s="353">
        <v>0.1389</v>
      </c>
      <c r="J215" s="353">
        <v>9.7600000000000006E-2</v>
      </c>
      <c r="K215" s="355">
        <v>46.506148000000003</v>
      </c>
      <c r="L215" s="324"/>
      <c r="M215" s="399"/>
    </row>
    <row r="216" spans="2:13" ht="17.25" thickBot="1">
      <c r="B216" s="325"/>
      <c r="C216" s="326"/>
      <c r="D216" s="327" t="s">
        <v>463</v>
      </c>
      <c r="E216" s="328">
        <f>AVERAGE(E211:E215)</f>
        <v>3.9790000000000001</v>
      </c>
      <c r="F216" s="328">
        <f t="shared" ref="F216:K216" si="60">AVERAGE(F211:F215)</f>
        <v>4.5233999999999996</v>
      </c>
      <c r="G216" s="328">
        <f t="shared" si="60"/>
        <v>3.5718959999999997</v>
      </c>
      <c r="H216" s="328">
        <f t="shared" si="60"/>
        <v>5.6997112000000012</v>
      </c>
      <c r="I216" s="329">
        <f t="shared" si="60"/>
        <v>0.13911999999999999</v>
      </c>
      <c r="J216" s="329">
        <f t="shared" si="60"/>
        <v>9.7379999999999994E-2</v>
      </c>
      <c r="K216" s="330">
        <f t="shared" si="60"/>
        <v>46.451112799999997</v>
      </c>
      <c r="L216" s="331"/>
      <c r="M216" s="399"/>
    </row>
    <row r="217" spans="2:13">
      <c r="B217" s="314">
        <v>6</v>
      </c>
      <c r="C217" s="271"/>
      <c r="D217" s="291" t="s">
        <v>241</v>
      </c>
      <c r="E217" s="307">
        <v>3.9590000000000001</v>
      </c>
      <c r="F217" s="307">
        <v>4.5330000000000004</v>
      </c>
      <c r="G217" s="272">
        <v>3.5970770000000001</v>
      </c>
      <c r="H217" s="307">
        <v>5.7213050000000001</v>
      </c>
      <c r="I217" s="273">
        <v>0.1391</v>
      </c>
      <c r="J217" s="273">
        <v>9.7000000000000003E-2</v>
      </c>
      <c r="K217" s="272">
        <v>46.731959000000003</v>
      </c>
      <c r="L217" s="332"/>
      <c r="M217" s="399"/>
    </row>
    <row r="218" spans="2:13">
      <c r="B218" s="315">
        <v>7</v>
      </c>
      <c r="C218" s="320"/>
      <c r="D218" s="299" t="s">
        <v>242</v>
      </c>
      <c r="E218" s="309">
        <v>4.1970000000000001</v>
      </c>
      <c r="F218" s="309">
        <v>4.4960000000000004</v>
      </c>
      <c r="G218" s="317">
        <v>3.3654009999999999</v>
      </c>
      <c r="H218" s="309">
        <v>5.6504070000000004</v>
      </c>
      <c r="I218" s="318">
        <v>0.13930000000000001</v>
      </c>
      <c r="J218" s="318">
        <v>9.74E-2</v>
      </c>
      <c r="K218" s="317">
        <v>46.160164000000002</v>
      </c>
      <c r="L218" s="321"/>
      <c r="M218" s="399"/>
    </row>
    <row r="219" spans="2:13">
      <c r="B219" s="315">
        <v>8</v>
      </c>
      <c r="C219" s="320"/>
      <c r="D219" s="299" t="s">
        <v>222</v>
      </c>
      <c r="E219" s="309">
        <v>4.0679999999999996</v>
      </c>
      <c r="F219" s="309">
        <v>4.5190000000000001</v>
      </c>
      <c r="G219" s="317">
        <v>3.4898829999999998</v>
      </c>
      <c r="H219" s="309">
        <v>5.6748269999999996</v>
      </c>
      <c r="I219" s="318">
        <v>0.13919999999999999</v>
      </c>
      <c r="J219" s="318">
        <v>9.7500000000000003E-2</v>
      </c>
      <c r="K219" s="317">
        <v>46.348717999999998</v>
      </c>
      <c r="L219" s="321"/>
      <c r="M219" s="399"/>
    </row>
    <row r="220" spans="2:13">
      <c r="B220" s="315">
        <v>9</v>
      </c>
      <c r="C220" s="320"/>
      <c r="D220" s="299" t="s">
        <v>223</v>
      </c>
      <c r="E220" s="309">
        <v>3.9889999999999999</v>
      </c>
      <c r="F220" s="309">
        <v>4.5190000000000001</v>
      </c>
      <c r="G220" s="317">
        <v>3.558999</v>
      </c>
      <c r="H220" s="309">
        <v>5.7015279999999997</v>
      </c>
      <c r="I220" s="318">
        <v>0.13900000000000001</v>
      </c>
      <c r="J220" s="318">
        <v>9.7500000000000003E-2</v>
      </c>
      <c r="K220" s="317">
        <v>46.348717999999998</v>
      </c>
      <c r="L220" s="321"/>
      <c r="M220" s="399"/>
    </row>
    <row r="221" spans="2:13" ht="17.25" thickBot="1">
      <c r="B221" s="322">
        <v>10</v>
      </c>
      <c r="C221" s="323"/>
      <c r="D221" s="293" t="s">
        <v>243</v>
      </c>
      <c r="E221" s="311">
        <v>3.95</v>
      </c>
      <c r="F221" s="311">
        <v>4.5270000000000001</v>
      </c>
      <c r="G221" s="278">
        <v>3.600501</v>
      </c>
      <c r="H221" s="311">
        <v>5.7007919999999999</v>
      </c>
      <c r="I221" s="279">
        <v>0.13880000000000001</v>
      </c>
      <c r="J221" s="279">
        <v>9.7600000000000006E-2</v>
      </c>
      <c r="K221" s="278">
        <v>46.383197000000003</v>
      </c>
      <c r="L221" s="324"/>
      <c r="M221" s="399"/>
    </row>
    <row r="222" spans="2:13" ht="17.25" thickBot="1">
      <c r="B222" s="325" t="s">
        <v>464</v>
      </c>
      <c r="C222" s="326"/>
      <c r="D222" s="327" t="s">
        <v>463</v>
      </c>
      <c r="E222" s="328">
        <f>AVERAGE(E217:E221)</f>
        <v>4.0326000000000004</v>
      </c>
      <c r="F222" s="328">
        <f t="shared" ref="F222:K222" si="61">AVERAGE(F217:F221)</f>
        <v>4.5188000000000006</v>
      </c>
      <c r="G222" s="328">
        <f t="shared" si="61"/>
        <v>3.5223722000000004</v>
      </c>
      <c r="H222" s="328">
        <f t="shared" si="61"/>
        <v>5.6897717999999999</v>
      </c>
      <c r="I222" s="329">
        <f t="shared" si="61"/>
        <v>0.13908000000000001</v>
      </c>
      <c r="J222" s="329">
        <f t="shared" si="61"/>
        <v>9.7400000000000014E-2</v>
      </c>
      <c r="K222" s="330">
        <f t="shared" si="61"/>
        <v>46.394551199999995</v>
      </c>
      <c r="L222" s="331"/>
      <c r="M222" s="399"/>
    </row>
    <row r="223" spans="2:13">
      <c r="B223" s="333">
        <v>11</v>
      </c>
      <c r="C223" s="334"/>
      <c r="D223" s="291" t="s">
        <v>244</v>
      </c>
      <c r="E223" s="307">
        <v>3.9580000000000002</v>
      </c>
      <c r="F223" s="307">
        <v>4.5350000000000001</v>
      </c>
      <c r="G223" s="272">
        <v>3.5995729999999999</v>
      </c>
      <c r="H223" s="307">
        <v>5.727214</v>
      </c>
      <c r="I223" s="273">
        <v>0.1391</v>
      </c>
      <c r="J223" s="273">
        <v>9.7000000000000003E-2</v>
      </c>
      <c r="K223" s="272">
        <v>46.752577000000002</v>
      </c>
      <c r="L223" s="332"/>
      <c r="M223" s="399"/>
    </row>
    <row r="224" spans="2:13">
      <c r="B224" s="335">
        <v>12</v>
      </c>
      <c r="C224" s="320"/>
      <c r="D224" s="299" t="s">
        <v>245</v>
      </c>
      <c r="E224" s="309">
        <v>3.968</v>
      </c>
      <c r="F224" s="309">
        <v>4.4939999999999998</v>
      </c>
      <c r="G224" s="317">
        <v>3.5580409999999998</v>
      </c>
      <c r="H224" s="309">
        <v>5.6529360000000004</v>
      </c>
      <c r="I224" s="318">
        <v>0.13930000000000001</v>
      </c>
      <c r="J224" s="318">
        <v>9.74E-2</v>
      </c>
      <c r="K224" s="317">
        <v>46.139629999999997</v>
      </c>
      <c r="L224" s="321"/>
      <c r="M224" s="399"/>
    </row>
    <row r="225" spans="2:13">
      <c r="B225" s="335">
        <v>13</v>
      </c>
      <c r="C225" s="320"/>
      <c r="D225" s="299" t="s">
        <v>227</v>
      </c>
      <c r="E225" s="309">
        <v>3.9710000000000001</v>
      </c>
      <c r="F225" s="309">
        <v>4.4980000000000002</v>
      </c>
      <c r="G225" s="317">
        <v>3.5585170000000002</v>
      </c>
      <c r="H225" s="309">
        <v>5.6604029999999996</v>
      </c>
      <c r="I225" s="318">
        <v>0.13919999999999999</v>
      </c>
      <c r="J225" s="318">
        <v>9.7500000000000003E-2</v>
      </c>
      <c r="K225" s="317">
        <v>46.133333</v>
      </c>
      <c r="L225" s="321"/>
      <c r="M225" s="399"/>
    </row>
    <row r="226" spans="2:13">
      <c r="B226" s="335">
        <v>14</v>
      </c>
      <c r="C226" s="320"/>
      <c r="D226" s="299" t="s">
        <v>228</v>
      </c>
      <c r="E226" s="309">
        <v>3.976</v>
      </c>
      <c r="F226" s="309">
        <v>4.5090000000000003</v>
      </c>
      <c r="G226" s="317">
        <v>3.5627339999999998</v>
      </c>
      <c r="H226" s="309">
        <v>5.6722530000000004</v>
      </c>
      <c r="I226" s="318">
        <v>0.13900000000000001</v>
      </c>
      <c r="J226" s="318">
        <v>9.7600000000000006E-2</v>
      </c>
      <c r="K226" s="317">
        <v>46.198770000000003</v>
      </c>
      <c r="L226" s="321"/>
      <c r="M226" s="399"/>
    </row>
    <row r="227" spans="2:13" ht="17.25" thickBot="1">
      <c r="B227" s="336">
        <v>15</v>
      </c>
      <c r="C227" s="323"/>
      <c r="D227" s="293" t="s">
        <v>246</v>
      </c>
      <c r="E227" s="311">
        <v>3.9510000000000001</v>
      </c>
      <c r="F227" s="311">
        <v>4.4829999999999997</v>
      </c>
      <c r="G227" s="278">
        <v>3.564603</v>
      </c>
      <c r="H227" s="311">
        <v>5.6565120000000002</v>
      </c>
      <c r="I227" s="279">
        <v>0.1389</v>
      </c>
      <c r="J227" s="279">
        <v>9.7600000000000006E-2</v>
      </c>
      <c r="K227" s="278">
        <v>45.932377000000002</v>
      </c>
      <c r="L227" s="324"/>
      <c r="M227" s="399"/>
    </row>
    <row r="228" spans="2:13" ht="17.25" thickBot="1">
      <c r="B228" s="337"/>
      <c r="C228" s="326"/>
      <c r="D228" s="327" t="s">
        <v>463</v>
      </c>
      <c r="E228" s="328">
        <f>AVERAGE(E223:E227)</f>
        <v>3.9648000000000003</v>
      </c>
      <c r="F228" s="328">
        <f t="shared" ref="F228:K228" si="62">AVERAGE(F223:F227)</f>
        <v>4.5038</v>
      </c>
      <c r="G228" s="328">
        <f t="shared" si="62"/>
        <v>3.5686936000000005</v>
      </c>
      <c r="H228" s="328">
        <f t="shared" si="62"/>
        <v>5.6738635999999998</v>
      </c>
      <c r="I228" s="329">
        <f t="shared" si="62"/>
        <v>0.1391</v>
      </c>
      <c r="J228" s="329">
        <f t="shared" si="62"/>
        <v>9.742000000000002E-2</v>
      </c>
      <c r="K228" s="330">
        <f t="shared" si="62"/>
        <v>46.231337400000001</v>
      </c>
      <c r="L228" s="331"/>
      <c r="M228" s="399"/>
    </row>
    <row r="229" spans="2:13">
      <c r="B229" s="333">
        <v>16</v>
      </c>
      <c r="C229" s="271"/>
      <c r="D229" s="291" t="s">
        <v>247</v>
      </c>
      <c r="E229" s="307">
        <v>3.9550000000000001</v>
      </c>
      <c r="F229" s="307">
        <v>4.5220000000000002</v>
      </c>
      <c r="G229" s="272">
        <v>3.591977</v>
      </c>
      <c r="H229" s="272">
        <v>5.7026180000000002</v>
      </c>
      <c r="I229" s="273">
        <v>0.1391</v>
      </c>
      <c r="J229" s="273">
        <v>9.7000000000000003E-2</v>
      </c>
      <c r="K229" s="272">
        <v>46.618557000000003</v>
      </c>
      <c r="L229" s="332"/>
      <c r="M229" s="399"/>
    </row>
    <row r="230" spans="2:13">
      <c r="B230" s="335">
        <v>17</v>
      </c>
      <c r="C230" s="320"/>
      <c r="D230" s="299" t="s">
        <v>248</v>
      </c>
      <c r="E230" s="309">
        <v>3.9929999999999999</v>
      </c>
      <c r="F230" s="309">
        <v>4.4889999999999999</v>
      </c>
      <c r="G230" s="317">
        <v>3.5318299999999998</v>
      </c>
      <c r="H230" s="317">
        <v>5.6424180000000002</v>
      </c>
      <c r="I230" s="318">
        <v>0.1394</v>
      </c>
      <c r="J230" s="318">
        <v>9.7500000000000003E-2</v>
      </c>
      <c r="K230" s="317">
        <v>46.041026000000002</v>
      </c>
      <c r="L230" s="321"/>
      <c r="M230" s="399"/>
    </row>
    <row r="231" spans="2:13">
      <c r="B231" s="335">
        <v>18</v>
      </c>
      <c r="C231" s="320"/>
      <c r="D231" s="299" t="s">
        <v>232</v>
      </c>
      <c r="E231" s="309">
        <v>3.9780000000000002</v>
      </c>
      <c r="F231" s="309">
        <v>4.4800000000000004</v>
      </c>
      <c r="G231" s="317">
        <v>3.5380400000000001</v>
      </c>
      <c r="H231" s="317">
        <v>5.6358170000000003</v>
      </c>
      <c r="I231" s="318">
        <v>0.13930000000000001</v>
      </c>
      <c r="J231" s="318">
        <v>9.7500000000000003E-2</v>
      </c>
      <c r="K231" s="317">
        <v>45.948718</v>
      </c>
      <c r="L231" s="321"/>
      <c r="M231" s="399"/>
    </row>
    <row r="232" spans="2:13">
      <c r="B232" s="335">
        <v>19</v>
      </c>
      <c r="C232" s="320"/>
      <c r="D232" s="299" t="s">
        <v>233</v>
      </c>
      <c r="E232" s="309">
        <v>3.9780000000000002</v>
      </c>
      <c r="F232" s="309">
        <v>4.4939999999999998</v>
      </c>
      <c r="G232" s="317">
        <v>3.549096</v>
      </c>
      <c r="H232" s="317">
        <v>5.6426860000000003</v>
      </c>
      <c r="I232" s="318">
        <v>0.1391</v>
      </c>
      <c r="J232" s="318">
        <v>9.7600000000000006E-2</v>
      </c>
      <c r="K232" s="317">
        <v>46.045082000000001</v>
      </c>
      <c r="L232" s="321"/>
      <c r="M232" s="399"/>
    </row>
    <row r="233" spans="2:13" ht="17.25" thickBot="1">
      <c r="B233" s="336">
        <v>20</v>
      </c>
      <c r="C233" s="323"/>
      <c r="D233" s="293" t="s">
        <v>249</v>
      </c>
      <c r="E233" s="311">
        <v>3.9470000000000001</v>
      </c>
      <c r="F233" s="311">
        <v>4.5</v>
      </c>
      <c r="G233" s="278">
        <v>3.581747</v>
      </c>
      <c r="H233" s="278">
        <v>5.6543679999999998</v>
      </c>
      <c r="I233" s="279">
        <v>0.13900000000000001</v>
      </c>
      <c r="J233" s="279">
        <v>9.7699999999999995E-2</v>
      </c>
      <c r="K233" s="278">
        <v>46.059365</v>
      </c>
      <c r="L233" s="324"/>
      <c r="M233" s="399"/>
    </row>
    <row r="234" spans="2:13" ht="17.25" thickBot="1">
      <c r="B234" s="337"/>
      <c r="C234" s="326"/>
      <c r="D234" s="327" t="s">
        <v>463</v>
      </c>
      <c r="E234" s="328">
        <f>AVERAGE(E229:E233)</f>
        <v>3.9701999999999997</v>
      </c>
      <c r="F234" s="328">
        <f t="shared" ref="F234:K234" si="63">AVERAGE(F229:F233)</f>
        <v>4.4969999999999999</v>
      </c>
      <c r="G234" s="328">
        <f t="shared" si="63"/>
        <v>3.558538</v>
      </c>
      <c r="H234" s="328">
        <f t="shared" si="63"/>
        <v>5.6555814</v>
      </c>
      <c r="I234" s="329">
        <f t="shared" si="63"/>
        <v>0.13918</v>
      </c>
      <c r="J234" s="329">
        <f t="shared" si="63"/>
        <v>9.7460000000000019E-2</v>
      </c>
      <c r="K234" s="328">
        <f t="shared" si="63"/>
        <v>46.142549599999995</v>
      </c>
      <c r="L234" s="331"/>
      <c r="M234" s="399"/>
    </row>
    <row r="235" spans="2:13">
      <c r="B235" s="333">
        <v>21</v>
      </c>
      <c r="C235" s="271"/>
      <c r="D235" s="291" t="s">
        <v>250</v>
      </c>
      <c r="E235" s="307">
        <v>3.9540000000000002</v>
      </c>
      <c r="F235" s="307">
        <v>4.5119999999999996</v>
      </c>
      <c r="G235" s="272">
        <v>3.58494</v>
      </c>
      <c r="H235" s="307">
        <v>5.6878279999999997</v>
      </c>
      <c r="I235" s="273">
        <v>0.1394</v>
      </c>
      <c r="J235" s="273">
        <v>9.7199999999999995E-2</v>
      </c>
      <c r="K235" s="272">
        <v>46.419753</v>
      </c>
      <c r="L235" s="332"/>
      <c r="M235" s="399"/>
    </row>
    <row r="236" spans="2:13">
      <c r="B236" s="335">
        <v>22</v>
      </c>
      <c r="C236" s="320"/>
      <c r="D236" s="299" t="s">
        <v>251</v>
      </c>
      <c r="E236" s="309">
        <v>3.96</v>
      </c>
      <c r="F236" s="309">
        <v>4.4729999999999999</v>
      </c>
      <c r="G236" s="317">
        <v>3.5485690000000001</v>
      </c>
      <c r="H236" s="309">
        <v>5.6204190000000001</v>
      </c>
      <c r="I236" s="318">
        <v>0.13950000000000001</v>
      </c>
      <c r="J236" s="318">
        <v>9.7600000000000006E-2</v>
      </c>
      <c r="K236" s="317">
        <v>45.829917999999999</v>
      </c>
      <c r="L236" s="321"/>
      <c r="M236" s="399"/>
    </row>
    <row r="237" spans="2:13">
      <c r="B237" s="335">
        <v>23</v>
      </c>
      <c r="C237" s="320"/>
      <c r="D237" s="299" t="s">
        <v>237</v>
      </c>
      <c r="E237" s="309">
        <v>3.9540000000000002</v>
      </c>
      <c r="F237" s="309">
        <v>4.4790000000000001</v>
      </c>
      <c r="G237" s="317">
        <v>3.5587209999999998</v>
      </c>
      <c r="H237" s="309">
        <v>5.6212169999999997</v>
      </c>
      <c r="I237" s="318">
        <v>0.1394</v>
      </c>
      <c r="J237" s="318">
        <v>9.7699999999999995E-2</v>
      </c>
      <c r="K237" s="317">
        <v>45.844422000000002</v>
      </c>
      <c r="L237" s="321"/>
      <c r="M237" s="399"/>
    </row>
    <row r="238" spans="2:13">
      <c r="B238" s="335">
        <v>24</v>
      </c>
      <c r="C238" s="320"/>
      <c r="D238" s="299" t="s">
        <v>238</v>
      </c>
      <c r="E238" s="309">
        <v>3.948</v>
      </c>
      <c r="F238" s="309">
        <v>4.4870000000000001</v>
      </c>
      <c r="G238" s="317">
        <v>3.5704950000000002</v>
      </c>
      <c r="H238" s="309">
        <v>5.6365530000000001</v>
      </c>
      <c r="I238" s="318">
        <v>0.13919999999999999</v>
      </c>
      <c r="J238" s="318">
        <v>9.7699999999999995E-2</v>
      </c>
      <c r="K238" s="317">
        <v>45.926304999999999</v>
      </c>
      <c r="L238" s="321"/>
      <c r="M238" s="399"/>
    </row>
    <row r="239" spans="2:13" ht="17.25" thickBot="1">
      <c r="B239" s="336">
        <v>25</v>
      </c>
      <c r="C239" s="323"/>
      <c r="D239" s="293" t="s">
        <v>252</v>
      </c>
      <c r="E239" s="311">
        <v>3.9420000000000002</v>
      </c>
      <c r="F239" s="311">
        <v>4.5069999999999997</v>
      </c>
      <c r="G239" s="278">
        <v>3.591869</v>
      </c>
      <c r="H239" s="311">
        <v>5.6771159999999998</v>
      </c>
      <c r="I239" s="279">
        <v>0.1391</v>
      </c>
      <c r="J239" s="279">
        <v>9.7699999999999995E-2</v>
      </c>
      <c r="K239" s="278">
        <v>46.131013000000003</v>
      </c>
      <c r="L239" s="324"/>
      <c r="M239" s="399"/>
    </row>
    <row r="240" spans="2:13" ht="17.25" thickBot="1">
      <c r="B240" s="339" t="s">
        <v>464</v>
      </c>
      <c r="C240" s="340"/>
      <c r="D240" s="341" t="s">
        <v>465</v>
      </c>
      <c r="E240" s="342">
        <f>AVERAGE(E235:E239)</f>
        <v>3.9516000000000004</v>
      </c>
      <c r="F240" s="342">
        <f t="shared" ref="F240:K240" si="64">AVERAGE(F235:F239)</f>
        <v>4.4916</v>
      </c>
      <c r="G240" s="342">
        <f t="shared" si="64"/>
        <v>3.5709187999999998</v>
      </c>
      <c r="H240" s="342">
        <f t="shared" si="64"/>
        <v>5.6486266000000001</v>
      </c>
      <c r="I240" s="343">
        <f t="shared" si="64"/>
        <v>0.13932</v>
      </c>
      <c r="J240" s="343">
        <f t="shared" si="64"/>
        <v>9.758E-2</v>
      </c>
      <c r="K240" s="342">
        <f t="shared" si="64"/>
        <v>46.030282200000002</v>
      </c>
      <c r="L240" s="344"/>
      <c r="M240" s="399"/>
    </row>
    <row r="241" spans="2:13">
      <c r="B241" s="333"/>
      <c r="C241" s="345"/>
      <c r="D241" s="291" t="s">
        <v>466</v>
      </c>
      <c r="E241" s="346">
        <f>MEDIAN(E211:E215,E217:E221,E223:E227,E229:E233,E235:E239)</f>
        <v>3.9590000000000001</v>
      </c>
      <c r="F241" s="346">
        <f t="shared" ref="F241:K241" si="65">MEDIAN(F211:F215,F217:F221,F223:F227,F229:F233,F235:F239)</f>
        <v>4.5069999999999997</v>
      </c>
      <c r="G241" s="346">
        <f t="shared" si="65"/>
        <v>3.564603</v>
      </c>
      <c r="H241" s="346">
        <f t="shared" si="65"/>
        <v>5.6722530000000004</v>
      </c>
      <c r="I241" s="347">
        <f t="shared" si="65"/>
        <v>0.1391</v>
      </c>
      <c r="J241" s="347">
        <f t="shared" si="65"/>
        <v>9.7500000000000003E-2</v>
      </c>
      <c r="K241" s="348">
        <f t="shared" si="65"/>
        <v>46.198770000000003</v>
      </c>
      <c r="L241" s="332"/>
      <c r="M241" s="399"/>
    </row>
    <row r="242" spans="2:13">
      <c r="B242" s="335"/>
      <c r="C242" s="320"/>
      <c r="D242" s="299" t="s">
        <v>467</v>
      </c>
      <c r="E242" s="349">
        <f>AVERAGE(E211:E215,E217:E221,E223:E227,E229:E233,E235:E239)</f>
        <v>3.9796399999999981</v>
      </c>
      <c r="F242" s="349">
        <f t="shared" ref="F242:K242" si="66">AVERAGE(F211:F215,F217:F221,F223:F227,F229:F233,F235:F239)</f>
        <v>4.50692</v>
      </c>
      <c r="G242" s="349">
        <f t="shared" si="66"/>
        <v>3.5584837199999999</v>
      </c>
      <c r="H242" s="349">
        <f t="shared" si="66"/>
        <v>5.67351092</v>
      </c>
      <c r="I242" s="350">
        <f t="shared" si="66"/>
        <v>0.13916000000000001</v>
      </c>
      <c r="J242" s="350">
        <f t="shared" si="66"/>
        <v>9.7447999999999993E-2</v>
      </c>
      <c r="K242" s="351">
        <f t="shared" si="66"/>
        <v>46.249966639999997</v>
      </c>
      <c r="L242" s="321"/>
      <c r="M242" s="399"/>
    </row>
    <row r="243" spans="2:13">
      <c r="B243" s="335"/>
      <c r="C243" s="320"/>
      <c r="D243" s="299" t="s">
        <v>199</v>
      </c>
      <c r="E243" s="349">
        <f>MAX(E211:E215,E217:E221,E223:E227,E229:E233,E235:E239)</f>
        <v>4.1970000000000001</v>
      </c>
      <c r="F243" s="349">
        <f t="shared" ref="F243:K243" si="67">MAX(F211:F215,F217:F221,F223:F227,F229:F233,F235:F239)</f>
        <v>4.5389999999999997</v>
      </c>
      <c r="G243" s="349">
        <f t="shared" si="67"/>
        <v>3.6137039999999998</v>
      </c>
      <c r="H243" s="349">
        <f t="shared" si="67"/>
        <v>5.727214</v>
      </c>
      <c r="I243" s="350">
        <f t="shared" si="67"/>
        <v>0.13950000000000001</v>
      </c>
      <c r="J243" s="350">
        <f t="shared" si="67"/>
        <v>9.7699999999999995E-2</v>
      </c>
      <c r="K243" s="351">
        <f t="shared" si="67"/>
        <v>46.752577000000002</v>
      </c>
      <c r="L243" s="321"/>
      <c r="M243" s="399"/>
    </row>
    <row r="244" spans="2:13">
      <c r="B244" s="335"/>
      <c r="C244" s="320"/>
      <c r="D244" s="299" t="s">
        <v>200</v>
      </c>
      <c r="E244" s="349">
        <f>MIN(E211:E215,E217:E221,E223:E227,E229:E233,E235:E239)</f>
        <v>3.9420000000000002</v>
      </c>
      <c r="F244" s="349">
        <f t="shared" ref="F244:K244" si="68">MIN(F211:F215,F217:F221,F223:F227,F229:F233,F235:F239)</f>
        <v>4.4729999999999999</v>
      </c>
      <c r="G244" s="349">
        <f t="shared" si="68"/>
        <v>3.3654009999999999</v>
      </c>
      <c r="H244" s="349">
        <f t="shared" si="68"/>
        <v>5.6204190000000001</v>
      </c>
      <c r="I244" s="350">
        <f t="shared" si="68"/>
        <v>0.13880000000000001</v>
      </c>
      <c r="J244" s="350">
        <f t="shared" si="68"/>
        <v>9.7000000000000003E-2</v>
      </c>
      <c r="K244" s="351">
        <f t="shared" si="68"/>
        <v>45.829917999999999</v>
      </c>
      <c r="L244" s="321"/>
      <c r="M244" s="399"/>
    </row>
    <row r="245" spans="2:13">
      <c r="B245" s="335"/>
      <c r="C245" s="320"/>
      <c r="D245" s="299" t="s">
        <v>201</v>
      </c>
      <c r="E245" s="349">
        <f>E243-E244</f>
        <v>0.25499999999999989</v>
      </c>
      <c r="F245" s="349">
        <f t="shared" ref="F245:K245" si="69">F243-F244</f>
        <v>6.5999999999999837E-2</v>
      </c>
      <c r="G245" s="349">
        <f t="shared" si="69"/>
        <v>0.24830299999999994</v>
      </c>
      <c r="H245" s="349">
        <f t="shared" si="69"/>
        <v>0.10679499999999997</v>
      </c>
      <c r="I245" s="350">
        <f t="shared" si="69"/>
        <v>7.0000000000000617E-4</v>
      </c>
      <c r="J245" s="350">
        <f t="shared" si="69"/>
        <v>6.999999999999923E-4</v>
      </c>
      <c r="K245" s="349">
        <f t="shared" si="69"/>
        <v>0.922659000000003</v>
      </c>
      <c r="L245" s="321"/>
      <c r="M245" s="399"/>
    </row>
    <row r="246" spans="2:13">
      <c r="B246" s="335"/>
      <c r="C246" s="320"/>
      <c r="D246" s="299" t="s">
        <v>202</v>
      </c>
      <c r="E246" s="349">
        <f>STDEVA(E211:E215,E217:E221,E223:E227,E229:E233,E235:E239)</f>
        <v>5.6296743541108384E-2</v>
      </c>
      <c r="F246" s="349">
        <f t="shared" ref="F246:K246" si="70">STDEVA(F211:F215,F217:F221,F223:F227,F229:F233,F235:F239)</f>
        <v>1.9563827164778756E-2</v>
      </c>
      <c r="G246" s="349">
        <f t="shared" si="70"/>
        <v>5.0315285975470074E-2</v>
      </c>
      <c r="H246" s="349">
        <f t="shared" si="70"/>
        <v>3.2555543300283998E-2</v>
      </c>
      <c r="I246" s="350">
        <f t="shared" si="70"/>
        <v>1.7559422921421171E-4</v>
      </c>
      <c r="J246" s="350">
        <f t="shared" si="70"/>
        <v>2.3115651263447704E-4</v>
      </c>
      <c r="K246" s="349">
        <f t="shared" si="70"/>
        <v>0.27302988545561646</v>
      </c>
      <c r="L246" s="321"/>
      <c r="M246" s="399"/>
    </row>
    <row r="247" spans="2:13" ht="17.25" thickBot="1">
      <c r="B247" s="336"/>
      <c r="C247" s="323"/>
      <c r="D247" s="293" t="s">
        <v>203</v>
      </c>
      <c r="E247" s="352">
        <f>E246*3</f>
        <v>0.16889023062332514</v>
      </c>
      <c r="F247" s="352">
        <f t="shared" ref="F247:K247" si="71">F246*3</f>
        <v>5.869148149433627E-2</v>
      </c>
      <c r="G247" s="352">
        <f t="shared" si="71"/>
        <v>0.15094585792641022</v>
      </c>
      <c r="H247" s="352">
        <f t="shared" si="71"/>
        <v>9.7666629900851995E-2</v>
      </c>
      <c r="I247" s="353">
        <f t="shared" si="71"/>
        <v>5.2678268764263516E-4</v>
      </c>
      <c r="J247" s="353">
        <f t="shared" si="71"/>
        <v>6.9346953790343116E-4</v>
      </c>
      <c r="K247" s="352">
        <f t="shared" si="71"/>
        <v>0.81908965636684938</v>
      </c>
      <c r="L247" s="324"/>
      <c r="M247" s="399"/>
    </row>
    <row r="249" spans="2:13">
      <c r="B249" s="240" t="s">
        <v>476</v>
      </c>
      <c r="C249" s="240"/>
      <c r="E249" s="240"/>
      <c r="F249" s="240"/>
      <c r="G249" s="240"/>
      <c r="H249" s="240"/>
      <c r="I249" s="240"/>
      <c r="J249" s="240"/>
      <c r="K249" s="240"/>
    </row>
    <row r="250" spans="2:13" ht="17.25" thickBot="1">
      <c r="B250" s="240" t="s">
        <v>469</v>
      </c>
      <c r="C250" s="240"/>
      <c r="E250" s="240"/>
      <c r="F250" s="240"/>
      <c r="G250" s="240"/>
      <c r="H250" s="240"/>
      <c r="I250" s="240"/>
      <c r="J250" s="240"/>
      <c r="K250" s="240"/>
    </row>
    <row r="251" spans="2:13" ht="17.25" thickBot="1">
      <c r="B251" s="313" t="s">
        <v>11</v>
      </c>
      <c r="C251" s="250" t="s">
        <v>0</v>
      </c>
      <c r="D251" s="250" t="s">
        <v>1</v>
      </c>
      <c r="E251" s="250" t="s">
        <v>2</v>
      </c>
      <c r="F251" s="250" t="s">
        <v>3</v>
      </c>
      <c r="G251" s="250" t="s">
        <v>192</v>
      </c>
      <c r="H251" s="250" t="s">
        <v>16</v>
      </c>
      <c r="I251" s="250" t="s">
        <v>6</v>
      </c>
      <c r="J251" s="251" t="s">
        <v>7</v>
      </c>
      <c r="K251" s="252" t="s">
        <v>8</v>
      </c>
      <c r="L251" s="254" t="s">
        <v>470</v>
      </c>
      <c r="M251" s="404"/>
    </row>
    <row r="252" spans="2:13">
      <c r="B252" s="314">
        <v>1</v>
      </c>
      <c r="C252" s="271" t="s">
        <v>205</v>
      </c>
      <c r="D252" s="291" t="s">
        <v>213</v>
      </c>
      <c r="E252" s="307">
        <v>3.8620000000000001</v>
      </c>
      <c r="F252" s="307">
        <v>4.625</v>
      </c>
      <c r="G252" s="272">
        <v>3.7622610000000001</v>
      </c>
      <c r="H252" s="307">
        <v>5.8077620000000003</v>
      </c>
      <c r="I252" s="273">
        <v>0.13819999999999999</v>
      </c>
      <c r="J252" s="273">
        <v>9.8500000000000004E-2</v>
      </c>
      <c r="K252" s="272">
        <v>46.954315000000001</v>
      </c>
      <c r="L252" s="275" t="s">
        <v>474</v>
      </c>
      <c r="M252" s="397"/>
    </row>
    <row r="253" spans="2:13">
      <c r="B253" s="315">
        <v>2</v>
      </c>
      <c r="C253" s="316"/>
      <c r="D253" s="299" t="s">
        <v>214</v>
      </c>
      <c r="E253" s="309">
        <v>3.8719999999999999</v>
      </c>
      <c r="F253" s="309">
        <v>4.6070000000000002</v>
      </c>
      <c r="G253" s="317">
        <v>3.73794</v>
      </c>
      <c r="H253" s="309">
        <v>5.7752619999999997</v>
      </c>
      <c r="I253" s="318">
        <v>0.13830000000000001</v>
      </c>
      <c r="J253" s="318">
        <v>9.8400000000000001E-2</v>
      </c>
      <c r="K253" s="317">
        <v>46.819105999999998</v>
      </c>
      <c r="L253" s="319" t="s">
        <v>211</v>
      </c>
      <c r="M253" s="398"/>
    </row>
    <row r="254" spans="2:13">
      <c r="B254" s="315">
        <v>3</v>
      </c>
      <c r="C254" s="320"/>
      <c r="D254" s="299" t="s">
        <v>217</v>
      </c>
      <c r="E254" s="309">
        <v>3.8820000000000001</v>
      </c>
      <c r="F254" s="309">
        <v>4.5869999999999997</v>
      </c>
      <c r="G254" s="317">
        <v>3.712126</v>
      </c>
      <c r="H254" s="309">
        <v>5.7629580000000002</v>
      </c>
      <c r="I254" s="318">
        <v>0.13819999999999999</v>
      </c>
      <c r="J254" s="318">
        <v>9.8199999999999996E-2</v>
      </c>
      <c r="K254" s="317">
        <v>46.710794</v>
      </c>
      <c r="L254" s="356" t="s">
        <v>254</v>
      </c>
      <c r="M254" s="400"/>
    </row>
    <row r="255" spans="2:13">
      <c r="B255" s="315">
        <v>4</v>
      </c>
      <c r="C255" s="320"/>
      <c r="D255" s="299" t="s">
        <v>218</v>
      </c>
      <c r="E255" s="309">
        <v>4.0039999999999996</v>
      </c>
      <c r="F255" s="309">
        <v>4.5620000000000003</v>
      </c>
      <c r="G255" s="317">
        <v>3.5794039999999998</v>
      </c>
      <c r="H255" s="309">
        <v>5.7442460000000004</v>
      </c>
      <c r="I255" s="318">
        <v>0.1381</v>
      </c>
      <c r="J255" s="318">
        <v>9.8199999999999996E-2</v>
      </c>
      <c r="K255" s="317">
        <v>46.456212000000001</v>
      </c>
      <c r="L255" s="356" t="s">
        <v>477</v>
      </c>
      <c r="M255" s="400"/>
    </row>
    <row r="256" spans="2:13" ht="17.25" thickBot="1">
      <c r="B256" s="322">
        <v>5</v>
      </c>
      <c r="C256" s="323"/>
      <c r="D256" s="354" t="s">
        <v>240</v>
      </c>
      <c r="E256" s="311">
        <v>3.87</v>
      </c>
      <c r="F256" s="311">
        <v>4.5469999999999997</v>
      </c>
      <c r="G256" s="278">
        <v>3.6911649999999998</v>
      </c>
      <c r="H256" s="311">
        <v>5.7239389999999997</v>
      </c>
      <c r="I256" s="279">
        <v>0.13780000000000001</v>
      </c>
      <c r="J256" s="279">
        <v>9.8299999999999998E-2</v>
      </c>
      <c r="K256" s="278">
        <v>46.256357999999999</v>
      </c>
      <c r="L256" s="324"/>
      <c r="M256" s="399"/>
    </row>
    <row r="257" spans="2:13" ht="17.25" thickBot="1">
      <c r="B257" s="325"/>
      <c r="C257" s="326"/>
      <c r="D257" s="327" t="s">
        <v>463</v>
      </c>
      <c r="E257" s="328">
        <f>AVERAGE(E252:E256)</f>
        <v>3.8979999999999997</v>
      </c>
      <c r="F257" s="328">
        <f t="shared" ref="F257:K257" si="72">AVERAGE(F252:F256)</f>
        <v>4.5856000000000003</v>
      </c>
      <c r="G257" s="328">
        <f t="shared" si="72"/>
        <v>3.6965792</v>
      </c>
      <c r="H257" s="328">
        <f t="shared" si="72"/>
        <v>5.7628333999999999</v>
      </c>
      <c r="I257" s="329">
        <f t="shared" si="72"/>
        <v>0.13811999999999999</v>
      </c>
      <c r="J257" s="329">
        <f t="shared" si="72"/>
        <v>9.8320000000000005E-2</v>
      </c>
      <c r="K257" s="330">
        <f t="shared" si="72"/>
        <v>46.639357000000004</v>
      </c>
      <c r="L257" s="331"/>
      <c r="M257" s="399"/>
    </row>
    <row r="258" spans="2:13">
      <c r="B258" s="314">
        <v>6</v>
      </c>
      <c r="C258" s="271"/>
      <c r="D258" s="291" t="s">
        <v>241</v>
      </c>
      <c r="E258" s="307">
        <v>3.87</v>
      </c>
      <c r="F258" s="307">
        <v>4.6289999999999996</v>
      </c>
      <c r="G258" s="272">
        <v>3.7577310000000002</v>
      </c>
      <c r="H258" s="307">
        <v>5.799938</v>
      </c>
      <c r="I258" s="273">
        <v>0.13819999999999999</v>
      </c>
      <c r="J258" s="273">
        <v>9.8599999999999993E-2</v>
      </c>
      <c r="K258" s="272">
        <v>46.947262000000002</v>
      </c>
      <c r="L258" s="332"/>
      <c r="M258" s="399"/>
    </row>
    <row r="259" spans="2:13">
      <c r="B259" s="315">
        <v>7</v>
      </c>
      <c r="C259" s="320"/>
      <c r="D259" s="299" t="s">
        <v>242</v>
      </c>
      <c r="E259" s="309">
        <v>3.9079999999999999</v>
      </c>
      <c r="F259" s="309">
        <v>4.6280000000000001</v>
      </c>
      <c r="G259" s="317">
        <v>3.7203889999999999</v>
      </c>
      <c r="H259" s="309">
        <v>5.7956570000000003</v>
      </c>
      <c r="I259" s="318">
        <v>0.13819999999999999</v>
      </c>
      <c r="J259" s="318">
        <v>9.8599999999999993E-2</v>
      </c>
      <c r="K259" s="317">
        <v>46.93712</v>
      </c>
      <c r="L259" s="321"/>
      <c r="M259" s="399"/>
    </row>
    <row r="260" spans="2:13">
      <c r="B260" s="315">
        <v>8</v>
      </c>
      <c r="C260" s="320"/>
      <c r="D260" s="299" t="s">
        <v>222</v>
      </c>
      <c r="E260" s="309">
        <v>3.8969999999999998</v>
      </c>
      <c r="F260" s="309">
        <v>4.5780000000000003</v>
      </c>
      <c r="G260" s="317">
        <v>3.690582</v>
      </c>
      <c r="H260" s="309">
        <v>5.7524709999999999</v>
      </c>
      <c r="I260" s="318">
        <v>0.13819999999999999</v>
      </c>
      <c r="J260" s="318">
        <v>9.8400000000000001E-2</v>
      </c>
      <c r="K260" s="317">
        <v>46.524389999999997</v>
      </c>
      <c r="L260" s="321"/>
      <c r="M260" s="399"/>
    </row>
    <row r="261" spans="2:13">
      <c r="B261" s="315">
        <v>9</v>
      </c>
      <c r="C261" s="320"/>
      <c r="D261" s="299" t="s">
        <v>223</v>
      </c>
      <c r="E261" s="309">
        <v>3.8809999999999998</v>
      </c>
      <c r="F261" s="309">
        <v>4.5570000000000004</v>
      </c>
      <c r="G261" s="317">
        <v>3.6887979999999998</v>
      </c>
      <c r="H261" s="309">
        <v>5.7332830000000001</v>
      </c>
      <c r="I261" s="318">
        <v>0.13800000000000001</v>
      </c>
      <c r="J261" s="318">
        <v>9.8299999999999998E-2</v>
      </c>
      <c r="K261" s="317">
        <v>46.358086999999998</v>
      </c>
      <c r="L261" s="321"/>
      <c r="M261" s="399"/>
    </row>
    <row r="262" spans="2:13" ht="17.25" thickBot="1">
      <c r="B262" s="322">
        <v>10</v>
      </c>
      <c r="C262" s="323"/>
      <c r="D262" s="293" t="s">
        <v>243</v>
      </c>
      <c r="E262" s="311">
        <v>3.867</v>
      </c>
      <c r="F262" s="311">
        <v>4.5410000000000004</v>
      </c>
      <c r="G262" s="278">
        <v>3.6891539999999998</v>
      </c>
      <c r="H262" s="311">
        <v>5.7096080000000002</v>
      </c>
      <c r="I262" s="279">
        <v>0.13780000000000001</v>
      </c>
      <c r="J262" s="279">
        <v>9.8599999999999993E-2</v>
      </c>
      <c r="K262" s="278">
        <v>46.054766999999998</v>
      </c>
      <c r="L262" s="324"/>
      <c r="M262" s="399"/>
    </row>
    <row r="263" spans="2:13" ht="17.25" thickBot="1">
      <c r="B263" s="325" t="s">
        <v>464</v>
      </c>
      <c r="C263" s="326"/>
      <c r="D263" s="327" t="s">
        <v>463</v>
      </c>
      <c r="E263" s="328">
        <f>AVERAGE(E258:E262)</f>
        <v>3.8846000000000003</v>
      </c>
      <c r="F263" s="328">
        <f t="shared" ref="F263:K263" si="73">AVERAGE(F258:F262)</f>
        <v>4.5866000000000007</v>
      </c>
      <c r="G263" s="328">
        <f t="shared" si="73"/>
        <v>3.7093308</v>
      </c>
      <c r="H263" s="328">
        <f t="shared" si="73"/>
        <v>5.7581913999999994</v>
      </c>
      <c r="I263" s="329">
        <f t="shared" si="73"/>
        <v>0.13808000000000001</v>
      </c>
      <c r="J263" s="329">
        <f t="shared" si="73"/>
        <v>9.849999999999999E-2</v>
      </c>
      <c r="K263" s="330">
        <f t="shared" si="73"/>
        <v>46.564325199999999</v>
      </c>
      <c r="L263" s="331"/>
      <c r="M263" s="399"/>
    </row>
    <row r="264" spans="2:13">
      <c r="B264" s="333">
        <v>11</v>
      </c>
      <c r="C264" s="334"/>
      <c r="D264" s="291" t="s">
        <v>244</v>
      </c>
      <c r="E264" s="307">
        <v>3.859</v>
      </c>
      <c r="F264" s="307">
        <v>4.6219999999999999</v>
      </c>
      <c r="G264" s="272">
        <v>3.7627440000000001</v>
      </c>
      <c r="H264" s="307">
        <v>5.8003669999999996</v>
      </c>
      <c r="I264" s="273">
        <v>0.13819999999999999</v>
      </c>
      <c r="J264" s="273">
        <v>9.8699999999999996E-2</v>
      </c>
      <c r="K264" s="272">
        <v>46.828774000000003</v>
      </c>
      <c r="L264" s="332"/>
      <c r="M264" s="399"/>
    </row>
    <row r="265" spans="2:13">
      <c r="B265" s="335">
        <v>12</v>
      </c>
      <c r="C265" s="320"/>
      <c r="D265" s="299" t="s">
        <v>245</v>
      </c>
      <c r="E265" s="309">
        <v>3.867</v>
      </c>
      <c r="F265" s="309">
        <v>4.5910000000000002</v>
      </c>
      <c r="G265" s="317">
        <v>3.7297750000000001</v>
      </c>
      <c r="H265" s="309">
        <v>5.7764899999999999</v>
      </c>
      <c r="I265" s="318">
        <v>0.13819999999999999</v>
      </c>
      <c r="J265" s="318">
        <v>9.8599999999999993E-2</v>
      </c>
      <c r="K265" s="317">
        <v>46.561866000000002</v>
      </c>
      <c r="L265" s="321"/>
      <c r="M265" s="399"/>
    </row>
    <row r="266" spans="2:13">
      <c r="B266" s="335">
        <v>13</v>
      </c>
      <c r="C266" s="320"/>
      <c r="D266" s="299" t="s">
        <v>227</v>
      </c>
      <c r="E266" s="309">
        <v>4.0129999999999999</v>
      </c>
      <c r="F266" s="309">
        <v>4.556</v>
      </c>
      <c r="G266" s="317">
        <v>3.5666790000000002</v>
      </c>
      <c r="H266" s="309">
        <v>5.7212500000000004</v>
      </c>
      <c r="I266" s="318">
        <v>0.13819999999999999</v>
      </c>
      <c r="J266" s="318">
        <v>9.8500000000000004E-2</v>
      </c>
      <c r="K266" s="317">
        <v>46.253807000000002</v>
      </c>
      <c r="L266" s="321"/>
      <c r="M266" s="399"/>
    </row>
    <row r="267" spans="2:13">
      <c r="B267" s="335">
        <v>14</v>
      </c>
      <c r="C267" s="320"/>
      <c r="D267" s="299" t="s">
        <v>228</v>
      </c>
      <c r="E267" s="309">
        <v>3.8919999999999999</v>
      </c>
      <c r="F267" s="309">
        <v>4.5289999999999999</v>
      </c>
      <c r="G267" s="317">
        <v>3.6557710000000001</v>
      </c>
      <c r="H267" s="309">
        <v>5.6946269999999997</v>
      </c>
      <c r="I267" s="318">
        <v>0.13800000000000001</v>
      </c>
      <c r="J267" s="318">
        <v>9.8400000000000001E-2</v>
      </c>
      <c r="K267" s="317">
        <v>46.026423000000001</v>
      </c>
      <c r="L267" s="321"/>
      <c r="M267" s="399"/>
    </row>
    <row r="268" spans="2:13" ht="17.25" thickBot="1">
      <c r="B268" s="336">
        <v>15</v>
      </c>
      <c r="C268" s="323"/>
      <c r="D268" s="293" t="s">
        <v>246</v>
      </c>
      <c r="E268" s="311">
        <v>3.863</v>
      </c>
      <c r="F268" s="311">
        <v>4.5179999999999998</v>
      </c>
      <c r="G268" s="278">
        <v>3.6742699999999999</v>
      </c>
      <c r="H268" s="311">
        <v>5.6765369999999997</v>
      </c>
      <c r="I268" s="279">
        <v>0.13769999999999999</v>
      </c>
      <c r="J268" s="279">
        <v>9.8599999999999993E-2</v>
      </c>
      <c r="K268" s="278">
        <v>45.821500999999998</v>
      </c>
      <c r="L268" s="324"/>
      <c r="M268" s="399"/>
    </row>
    <row r="269" spans="2:13" ht="17.25" thickBot="1">
      <c r="B269" s="337"/>
      <c r="C269" s="326"/>
      <c r="D269" s="327" t="s">
        <v>463</v>
      </c>
      <c r="E269" s="328">
        <f>AVERAGE(E264:E268)</f>
        <v>3.8988</v>
      </c>
      <c r="F269" s="328">
        <f t="shared" ref="F269:K269" si="74">AVERAGE(F264:F268)</f>
        <v>4.5632000000000001</v>
      </c>
      <c r="G269" s="328">
        <f t="shared" si="74"/>
        <v>3.6778477999999999</v>
      </c>
      <c r="H269" s="328">
        <f t="shared" si="74"/>
        <v>5.7338542000000006</v>
      </c>
      <c r="I269" s="329">
        <f t="shared" si="74"/>
        <v>0.13805999999999999</v>
      </c>
      <c r="J269" s="329">
        <f t="shared" si="74"/>
        <v>9.8559999999999981E-2</v>
      </c>
      <c r="K269" s="330">
        <f t="shared" si="74"/>
        <v>46.298474200000001</v>
      </c>
      <c r="L269" s="331"/>
      <c r="M269" s="399"/>
    </row>
    <row r="270" spans="2:13">
      <c r="B270" s="333">
        <v>16</v>
      </c>
      <c r="C270" s="271"/>
      <c r="D270" s="291" t="s">
        <v>247</v>
      </c>
      <c r="E270" s="307">
        <v>3.8570000000000002</v>
      </c>
      <c r="F270" s="307">
        <v>4.633</v>
      </c>
      <c r="G270" s="272">
        <v>3.7736550000000002</v>
      </c>
      <c r="H270" s="272">
        <v>5.8048310000000001</v>
      </c>
      <c r="I270" s="273">
        <v>0.13819999999999999</v>
      </c>
      <c r="J270" s="273">
        <v>9.8699999999999996E-2</v>
      </c>
      <c r="K270" s="272">
        <v>46.940223000000003</v>
      </c>
      <c r="L270" s="332"/>
      <c r="M270" s="399"/>
    </row>
    <row r="271" spans="2:13">
      <c r="B271" s="335">
        <v>17</v>
      </c>
      <c r="C271" s="320"/>
      <c r="D271" s="299" t="s">
        <v>248</v>
      </c>
      <c r="E271" s="309">
        <v>3.8860000000000001</v>
      </c>
      <c r="F271" s="309">
        <v>4.5880000000000001</v>
      </c>
      <c r="G271" s="317">
        <v>3.7091129999999999</v>
      </c>
      <c r="H271" s="317">
        <v>5.761539</v>
      </c>
      <c r="I271" s="318">
        <v>0.13819999999999999</v>
      </c>
      <c r="J271" s="318">
        <v>9.8599999999999993E-2</v>
      </c>
      <c r="K271" s="317">
        <v>46.531440000000003</v>
      </c>
      <c r="L271" s="321"/>
      <c r="M271" s="399"/>
    </row>
    <row r="272" spans="2:13">
      <c r="B272" s="335">
        <v>18</v>
      </c>
      <c r="C272" s="320"/>
      <c r="D272" s="299" t="s">
        <v>232</v>
      </c>
      <c r="E272" s="309">
        <v>3.8740000000000001</v>
      </c>
      <c r="F272" s="309">
        <v>4.5439999999999996</v>
      </c>
      <c r="G272" s="317">
        <v>3.6849210000000001</v>
      </c>
      <c r="H272" s="317">
        <v>5.7063629999999996</v>
      </c>
      <c r="I272" s="318">
        <v>0.13819999999999999</v>
      </c>
      <c r="J272" s="318">
        <v>9.8400000000000001E-2</v>
      </c>
      <c r="K272" s="317">
        <v>46.178862000000002</v>
      </c>
      <c r="L272" s="321"/>
      <c r="M272" s="399"/>
    </row>
    <row r="273" spans="2:13">
      <c r="B273" s="335">
        <v>19</v>
      </c>
      <c r="C273" s="320"/>
      <c r="D273" s="299" t="s">
        <v>233</v>
      </c>
      <c r="E273" s="309">
        <v>3.883</v>
      </c>
      <c r="F273" s="309">
        <v>4.5119999999999996</v>
      </c>
      <c r="G273" s="317">
        <v>3.65049</v>
      </c>
      <c r="H273" s="317">
        <v>5.6673499999999999</v>
      </c>
      <c r="I273" s="318">
        <v>0.13800000000000001</v>
      </c>
      <c r="J273" s="318">
        <v>9.8400000000000001E-2</v>
      </c>
      <c r="K273" s="317">
        <v>45.853659</v>
      </c>
      <c r="L273" s="321"/>
      <c r="M273" s="399"/>
    </row>
    <row r="274" spans="2:13" ht="17.25" thickBot="1">
      <c r="B274" s="336">
        <v>20</v>
      </c>
      <c r="C274" s="323"/>
      <c r="D274" s="293" t="s">
        <v>249</v>
      </c>
      <c r="E274" s="311">
        <v>3.8580000000000001</v>
      </c>
      <c r="F274" s="311">
        <v>4.492</v>
      </c>
      <c r="G274" s="278">
        <v>3.6578599999999999</v>
      </c>
      <c r="H274" s="278">
        <v>5.6459020000000004</v>
      </c>
      <c r="I274" s="279">
        <v>0.13780000000000001</v>
      </c>
      <c r="J274" s="279">
        <v>9.8599999999999993E-2</v>
      </c>
      <c r="K274" s="278">
        <v>45.557808999999999</v>
      </c>
      <c r="L274" s="324"/>
      <c r="M274" s="399"/>
    </row>
    <row r="275" spans="2:13" ht="17.25" thickBot="1">
      <c r="B275" s="337"/>
      <c r="C275" s="326"/>
      <c r="D275" s="327" t="s">
        <v>463</v>
      </c>
      <c r="E275" s="328">
        <f>AVERAGE(E270:E274)</f>
        <v>3.8715999999999999</v>
      </c>
      <c r="F275" s="328">
        <f t="shared" ref="F275:K275" si="75">AVERAGE(F270:F274)</f>
        <v>4.5538000000000007</v>
      </c>
      <c r="G275" s="328">
        <f t="shared" si="75"/>
        <v>3.6952077999999999</v>
      </c>
      <c r="H275" s="328">
        <f t="shared" si="75"/>
        <v>5.7171969999999996</v>
      </c>
      <c r="I275" s="329">
        <f t="shared" si="75"/>
        <v>0.13808000000000001</v>
      </c>
      <c r="J275" s="329">
        <f t="shared" si="75"/>
        <v>9.8539999999999989E-2</v>
      </c>
      <c r="K275" s="328">
        <f t="shared" si="75"/>
        <v>46.2123986</v>
      </c>
      <c r="L275" s="331"/>
      <c r="M275" s="399"/>
    </row>
    <row r="276" spans="2:13">
      <c r="B276" s="333">
        <v>21</v>
      </c>
      <c r="C276" s="271"/>
      <c r="D276" s="291" t="s">
        <v>250</v>
      </c>
      <c r="E276" s="307">
        <v>3.855</v>
      </c>
      <c r="F276" s="307">
        <v>4.6420000000000003</v>
      </c>
      <c r="G276" s="272">
        <v>3.7829470000000001</v>
      </c>
      <c r="H276" s="307">
        <v>5.8280440000000002</v>
      </c>
      <c r="I276" s="273">
        <v>0.13830000000000001</v>
      </c>
      <c r="J276" s="273">
        <v>9.8500000000000004E-2</v>
      </c>
      <c r="K276" s="272">
        <v>47.126904000000003</v>
      </c>
      <c r="L276" s="332"/>
      <c r="M276" s="399"/>
    </row>
    <row r="277" spans="2:13">
      <c r="B277" s="335">
        <v>22</v>
      </c>
      <c r="C277" s="320"/>
      <c r="D277" s="299" t="s">
        <v>251</v>
      </c>
      <c r="E277" s="309">
        <v>3.8540000000000001</v>
      </c>
      <c r="F277" s="309">
        <v>4.5510000000000002</v>
      </c>
      <c r="G277" s="317">
        <v>3.7097500000000001</v>
      </c>
      <c r="H277" s="309">
        <v>5.712847</v>
      </c>
      <c r="I277" s="318">
        <v>0.13830000000000001</v>
      </c>
      <c r="J277" s="318">
        <v>9.8400000000000001E-2</v>
      </c>
      <c r="K277" s="317">
        <v>46.25</v>
      </c>
      <c r="L277" s="321"/>
      <c r="M277" s="399"/>
    </row>
    <row r="278" spans="2:13">
      <c r="B278" s="335">
        <v>23</v>
      </c>
      <c r="C278" s="320"/>
      <c r="D278" s="299" t="s">
        <v>237</v>
      </c>
      <c r="E278" s="309">
        <v>3.8559999999999999</v>
      </c>
      <c r="F278" s="309">
        <v>4.532</v>
      </c>
      <c r="G278" s="317">
        <v>3.6923460000000001</v>
      </c>
      <c r="H278" s="309">
        <v>5.6930829999999997</v>
      </c>
      <c r="I278" s="318">
        <v>0.13819999999999999</v>
      </c>
      <c r="J278" s="318">
        <v>9.8400000000000001E-2</v>
      </c>
      <c r="K278" s="317">
        <v>46.056910999999999</v>
      </c>
      <c r="L278" s="321"/>
      <c r="M278" s="399"/>
    </row>
    <row r="279" spans="2:13">
      <c r="B279" s="335">
        <v>24</v>
      </c>
      <c r="C279" s="320"/>
      <c r="D279" s="299" t="s">
        <v>238</v>
      </c>
      <c r="E279" s="309">
        <v>3.8559999999999999</v>
      </c>
      <c r="F279" s="309">
        <v>4.5010000000000003</v>
      </c>
      <c r="G279" s="317">
        <v>3.6670889999999998</v>
      </c>
      <c r="H279" s="309">
        <v>5.6578169999999997</v>
      </c>
      <c r="I279" s="318">
        <v>0.13819999999999999</v>
      </c>
      <c r="J279" s="318">
        <v>9.8299999999999998E-2</v>
      </c>
      <c r="K279" s="317">
        <v>45.788403000000002</v>
      </c>
      <c r="L279" s="321"/>
      <c r="M279" s="399"/>
    </row>
    <row r="280" spans="2:13" ht="17.25" thickBot="1">
      <c r="B280" s="336">
        <v>25</v>
      </c>
      <c r="C280" s="323"/>
      <c r="D280" s="293" t="s">
        <v>252</v>
      </c>
      <c r="E280" s="311">
        <v>3.859</v>
      </c>
      <c r="F280" s="311">
        <v>4.4820000000000002</v>
      </c>
      <c r="G280" s="278">
        <v>3.648771</v>
      </c>
      <c r="H280" s="311">
        <v>5.6369920000000002</v>
      </c>
      <c r="I280" s="279">
        <v>0.13789999999999999</v>
      </c>
      <c r="J280" s="279">
        <v>9.8500000000000004E-2</v>
      </c>
      <c r="K280" s="278">
        <v>45.502538000000001</v>
      </c>
      <c r="L280" s="324"/>
      <c r="M280" s="399"/>
    </row>
    <row r="281" spans="2:13" ht="17.25" thickBot="1">
      <c r="B281" s="339" t="s">
        <v>464</v>
      </c>
      <c r="C281" s="340"/>
      <c r="D281" s="341" t="s">
        <v>465</v>
      </c>
      <c r="E281" s="342">
        <f>AVERAGE(E276:E280)</f>
        <v>3.8560000000000003</v>
      </c>
      <c r="F281" s="342">
        <f t="shared" ref="F281:K281" si="76">AVERAGE(F276:F280)</f>
        <v>4.5416000000000007</v>
      </c>
      <c r="G281" s="342">
        <f t="shared" si="76"/>
        <v>3.7001806000000004</v>
      </c>
      <c r="H281" s="342">
        <f t="shared" si="76"/>
        <v>5.7057565999999991</v>
      </c>
      <c r="I281" s="343">
        <f t="shared" si="76"/>
        <v>0.13818</v>
      </c>
      <c r="J281" s="343">
        <f t="shared" si="76"/>
        <v>9.8419999999999994E-2</v>
      </c>
      <c r="K281" s="342">
        <f t="shared" si="76"/>
        <v>46.144951200000001</v>
      </c>
      <c r="L281" s="344"/>
      <c r="M281" s="399"/>
    </row>
    <row r="282" spans="2:13">
      <c r="B282" s="333"/>
      <c r="C282" s="345"/>
      <c r="D282" s="291" t="s">
        <v>466</v>
      </c>
      <c r="E282" s="346">
        <f>MEDIAN(E252:E256,E258:E262,E264:E268,E270:E274,E276:E280)</f>
        <v>3.87</v>
      </c>
      <c r="F282" s="346">
        <f t="shared" ref="F282:K282" si="77">MEDIAN(F252:F256,F258:F262,F264:F268,F270:F274,F276:F280)</f>
        <v>4.5570000000000004</v>
      </c>
      <c r="G282" s="346">
        <f t="shared" si="77"/>
        <v>3.6911649999999998</v>
      </c>
      <c r="H282" s="346">
        <f t="shared" si="77"/>
        <v>5.7332830000000001</v>
      </c>
      <c r="I282" s="347">
        <f t="shared" si="77"/>
        <v>0.13819999999999999</v>
      </c>
      <c r="J282" s="347">
        <f t="shared" si="77"/>
        <v>9.8500000000000004E-2</v>
      </c>
      <c r="K282" s="348">
        <f t="shared" si="77"/>
        <v>46.358086999999998</v>
      </c>
      <c r="L282" s="332"/>
      <c r="M282" s="399"/>
    </row>
    <row r="283" spans="2:13">
      <c r="B283" s="335"/>
      <c r="C283" s="320"/>
      <c r="D283" s="299" t="s">
        <v>467</v>
      </c>
      <c r="E283" s="349">
        <f>AVERAGE(E252:E256,E258:E262,E264:E268,E270:E274,E276:E280)</f>
        <v>3.8817999999999988</v>
      </c>
      <c r="F283" s="349">
        <f t="shared" ref="F283:K283" si="78">AVERAGE(F252:F256,F258:F262,F264:F268,F270:F274,F276:F280)</f>
        <v>4.56616</v>
      </c>
      <c r="G283" s="349">
        <f t="shared" si="78"/>
        <v>3.6958292400000001</v>
      </c>
      <c r="H283" s="349">
        <f t="shared" si="78"/>
        <v>5.735566519999999</v>
      </c>
      <c r="I283" s="350">
        <f t="shared" si="78"/>
        <v>0.13810399999999995</v>
      </c>
      <c r="J283" s="350">
        <f t="shared" si="78"/>
        <v>9.8468E-2</v>
      </c>
      <c r="K283" s="351">
        <f t="shared" si="78"/>
        <v>46.37190124</v>
      </c>
      <c r="L283" s="321"/>
      <c r="M283" s="399"/>
    </row>
    <row r="284" spans="2:13">
      <c r="B284" s="335"/>
      <c r="C284" s="320"/>
      <c r="D284" s="299" t="s">
        <v>199</v>
      </c>
      <c r="E284" s="349">
        <f>MAX(E252:E256,E258:E262,E264:E268,E270:E274,E276:E280)</f>
        <v>4.0129999999999999</v>
      </c>
      <c r="F284" s="349">
        <f t="shared" ref="F284:K284" si="79">MAX(F252:F256,F258:F262,F264:F268,F270:F274,F276:F280)</f>
        <v>4.6420000000000003</v>
      </c>
      <c r="G284" s="349">
        <f t="shared" si="79"/>
        <v>3.7829470000000001</v>
      </c>
      <c r="H284" s="349">
        <f t="shared" si="79"/>
        <v>5.8280440000000002</v>
      </c>
      <c r="I284" s="350">
        <f t="shared" si="79"/>
        <v>0.13830000000000001</v>
      </c>
      <c r="J284" s="350">
        <f t="shared" si="79"/>
        <v>9.8699999999999996E-2</v>
      </c>
      <c r="K284" s="351">
        <f t="shared" si="79"/>
        <v>47.126904000000003</v>
      </c>
      <c r="L284" s="321"/>
      <c r="M284" s="399"/>
    </row>
    <row r="285" spans="2:13">
      <c r="B285" s="335"/>
      <c r="C285" s="320"/>
      <c r="D285" s="299" t="s">
        <v>200</v>
      </c>
      <c r="E285" s="349">
        <f>MIN(E252:E256,E258:E262,E264:E268,E270:E274,E276:E280)</f>
        <v>3.8540000000000001</v>
      </c>
      <c r="F285" s="349">
        <f t="shared" ref="F285:K285" si="80">MIN(F252:F256,F258:F262,F264:F268,F270:F274,F276:F280)</f>
        <v>4.4820000000000002</v>
      </c>
      <c r="G285" s="349">
        <f t="shared" si="80"/>
        <v>3.5666790000000002</v>
      </c>
      <c r="H285" s="349">
        <f t="shared" si="80"/>
        <v>5.6369920000000002</v>
      </c>
      <c r="I285" s="350">
        <f t="shared" si="80"/>
        <v>0.13769999999999999</v>
      </c>
      <c r="J285" s="350">
        <f t="shared" si="80"/>
        <v>9.8199999999999996E-2</v>
      </c>
      <c r="K285" s="351">
        <f t="shared" si="80"/>
        <v>45.502538000000001</v>
      </c>
      <c r="L285" s="321"/>
      <c r="M285" s="399"/>
    </row>
    <row r="286" spans="2:13">
      <c r="B286" s="335"/>
      <c r="C286" s="320"/>
      <c r="D286" s="299" t="s">
        <v>201</v>
      </c>
      <c r="E286" s="349">
        <f>E284-E285</f>
        <v>0.15899999999999981</v>
      </c>
      <c r="F286" s="349">
        <f t="shared" ref="F286:K286" si="81">F284-F285</f>
        <v>0.16000000000000014</v>
      </c>
      <c r="G286" s="349">
        <f t="shared" si="81"/>
        <v>0.2162679999999999</v>
      </c>
      <c r="H286" s="349">
        <f t="shared" si="81"/>
        <v>0.191052</v>
      </c>
      <c r="I286" s="350">
        <f t="shared" si="81"/>
        <v>6.0000000000001719E-4</v>
      </c>
      <c r="J286" s="350">
        <f t="shared" si="81"/>
        <v>5.0000000000000044E-4</v>
      </c>
      <c r="K286" s="349">
        <f t="shared" si="81"/>
        <v>1.624366000000002</v>
      </c>
      <c r="L286" s="321"/>
      <c r="M286" s="399"/>
    </row>
    <row r="287" spans="2:13">
      <c r="B287" s="335"/>
      <c r="C287" s="320"/>
      <c r="D287" s="299" t="s">
        <v>202</v>
      </c>
      <c r="E287" s="349">
        <f>STDEVA(E252:E256,E258:E262,E264:E268,E270:E274,E276:E280)</f>
        <v>4.074821059465876E-2</v>
      </c>
      <c r="F287" s="349">
        <f t="shared" ref="F287:K287" si="82">STDEVA(F252:F256,F258:F262,F264:F268,F270:F274,F276:F280)</f>
        <v>4.7637240334287491E-2</v>
      </c>
      <c r="G287" s="349">
        <f t="shared" si="82"/>
        <v>5.3870937454933321E-2</v>
      </c>
      <c r="H287" s="349">
        <f t="shared" si="82"/>
        <v>5.5287385647722613E-2</v>
      </c>
      <c r="I287" s="350">
        <f t="shared" si="82"/>
        <v>1.7672954855748447E-4</v>
      </c>
      <c r="J287" s="350">
        <f t="shared" si="82"/>
        <v>1.4352700094407174E-4</v>
      </c>
      <c r="K287" s="349">
        <f t="shared" si="82"/>
        <v>0.46670360568854669</v>
      </c>
      <c r="L287" s="321"/>
      <c r="M287" s="399"/>
    </row>
    <row r="288" spans="2:13" ht="17.25" thickBot="1">
      <c r="B288" s="336"/>
      <c r="C288" s="323"/>
      <c r="D288" s="293" t="s">
        <v>203</v>
      </c>
      <c r="E288" s="352">
        <f>E287*3</f>
        <v>0.12224463178397628</v>
      </c>
      <c r="F288" s="352">
        <f t="shared" ref="F288:K288" si="83">F287*3</f>
        <v>0.14291172100286248</v>
      </c>
      <c r="G288" s="352">
        <f t="shared" si="83"/>
        <v>0.16161281236479996</v>
      </c>
      <c r="H288" s="352">
        <f t="shared" si="83"/>
        <v>0.16586215694316783</v>
      </c>
      <c r="I288" s="353">
        <f t="shared" si="83"/>
        <v>5.3018864567245345E-4</v>
      </c>
      <c r="J288" s="353">
        <f t="shared" si="83"/>
        <v>4.3058100283221523E-4</v>
      </c>
      <c r="K288" s="352">
        <f t="shared" si="83"/>
        <v>1.40011081706564</v>
      </c>
      <c r="L288" s="324"/>
      <c r="M288" s="399"/>
    </row>
    <row r="290" spans="2:13">
      <c r="B290" s="240" t="s">
        <v>478</v>
      </c>
      <c r="C290" s="240"/>
      <c r="E290" s="240"/>
      <c r="F290" s="240"/>
      <c r="G290" s="240"/>
      <c r="H290" s="240"/>
      <c r="I290" s="240"/>
      <c r="J290" s="240"/>
      <c r="K290" s="240"/>
    </row>
    <row r="291" spans="2:13" ht="17.25" thickBot="1">
      <c r="B291" s="240" t="s">
        <v>469</v>
      </c>
      <c r="C291" s="240"/>
      <c r="E291" s="240"/>
      <c r="F291" s="240"/>
      <c r="G291" s="240"/>
      <c r="H291" s="240"/>
      <c r="I291" s="240"/>
      <c r="J291" s="240"/>
      <c r="K291" s="240"/>
    </row>
    <row r="292" spans="2:13" ht="17.25" thickBot="1">
      <c r="B292" s="313" t="s">
        <v>11</v>
      </c>
      <c r="C292" s="250" t="s">
        <v>0</v>
      </c>
      <c r="D292" s="250" t="s">
        <v>1</v>
      </c>
      <c r="E292" s="250" t="s">
        <v>2</v>
      </c>
      <c r="F292" s="250" t="s">
        <v>3</v>
      </c>
      <c r="G292" s="250" t="s">
        <v>192</v>
      </c>
      <c r="H292" s="250" t="s">
        <v>16</v>
      </c>
      <c r="I292" s="250" t="s">
        <v>6</v>
      </c>
      <c r="J292" s="251" t="s">
        <v>7</v>
      </c>
      <c r="K292" s="252" t="s">
        <v>8</v>
      </c>
      <c r="L292" s="254" t="s">
        <v>470</v>
      </c>
      <c r="M292" s="404"/>
    </row>
    <row r="293" spans="2:13">
      <c r="B293" s="314">
        <v>1</v>
      </c>
      <c r="C293" s="271" t="s">
        <v>256</v>
      </c>
      <c r="D293" s="291" t="s">
        <v>213</v>
      </c>
      <c r="E293" s="307">
        <v>3.8370000000000002</v>
      </c>
      <c r="F293" s="307">
        <v>4.2729999999999997</v>
      </c>
      <c r="G293" s="272">
        <v>3.49857</v>
      </c>
      <c r="H293" s="307">
        <v>5.3045010000000001</v>
      </c>
      <c r="I293" s="273">
        <v>0.1391</v>
      </c>
      <c r="J293" s="273">
        <v>9.9199999999999997E-2</v>
      </c>
      <c r="K293" s="272">
        <v>43.074596999999997</v>
      </c>
      <c r="L293" s="275" t="s">
        <v>474</v>
      </c>
      <c r="M293" s="397"/>
    </row>
    <row r="294" spans="2:13">
      <c r="B294" s="315">
        <v>2</v>
      </c>
      <c r="C294" s="316"/>
      <c r="D294" s="299" t="s">
        <v>214</v>
      </c>
      <c r="E294" s="309">
        <v>3.8460000000000001</v>
      </c>
      <c r="F294" s="309">
        <v>4.234</v>
      </c>
      <c r="G294" s="317">
        <v>3.458526</v>
      </c>
      <c r="H294" s="309">
        <v>5.2684800000000003</v>
      </c>
      <c r="I294" s="318">
        <v>0.13900000000000001</v>
      </c>
      <c r="J294" s="318">
        <v>9.9099999999999994E-2</v>
      </c>
      <c r="K294" s="317">
        <v>42.724521000000003</v>
      </c>
      <c r="L294" s="319" t="s">
        <v>211</v>
      </c>
      <c r="M294" s="398"/>
    </row>
    <row r="295" spans="2:13">
      <c r="B295" s="315">
        <v>3</v>
      </c>
      <c r="C295" s="320"/>
      <c r="D295" s="299" t="s">
        <v>217</v>
      </c>
      <c r="E295" s="309">
        <v>3.85</v>
      </c>
      <c r="F295" s="309">
        <v>4.2619999999999996</v>
      </c>
      <c r="G295" s="317">
        <v>3.4777809999999998</v>
      </c>
      <c r="H295" s="309">
        <v>5.3081779999999998</v>
      </c>
      <c r="I295" s="318">
        <v>0.1391</v>
      </c>
      <c r="J295" s="318">
        <v>9.9000000000000005E-2</v>
      </c>
      <c r="K295" s="317">
        <v>43.050505000000001</v>
      </c>
      <c r="L295" s="356" t="s">
        <v>254</v>
      </c>
      <c r="M295" s="400"/>
    </row>
    <row r="296" spans="2:13">
      <c r="B296" s="315">
        <v>4</v>
      </c>
      <c r="C296" s="320"/>
      <c r="D296" s="299" t="s">
        <v>218</v>
      </c>
      <c r="E296" s="309">
        <v>3.8420000000000001</v>
      </c>
      <c r="F296" s="309">
        <v>4.2350000000000003</v>
      </c>
      <c r="G296" s="317">
        <v>3.4629449999999999</v>
      </c>
      <c r="H296" s="309">
        <v>5.2844309999999997</v>
      </c>
      <c r="I296" s="318">
        <v>0.1389</v>
      </c>
      <c r="J296" s="318">
        <v>9.8599999999999993E-2</v>
      </c>
      <c r="K296" s="317">
        <v>42.951318000000001</v>
      </c>
      <c r="L296" s="356" t="s">
        <v>477</v>
      </c>
      <c r="M296" s="400"/>
    </row>
    <row r="297" spans="2:13" ht="17.25" thickBot="1">
      <c r="B297" s="322">
        <v>5</v>
      </c>
      <c r="C297" s="323"/>
      <c r="D297" s="354" t="s">
        <v>240</v>
      </c>
      <c r="E297" s="311">
        <v>3.8420000000000001</v>
      </c>
      <c r="F297" s="311">
        <v>4.2610000000000001</v>
      </c>
      <c r="G297" s="278">
        <v>3.4842050000000002</v>
      </c>
      <c r="H297" s="311">
        <v>5.3350939999999998</v>
      </c>
      <c r="I297" s="279">
        <v>0.13880000000000001</v>
      </c>
      <c r="J297" s="279">
        <v>9.8400000000000001E-2</v>
      </c>
      <c r="K297" s="278">
        <v>43.302846000000002</v>
      </c>
      <c r="L297" s="324"/>
      <c r="M297" s="399"/>
    </row>
    <row r="298" spans="2:13" ht="17.25" thickBot="1">
      <c r="B298" s="325"/>
      <c r="C298" s="326"/>
      <c r="D298" s="327" t="s">
        <v>463</v>
      </c>
      <c r="E298" s="328">
        <f>AVERAGE(E293:E297)</f>
        <v>3.8433999999999999</v>
      </c>
      <c r="F298" s="328">
        <f t="shared" ref="F298:K298" si="84">AVERAGE(F293:F297)</f>
        <v>4.2529999999999992</v>
      </c>
      <c r="G298" s="328">
        <f t="shared" si="84"/>
        <v>3.4764054</v>
      </c>
      <c r="H298" s="328">
        <f t="shared" si="84"/>
        <v>5.3001367999999998</v>
      </c>
      <c r="I298" s="329">
        <f t="shared" si="84"/>
        <v>0.13898000000000002</v>
      </c>
      <c r="J298" s="329">
        <f t="shared" si="84"/>
        <v>9.8860000000000003E-2</v>
      </c>
      <c r="K298" s="330">
        <f t="shared" si="84"/>
        <v>43.020757400000001</v>
      </c>
      <c r="L298" s="331"/>
      <c r="M298" s="399"/>
    </row>
    <row r="299" spans="2:13">
      <c r="B299" s="314">
        <v>6</v>
      </c>
      <c r="C299" s="271" t="s">
        <v>255</v>
      </c>
      <c r="D299" s="291" t="s">
        <v>241</v>
      </c>
      <c r="E299" s="307">
        <v>3.883</v>
      </c>
      <c r="F299" s="307">
        <v>4.3339999999999996</v>
      </c>
      <c r="G299" s="272">
        <v>3.5064769999999998</v>
      </c>
      <c r="H299" s="307">
        <v>5.3853770000000001</v>
      </c>
      <c r="I299" s="273">
        <v>0.13900000000000001</v>
      </c>
      <c r="J299" s="273">
        <v>9.9199999999999997E-2</v>
      </c>
      <c r="K299" s="272">
        <v>43.689515999999998</v>
      </c>
      <c r="L299" s="332"/>
      <c r="M299" s="399"/>
    </row>
    <row r="300" spans="2:13">
      <c r="B300" s="315">
        <v>7</v>
      </c>
      <c r="C300" s="320"/>
      <c r="D300" s="299" t="s">
        <v>242</v>
      </c>
      <c r="E300" s="309">
        <v>3.9169999999999998</v>
      </c>
      <c r="F300" s="309">
        <v>4.3</v>
      </c>
      <c r="G300" s="317">
        <v>3.4487709999999998</v>
      </c>
      <c r="H300" s="309">
        <v>5.3510350000000004</v>
      </c>
      <c r="I300" s="318">
        <v>0.13900000000000001</v>
      </c>
      <c r="J300" s="318">
        <v>9.9099999999999994E-2</v>
      </c>
      <c r="K300" s="317">
        <v>43.390515000000001</v>
      </c>
      <c r="L300" s="321"/>
      <c r="M300" s="399"/>
    </row>
    <row r="301" spans="2:13">
      <c r="B301" s="315">
        <v>8</v>
      </c>
      <c r="C301" s="320"/>
      <c r="D301" s="299" t="s">
        <v>222</v>
      </c>
      <c r="E301" s="309">
        <v>3.875</v>
      </c>
      <c r="F301" s="309">
        <v>4.2869999999999999</v>
      </c>
      <c r="G301" s="317">
        <v>3.4756119999999999</v>
      </c>
      <c r="H301" s="309">
        <v>5.3445080000000003</v>
      </c>
      <c r="I301" s="318">
        <v>0.13900000000000001</v>
      </c>
      <c r="J301" s="318">
        <v>9.8799999999999999E-2</v>
      </c>
      <c r="K301" s="317">
        <v>43.390687999999997</v>
      </c>
      <c r="L301" s="321"/>
      <c r="M301" s="399"/>
    </row>
    <row r="302" spans="2:13">
      <c r="B302" s="315">
        <v>9</v>
      </c>
      <c r="C302" s="320"/>
      <c r="D302" s="299" t="s">
        <v>223</v>
      </c>
      <c r="E302" s="309">
        <v>3.8730000000000002</v>
      </c>
      <c r="F302" s="309">
        <v>4.2720000000000002</v>
      </c>
      <c r="G302" s="317">
        <v>3.465239</v>
      </c>
      <c r="H302" s="309">
        <v>5.3361539999999996</v>
      </c>
      <c r="I302" s="318">
        <v>0.1389</v>
      </c>
      <c r="J302" s="318">
        <v>9.8599999999999993E-2</v>
      </c>
      <c r="K302" s="317">
        <v>43.326571999999999</v>
      </c>
      <c r="L302" s="321"/>
      <c r="M302" s="399"/>
    </row>
    <row r="303" spans="2:13" ht="17.25" thickBot="1">
      <c r="B303" s="322">
        <v>10</v>
      </c>
      <c r="C303" s="323"/>
      <c r="D303" s="293" t="s">
        <v>243</v>
      </c>
      <c r="E303" s="311">
        <v>3.859</v>
      </c>
      <c r="F303" s="311">
        <v>4.2619999999999996</v>
      </c>
      <c r="G303" s="278">
        <v>3.4696699999999998</v>
      </c>
      <c r="H303" s="311">
        <v>5.3389769999999999</v>
      </c>
      <c r="I303" s="279">
        <v>0.13880000000000001</v>
      </c>
      <c r="J303" s="279">
        <v>9.8400000000000001E-2</v>
      </c>
      <c r="K303" s="278">
        <v>43.313008000000004</v>
      </c>
      <c r="L303" s="324"/>
      <c r="M303" s="399"/>
    </row>
    <row r="304" spans="2:13" ht="17.25" thickBot="1">
      <c r="B304" s="325" t="s">
        <v>479</v>
      </c>
      <c r="C304" s="326"/>
      <c r="D304" s="327" t="s">
        <v>463</v>
      </c>
      <c r="E304" s="328">
        <f>AVERAGE(E299:E303)</f>
        <v>3.8814000000000006</v>
      </c>
      <c r="F304" s="328">
        <f t="shared" ref="F304:K304" si="85">AVERAGE(F299:F303)</f>
        <v>4.2909999999999995</v>
      </c>
      <c r="G304" s="328">
        <f t="shared" si="85"/>
        <v>3.4731538</v>
      </c>
      <c r="H304" s="328">
        <f t="shared" si="85"/>
        <v>5.3512102000000006</v>
      </c>
      <c r="I304" s="329">
        <f t="shared" si="85"/>
        <v>0.13894000000000001</v>
      </c>
      <c r="J304" s="329">
        <f t="shared" si="85"/>
        <v>9.8819999999999991E-2</v>
      </c>
      <c r="K304" s="330">
        <f t="shared" si="85"/>
        <v>43.422059799999992</v>
      </c>
      <c r="L304" s="331"/>
      <c r="M304" s="399"/>
    </row>
    <row r="305" spans="2:13">
      <c r="B305" s="333">
        <v>11</v>
      </c>
      <c r="C305" s="334" t="s">
        <v>205</v>
      </c>
      <c r="D305" s="291" t="s">
        <v>244</v>
      </c>
      <c r="E305" s="307">
        <v>3.87</v>
      </c>
      <c r="F305" s="307">
        <v>4.5309999999999997</v>
      </c>
      <c r="G305" s="272">
        <v>3.6781769999999998</v>
      </c>
      <c r="H305" s="307">
        <v>5.6444080000000003</v>
      </c>
      <c r="I305" s="273">
        <v>0.1386</v>
      </c>
      <c r="J305" s="273">
        <v>9.9099999999999994E-2</v>
      </c>
      <c r="K305" s="272">
        <v>45.721493000000002</v>
      </c>
      <c r="L305" s="332"/>
      <c r="M305" s="399"/>
    </row>
    <row r="306" spans="2:13">
      <c r="B306" s="335">
        <v>12</v>
      </c>
      <c r="C306" s="320"/>
      <c r="D306" s="299" t="s">
        <v>245</v>
      </c>
      <c r="E306" s="309">
        <v>3.8769999999999998</v>
      </c>
      <c r="F306" s="309">
        <v>4.5049999999999999</v>
      </c>
      <c r="G306" s="317">
        <v>3.650468</v>
      </c>
      <c r="H306" s="309">
        <v>5.6334249999999999</v>
      </c>
      <c r="I306" s="318">
        <v>0.13850000000000001</v>
      </c>
      <c r="J306" s="318">
        <v>9.9000000000000005E-2</v>
      </c>
      <c r="K306" s="317">
        <v>45.505051000000002</v>
      </c>
      <c r="L306" s="321"/>
      <c r="M306" s="399"/>
    </row>
    <row r="307" spans="2:13">
      <c r="B307" s="335">
        <v>13</v>
      </c>
      <c r="C307" s="320"/>
      <c r="D307" s="299" t="s">
        <v>227</v>
      </c>
      <c r="E307" s="309">
        <v>3.8889999999999998</v>
      </c>
      <c r="F307" s="309">
        <v>4.49</v>
      </c>
      <c r="G307" s="317">
        <v>3.6270859999999998</v>
      </c>
      <c r="H307" s="309">
        <v>5.6026040000000004</v>
      </c>
      <c r="I307" s="318">
        <v>0.13850000000000001</v>
      </c>
      <c r="J307" s="318">
        <v>9.8900000000000002E-2</v>
      </c>
      <c r="K307" s="317">
        <v>45.399393000000003</v>
      </c>
      <c r="L307" s="321"/>
      <c r="M307" s="399"/>
    </row>
    <row r="308" spans="2:13">
      <c r="B308" s="335">
        <v>14</v>
      </c>
      <c r="C308" s="320"/>
      <c r="D308" s="299" t="s">
        <v>228</v>
      </c>
      <c r="E308" s="309">
        <v>3.875</v>
      </c>
      <c r="F308" s="309">
        <v>4.4800000000000004</v>
      </c>
      <c r="G308" s="317">
        <v>3.6320830000000002</v>
      </c>
      <c r="H308" s="309">
        <v>5.6134890000000004</v>
      </c>
      <c r="I308" s="318">
        <v>0.13850000000000001</v>
      </c>
      <c r="J308" s="318">
        <v>9.8699999999999996E-2</v>
      </c>
      <c r="K308" s="317">
        <v>45.390070999999999</v>
      </c>
      <c r="L308" s="321"/>
      <c r="M308" s="399"/>
    </row>
    <row r="309" spans="2:13" ht="17.25" thickBot="1">
      <c r="B309" s="336">
        <v>15</v>
      </c>
      <c r="C309" s="323"/>
      <c r="D309" s="293" t="s">
        <v>246</v>
      </c>
      <c r="E309" s="311">
        <v>3.8940000000000001</v>
      </c>
      <c r="F309" s="311">
        <v>4.4690000000000003</v>
      </c>
      <c r="G309" s="278">
        <v>3.6054870000000001</v>
      </c>
      <c r="H309" s="311">
        <v>5.5975760000000001</v>
      </c>
      <c r="I309" s="279">
        <v>0.13819999999999999</v>
      </c>
      <c r="J309" s="279">
        <v>9.8599999999999993E-2</v>
      </c>
      <c r="K309" s="278">
        <v>45.324544000000003</v>
      </c>
      <c r="L309" s="324"/>
      <c r="M309" s="399"/>
    </row>
    <row r="310" spans="2:13" ht="17.25" thickBot="1">
      <c r="B310" s="337"/>
      <c r="C310" s="326"/>
      <c r="D310" s="327" t="s">
        <v>463</v>
      </c>
      <c r="E310" s="328">
        <f>AVERAGE(E305:E309)</f>
        <v>3.8810000000000002</v>
      </c>
      <c r="F310" s="328">
        <f t="shared" ref="F310:K310" si="86">AVERAGE(F305:F309)</f>
        <v>4.4950000000000001</v>
      </c>
      <c r="G310" s="328">
        <f t="shared" si="86"/>
        <v>3.6386601999999995</v>
      </c>
      <c r="H310" s="328">
        <f t="shared" si="86"/>
        <v>5.6183004000000007</v>
      </c>
      <c r="I310" s="329">
        <f t="shared" si="86"/>
        <v>0.13846</v>
      </c>
      <c r="J310" s="329">
        <f t="shared" si="86"/>
        <v>9.885999999999999E-2</v>
      </c>
      <c r="K310" s="330">
        <f t="shared" si="86"/>
        <v>45.468110400000008</v>
      </c>
      <c r="L310" s="331"/>
      <c r="M310" s="399"/>
    </row>
    <row r="311" spans="2:13">
      <c r="B311" s="333">
        <v>16</v>
      </c>
      <c r="C311" s="271" t="s">
        <v>258</v>
      </c>
      <c r="D311" s="291" t="s">
        <v>247</v>
      </c>
      <c r="E311" s="307">
        <v>3.8679999999999999</v>
      </c>
      <c r="F311" s="307">
        <v>4.5759999999999996</v>
      </c>
      <c r="G311" s="272">
        <v>3.716628</v>
      </c>
      <c r="H311" s="272">
        <v>5.7070550000000004</v>
      </c>
      <c r="I311" s="273">
        <v>0.13869999999999999</v>
      </c>
      <c r="J311" s="273">
        <v>9.9099999999999994E-2</v>
      </c>
      <c r="K311" s="272">
        <v>46.175579999999997</v>
      </c>
      <c r="L311" s="332"/>
      <c r="M311" s="399"/>
    </row>
    <row r="312" spans="2:13">
      <c r="B312" s="335">
        <v>17</v>
      </c>
      <c r="C312" s="320"/>
      <c r="D312" s="299" t="s">
        <v>248</v>
      </c>
      <c r="E312" s="309">
        <v>3.88</v>
      </c>
      <c r="F312" s="309">
        <v>4.5460000000000003</v>
      </c>
      <c r="G312" s="317">
        <v>3.6808420000000002</v>
      </c>
      <c r="H312" s="317">
        <v>5.6636369999999996</v>
      </c>
      <c r="I312" s="318">
        <v>0.13850000000000001</v>
      </c>
      <c r="J312" s="318">
        <v>9.8900000000000002E-2</v>
      </c>
      <c r="K312" s="317">
        <v>45.965622000000003</v>
      </c>
      <c r="L312" s="321"/>
      <c r="M312" s="399"/>
    </row>
    <row r="313" spans="2:13">
      <c r="B313" s="335">
        <v>18</v>
      </c>
      <c r="C313" s="320"/>
      <c r="D313" s="299" t="s">
        <v>232</v>
      </c>
      <c r="E313" s="309">
        <v>3.8879999999999999</v>
      </c>
      <c r="F313" s="309">
        <v>4.5270000000000001</v>
      </c>
      <c r="G313" s="317">
        <v>3.6579160000000002</v>
      </c>
      <c r="H313" s="317">
        <v>5.6526240000000003</v>
      </c>
      <c r="I313" s="318">
        <v>0.13850000000000001</v>
      </c>
      <c r="J313" s="318">
        <v>9.8699999999999996E-2</v>
      </c>
      <c r="K313" s="317">
        <v>45.866261000000002</v>
      </c>
      <c r="L313" s="321"/>
      <c r="M313" s="399"/>
    </row>
    <row r="314" spans="2:13">
      <c r="B314" s="335">
        <v>19</v>
      </c>
      <c r="C314" s="320"/>
      <c r="D314" s="299" t="s">
        <v>233</v>
      </c>
      <c r="E314" s="309">
        <v>3.8820000000000001</v>
      </c>
      <c r="F314" s="309">
        <v>4.4969999999999999</v>
      </c>
      <c r="G314" s="317">
        <v>3.6392920000000002</v>
      </c>
      <c r="H314" s="317">
        <v>5.6242799999999997</v>
      </c>
      <c r="I314" s="318">
        <v>0.1384</v>
      </c>
      <c r="J314" s="318">
        <v>9.8599999999999993E-2</v>
      </c>
      <c r="K314" s="317">
        <v>45.608519000000001</v>
      </c>
      <c r="L314" s="321"/>
      <c r="M314" s="399"/>
    </row>
    <row r="315" spans="2:13" ht="17.25" thickBot="1">
      <c r="B315" s="336">
        <v>20</v>
      </c>
      <c r="C315" s="323"/>
      <c r="D315" s="293" t="s">
        <v>249</v>
      </c>
      <c r="E315" s="311">
        <v>3.8809999999999998</v>
      </c>
      <c r="F315" s="311">
        <v>4.5049999999999999</v>
      </c>
      <c r="G315" s="278">
        <v>3.6467049999999999</v>
      </c>
      <c r="H315" s="278">
        <v>5.6530810000000002</v>
      </c>
      <c r="I315" s="279">
        <v>0.13819999999999999</v>
      </c>
      <c r="J315" s="279">
        <v>9.8500000000000004E-2</v>
      </c>
      <c r="K315" s="278">
        <v>45.736041</v>
      </c>
      <c r="L315" s="324"/>
      <c r="M315" s="399"/>
    </row>
    <row r="316" spans="2:13" ht="17.25" thickBot="1">
      <c r="B316" s="337"/>
      <c r="C316" s="326"/>
      <c r="D316" s="327" t="s">
        <v>463</v>
      </c>
      <c r="E316" s="328">
        <f>AVERAGE(E311:E315)</f>
        <v>3.8797999999999995</v>
      </c>
      <c r="F316" s="328">
        <f t="shared" ref="F316:K316" si="87">AVERAGE(F311:F315)</f>
        <v>4.5301999999999998</v>
      </c>
      <c r="G316" s="328">
        <f t="shared" si="87"/>
        <v>3.6682766</v>
      </c>
      <c r="H316" s="328">
        <f t="shared" si="87"/>
        <v>5.6601353999999997</v>
      </c>
      <c r="I316" s="329">
        <f t="shared" si="87"/>
        <v>0.13846</v>
      </c>
      <c r="J316" s="329">
        <f t="shared" si="87"/>
        <v>9.8760000000000001E-2</v>
      </c>
      <c r="K316" s="328">
        <f t="shared" si="87"/>
        <v>45.870404600000001</v>
      </c>
      <c r="L316" s="331"/>
      <c r="M316" s="399"/>
    </row>
    <row r="317" spans="2:13">
      <c r="B317" s="333">
        <v>21</v>
      </c>
      <c r="C317" s="271" t="s">
        <v>260</v>
      </c>
      <c r="D317" s="291" t="s">
        <v>250</v>
      </c>
      <c r="E317" s="307">
        <v>3.9089999999999998</v>
      </c>
      <c r="F317" s="307">
        <v>4.4729999999999999</v>
      </c>
      <c r="G317" s="272">
        <v>3.5948660000000001</v>
      </c>
      <c r="H317" s="307">
        <v>5.5600180000000003</v>
      </c>
      <c r="I317" s="273">
        <v>0.13900000000000001</v>
      </c>
      <c r="J317" s="273">
        <v>9.9000000000000005E-2</v>
      </c>
      <c r="K317" s="272">
        <v>45.181818</v>
      </c>
      <c r="L317" s="332"/>
      <c r="M317" s="399"/>
    </row>
    <row r="318" spans="2:13">
      <c r="B318" s="335">
        <v>22</v>
      </c>
      <c r="C318" s="320"/>
      <c r="D318" s="299" t="s">
        <v>251</v>
      </c>
      <c r="E318" s="309">
        <v>3.8660000000000001</v>
      </c>
      <c r="F318" s="309">
        <v>4.4359999999999999</v>
      </c>
      <c r="G318" s="317">
        <v>3.604784</v>
      </c>
      <c r="H318" s="309">
        <v>5.5322800000000001</v>
      </c>
      <c r="I318" s="318">
        <v>0.13900000000000001</v>
      </c>
      <c r="J318" s="318">
        <v>9.8799999999999999E-2</v>
      </c>
      <c r="K318" s="317">
        <v>44.898784999999997</v>
      </c>
      <c r="L318" s="321"/>
      <c r="M318" s="399"/>
    </row>
    <row r="319" spans="2:13">
      <c r="B319" s="335">
        <v>23</v>
      </c>
      <c r="C319" s="320"/>
      <c r="D319" s="299" t="s">
        <v>237</v>
      </c>
      <c r="E319" s="309">
        <v>3.8660000000000001</v>
      </c>
      <c r="F319" s="309">
        <v>4.41</v>
      </c>
      <c r="G319" s="317">
        <v>3.5836549999999998</v>
      </c>
      <c r="H319" s="309">
        <v>5.4963449999999998</v>
      </c>
      <c r="I319" s="318">
        <v>0.1389</v>
      </c>
      <c r="J319" s="318">
        <v>9.8699999999999996E-2</v>
      </c>
      <c r="K319" s="317">
        <v>44.680850999999997</v>
      </c>
      <c r="L319" s="321"/>
      <c r="M319" s="399"/>
    </row>
    <row r="320" spans="2:13">
      <c r="B320" s="335">
        <v>24</v>
      </c>
      <c r="C320" s="320"/>
      <c r="D320" s="299" t="s">
        <v>238</v>
      </c>
      <c r="E320" s="309">
        <v>3.8620000000000001</v>
      </c>
      <c r="F320" s="309">
        <v>4.4109999999999996</v>
      </c>
      <c r="G320" s="317">
        <v>3.5881810000000001</v>
      </c>
      <c r="H320" s="309">
        <v>5.5083669999999998</v>
      </c>
      <c r="I320" s="318">
        <v>0.1389</v>
      </c>
      <c r="J320" s="318">
        <v>9.8500000000000004E-2</v>
      </c>
      <c r="K320" s="317">
        <v>44.781725999999999</v>
      </c>
      <c r="L320" s="321"/>
      <c r="M320" s="399"/>
    </row>
    <row r="321" spans="2:13" ht="17.25" thickBot="1">
      <c r="B321" s="336">
        <v>25</v>
      </c>
      <c r="C321" s="323"/>
      <c r="D321" s="293" t="s">
        <v>252</v>
      </c>
      <c r="E321" s="311">
        <v>3.8530000000000002</v>
      </c>
      <c r="F321" s="311">
        <v>4.4139999999999997</v>
      </c>
      <c r="G321" s="278">
        <v>3.599008</v>
      </c>
      <c r="H321" s="311">
        <v>5.5407840000000004</v>
      </c>
      <c r="I321" s="279">
        <v>0.13869999999999999</v>
      </c>
      <c r="J321" s="279">
        <v>9.8199999999999996E-2</v>
      </c>
      <c r="K321" s="278">
        <v>44.949083999999999</v>
      </c>
      <c r="L321" s="324"/>
      <c r="M321" s="399"/>
    </row>
    <row r="322" spans="2:13" ht="17.25" thickBot="1">
      <c r="B322" s="339" t="s">
        <v>464</v>
      </c>
      <c r="C322" s="340"/>
      <c r="D322" s="341" t="s">
        <v>465</v>
      </c>
      <c r="E322" s="342">
        <f>AVERAGE(E317:E321)</f>
        <v>3.8712000000000004</v>
      </c>
      <c r="F322" s="342">
        <f t="shared" ref="F322:K322" si="88">AVERAGE(F317:F321)</f>
        <v>4.4287999999999998</v>
      </c>
      <c r="G322" s="342">
        <f t="shared" si="88"/>
        <v>3.5940988000000003</v>
      </c>
      <c r="H322" s="342">
        <f t="shared" si="88"/>
        <v>5.5275587999999996</v>
      </c>
      <c r="I322" s="343">
        <f t="shared" si="88"/>
        <v>0.13890000000000002</v>
      </c>
      <c r="J322" s="343">
        <f t="shared" si="88"/>
        <v>9.8640000000000005E-2</v>
      </c>
      <c r="K322" s="342">
        <f t="shared" si="88"/>
        <v>44.898452799999994</v>
      </c>
      <c r="L322" s="344"/>
      <c r="M322" s="399"/>
    </row>
    <row r="323" spans="2:13">
      <c r="B323" s="333"/>
      <c r="C323" s="345"/>
      <c r="D323" s="291" t="s">
        <v>466</v>
      </c>
      <c r="E323" s="346">
        <f>MEDIAN(E293:E297,E299:E303,E305:E309,E311:E315,E317:E321)</f>
        <v>3.8730000000000002</v>
      </c>
      <c r="F323" s="346">
        <f t="shared" ref="F323:K323" si="89">MEDIAN(F293:F297,F299:F303,F305:F309,F311:F315,F317:F321)</f>
        <v>4.4139999999999997</v>
      </c>
      <c r="G323" s="346">
        <f t="shared" si="89"/>
        <v>3.5948660000000001</v>
      </c>
      <c r="H323" s="346">
        <f t="shared" si="89"/>
        <v>5.5322800000000001</v>
      </c>
      <c r="I323" s="347">
        <f t="shared" si="89"/>
        <v>0.13880000000000001</v>
      </c>
      <c r="J323" s="347">
        <f t="shared" si="89"/>
        <v>9.8799999999999999E-2</v>
      </c>
      <c r="K323" s="348">
        <f t="shared" si="89"/>
        <v>44.898784999999997</v>
      </c>
      <c r="L323" s="332"/>
      <c r="M323" s="399"/>
    </row>
    <row r="324" spans="2:13">
      <c r="B324" s="335"/>
      <c r="C324" s="320"/>
      <c r="D324" s="299" t="s">
        <v>467</v>
      </c>
      <c r="E324" s="349">
        <f>AVERAGE(E293:E297,E299:E303,E305:E309,E311:E315,E317:E321)</f>
        <v>3.8713600000000001</v>
      </c>
      <c r="F324" s="349">
        <f t="shared" ref="F324:K324" si="90">AVERAGE(F293:F297,F299:F303,F305:F309,F311:F315,F317:F321)</f>
        <v>4.3995999999999995</v>
      </c>
      <c r="G324" s="349">
        <f t="shared" si="90"/>
        <v>3.5701189599999994</v>
      </c>
      <c r="H324" s="349">
        <f t="shared" si="90"/>
        <v>5.4914683200000001</v>
      </c>
      <c r="I324" s="350">
        <f t="shared" si="90"/>
        <v>0.13874800000000004</v>
      </c>
      <c r="J324" s="350">
        <f t="shared" si="90"/>
        <v>9.8788000000000015E-2</v>
      </c>
      <c r="K324" s="351">
        <f t="shared" si="90"/>
        <v>44.53595700000001</v>
      </c>
      <c r="L324" s="321"/>
      <c r="M324" s="399"/>
    </row>
    <row r="325" spans="2:13">
      <c r="B325" s="335"/>
      <c r="C325" s="320"/>
      <c r="D325" s="299" t="s">
        <v>199</v>
      </c>
      <c r="E325" s="349">
        <f>MAX(E293:E297,E299:E303,E305:E309,E311:E315,E317:E321)</f>
        <v>3.9169999999999998</v>
      </c>
      <c r="F325" s="349">
        <f t="shared" ref="F325:K325" si="91">MAX(F293:F297,F299:F303,F305:F309,F311:F315,F317:F321)</f>
        <v>4.5759999999999996</v>
      </c>
      <c r="G325" s="349">
        <f t="shared" si="91"/>
        <v>3.716628</v>
      </c>
      <c r="H325" s="349">
        <f t="shared" si="91"/>
        <v>5.7070550000000004</v>
      </c>
      <c r="I325" s="350">
        <f t="shared" si="91"/>
        <v>0.1391</v>
      </c>
      <c r="J325" s="350">
        <f t="shared" si="91"/>
        <v>9.9199999999999997E-2</v>
      </c>
      <c r="K325" s="351">
        <f t="shared" si="91"/>
        <v>46.175579999999997</v>
      </c>
      <c r="L325" s="321"/>
      <c r="M325" s="399"/>
    </row>
    <row r="326" spans="2:13">
      <c r="B326" s="335"/>
      <c r="C326" s="320"/>
      <c r="D326" s="299" t="s">
        <v>200</v>
      </c>
      <c r="E326" s="349">
        <f>MIN(E293:E297,E299:E303,E305:E309,E311:E315,E317:E321)</f>
        <v>3.8370000000000002</v>
      </c>
      <c r="F326" s="349">
        <f t="shared" ref="F326:K326" si="92">MIN(F293:F297,F299:F303,F305:F309,F311:F315,F317:F321)</f>
        <v>4.234</v>
      </c>
      <c r="G326" s="349">
        <f t="shared" si="92"/>
        <v>3.4487709999999998</v>
      </c>
      <c r="H326" s="349">
        <f t="shared" si="92"/>
        <v>5.2684800000000003</v>
      </c>
      <c r="I326" s="350">
        <f t="shared" si="92"/>
        <v>0.13819999999999999</v>
      </c>
      <c r="J326" s="350">
        <f t="shared" si="92"/>
        <v>9.8199999999999996E-2</v>
      </c>
      <c r="K326" s="351">
        <f t="shared" si="92"/>
        <v>42.724521000000003</v>
      </c>
      <c r="L326" s="321"/>
      <c r="M326" s="399"/>
    </row>
    <row r="327" spans="2:13">
      <c r="B327" s="335"/>
      <c r="C327" s="320"/>
      <c r="D327" s="299" t="s">
        <v>201</v>
      </c>
      <c r="E327" s="349">
        <f>E325-E326</f>
        <v>7.9999999999999627E-2</v>
      </c>
      <c r="F327" s="349">
        <f t="shared" ref="F327:K327" si="93">F325-F326</f>
        <v>0.34199999999999964</v>
      </c>
      <c r="G327" s="349">
        <f t="shared" si="93"/>
        <v>0.26785700000000023</v>
      </c>
      <c r="H327" s="349">
        <f t="shared" si="93"/>
        <v>0.43857500000000016</v>
      </c>
      <c r="I327" s="350">
        <f t="shared" si="93"/>
        <v>9.000000000000119E-4</v>
      </c>
      <c r="J327" s="350">
        <f t="shared" si="93"/>
        <v>1.0000000000000009E-3</v>
      </c>
      <c r="K327" s="349">
        <f t="shared" si="93"/>
        <v>3.4510589999999937</v>
      </c>
      <c r="L327" s="321"/>
      <c r="M327" s="399"/>
    </row>
    <row r="328" spans="2:13">
      <c r="B328" s="335"/>
      <c r="C328" s="320"/>
      <c r="D328" s="299" t="s">
        <v>202</v>
      </c>
      <c r="E328" s="349">
        <f>STDEVA(E293:E297,E299:E303,E305:E309,E311:E315,E317:E321)</f>
        <v>2.0134712977012192E-2</v>
      </c>
      <c r="F328" s="349">
        <f t="shared" ref="F328:K328" si="94">STDEVA(F293:F297,F299:F303,F305:F309,F311:F315,F317:F321)</f>
        <v>0.11459493880621432</v>
      </c>
      <c r="G328" s="349">
        <f t="shared" si="94"/>
        <v>8.5506445248530877E-2</v>
      </c>
      <c r="H328" s="349">
        <f t="shared" si="94"/>
        <v>0.1475549873890861</v>
      </c>
      <c r="I328" s="350">
        <f t="shared" si="94"/>
        <v>2.7251911247959854E-4</v>
      </c>
      <c r="J328" s="350">
        <f t="shared" si="94"/>
        <v>2.7886675432303948E-4</v>
      </c>
      <c r="K328" s="349">
        <f t="shared" si="94"/>
        <v>1.159892933039655</v>
      </c>
      <c r="L328" s="321"/>
      <c r="M328" s="399"/>
    </row>
    <row r="329" spans="2:13" ht="17.25" thickBot="1">
      <c r="B329" s="336"/>
      <c r="C329" s="323"/>
      <c r="D329" s="293" t="s">
        <v>203</v>
      </c>
      <c r="E329" s="352">
        <f>E328*3</f>
        <v>6.0404138931036577E-2</v>
      </c>
      <c r="F329" s="352">
        <f t="shared" ref="F329:K329" si="95">F328*3</f>
        <v>0.343784816418643</v>
      </c>
      <c r="G329" s="352">
        <f t="shared" si="95"/>
        <v>0.2565193357455926</v>
      </c>
      <c r="H329" s="352">
        <f t="shared" si="95"/>
        <v>0.44266496216725826</v>
      </c>
      <c r="I329" s="353">
        <f t="shared" si="95"/>
        <v>8.1755733743879566E-4</v>
      </c>
      <c r="J329" s="353">
        <f t="shared" si="95"/>
        <v>8.3660026296911844E-4</v>
      </c>
      <c r="K329" s="352">
        <f t="shared" si="95"/>
        <v>3.479678799118965</v>
      </c>
      <c r="L329" s="324"/>
      <c r="M329" s="399"/>
    </row>
    <row r="331" spans="2:13">
      <c r="B331" s="240" t="s">
        <v>480</v>
      </c>
      <c r="C331" s="240"/>
      <c r="E331" s="240"/>
      <c r="F331" s="240"/>
      <c r="G331" s="240"/>
      <c r="H331" s="240"/>
      <c r="I331" s="240"/>
      <c r="J331" s="240"/>
      <c r="K331" s="240"/>
    </row>
    <row r="332" spans="2:13" ht="17.25" thickBot="1">
      <c r="B332" s="240" t="s">
        <v>469</v>
      </c>
      <c r="C332" s="240"/>
      <c r="E332" s="240"/>
      <c r="F332" s="240"/>
      <c r="G332" s="240"/>
      <c r="H332" s="240"/>
      <c r="I332" s="240"/>
      <c r="J332" s="240"/>
      <c r="K332" s="240"/>
    </row>
    <row r="333" spans="2:13" ht="17.25" thickBot="1">
      <c r="B333" s="313" t="s">
        <v>11</v>
      </c>
      <c r="C333" s="250" t="s">
        <v>0</v>
      </c>
      <c r="D333" s="250" t="s">
        <v>1</v>
      </c>
      <c r="E333" s="250" t="s">
        <v>2</v>
      </c>
      <c r="F333" s="250" t="s">
        <v>3</v>
      </c>
      <c r="G333" s="250" t="s">
        <v>192</v>
      </c>
      <c r="H333" s="250" t="s">
        <v>16</v>
      </c>
      <c r="I333" s="250" t="s">
        <v>6</v>
      </c>
      <c r="J333" s="251" t="s">
        <v>7</v>
      </c>
      <c r="K333" s="252" t="s">
        <v>8</v>
      </c>
      <c r="L333" s="254" t="s">
        <v>470</v>
      </c>
      <c r="M333" s="404"/>
    </row>
    <row r="334" spans="2:13">
      <c r="B334" s="314">
        <v>1</v>
      </c>
      <c r="C334" s="271" t="s">
        <v>256</v>
      </c>
      <c r="D334" s="291" t="s">
        <v>213</v>
      </c>
      <c r="E334" s="307">
        <v>3.839</v>
      </c>
      <c r="F334" s="307">
        <v>4.5410000000000004</v>
      </c>
      <c r="G334" s="272">
        <v>3.716062</v>
      </c>
      <c r="H334" s="307">
        <v>5.660774</v>
      </c>
      <c r="I334" s="273">
        <v>0.13919999999999999</v>
      </c>
      <c r="J334" s="273">
        <v>9.8699999999999996E-2</v>
      </c>
      <c r="K334" s="272">
        <v>46.008105</v>
      </c>
      <c r="L334" s="275" t="s">
        <v>474</v>
      </c>
      <c r="M334" s="397"/>
    </row>
    <row r="335" spans="2:13">
      <c r="B335" s="315">
        <v>2</v>
      </c>
      <c r="C335" s="316"/>
      <c r="D335" s="299" t="s">
        <v>214</v>
      </c>
      <c r="E335" s="309">
        <v>3.867</v>
      </c>
      <c r="F335" s="309">
        <v>4.5510000000000002</v>
      </c>
      <c r="G335" s="317">
        <v>3.697279</v>
      </c>
      <c r="H335" s="309">
        <v>5.6702680000000001</v>
      </c>
      <c r="I335" s="318">
        <v>0.13900000000000001</v>
      </c>
      <c r="J335" s="318">
        <v>9.8699999999999996E-2</v>
      </c>
      <c r="K335" s="317">
        <v>46.109422000000002</v>
      </c>
      <c r="L335" s="319" t="s">
        <v>211</v>
      </c>
      <c r="M335" s="398"/>
    </row>
    <row r="336" spans="2:13">
      <c r="B336" s="315">
        <v>3</v>
      </c>
      <c r="C336" s="320"/>
      <c r="D336" s="299" t="s">
        <v>217</v>
      </c>
      <c r="E336" s="309">
        <v>3.8410000000000002</v>
      </c>
      <c r="F336" s="309">
        <v>4.5149999999999997</v>
      </c>
      <c r="G336" s="317">
        <v>3.6928610000000002</v>
      </c>
      <c r="H336" s="309">
        <v>5.6339290000000002</v>
      </c>
      <c r="I336" s="318">
        <v>0.1389</v>
      </c>
      <c r="J336" s="318">
        <v>9.8900000000000002E-2</v>
      </c>
      <c r="K336" s="317">
        <v>45.652174000000002</v>
      </c>
      <c r="L336" s="356" t="s">
        <v>254</v>
      </c>
      <c r="M336" s="400"/>
    </row>
    <row r="337" spans="2:13">
      <c r="B337" s="315">
        <v>4</v>
      </c>
      <c r="C337" s="320"/>
      <c r="D337" s="299" t="s">
        <v>218</v>
      </c>
      <c r="E337" s="309">
        <v>3.8439999999999999</v>
      </c>
      <c r="F337" s="309">
        <v>4.5030000000000001</v>
      </c>
      <c r="G337" s="317">
        <v>3.6801720000000002</v>
      </c>
      <c r="H337" s="309">
        <v>5.6122990000000001</v>
      </c>
      <c r="I337" s="318">
        <v>0.13880000000000001</v>
      </c>
      <c r="J337" s="318">
        <v>9.9000000000000005E-2</v>
      </c>
      <c r="K337" s="317">
        <v>45.484848</v>
      </c>
      <c r="L337" s="356" t="s">
        <v>477</v>
      </c>
      <c r="M337" s="400"/>
    </row>
    <row r="338" spans="2:13" ht="17.25" thickBot="1">
      <c r="B338" s="322">
        <v>5</v>
      </c>
      <c r="C338" s="323"/>
      <c r="D338" s="354" t="s">
        <v>240</v>
      </c>
      <c r="E338" s="311">
        <v>3.839</v>
      </c>
      <c r="F338" s="311">
        <v>4.4320000000000004</v>
      </c>
      <c r="G338" s="278">
        <v>3.6268630000000002</v>
      </c>
      <c r="H338" s="311">
        <v>5.5116379999999996</v>
      </c>
      <c r="I338" s="279">
        <v>0.1389</v>
      </c>
      <c r="J338" s="279">
        <v>9.9000000000000005E-2</v>
      </c>
      <c r="K338" s="278">
        <v>44.767676999999999</v>
      </c>
      <c r="L338" s="324"/>
      <c r="M338" s="399"/>
    </row>
    <row r="339" spans="2:13" ht="17.25" thickBot="1">
      <c r="B339" s="325"/>
      <c r="C339" s="326"/>
      <c r="D339" s="327" t="s">
        <v>463</v>
      </c>
      <c r="E339" s="328">
        <f>AVERAGE(E334:E338)</f>
        <v>3.8460000000000001</v>
      </c>
      <c r="F339" s="328">
        <f t="shared" ref="F339:K339" si="96">AVERAGE(F334:F338)</f>
        <v>4.5084</v>
      </c>
      <c r="G339" s="328">
        <f t="shared" si="96"/>
        <v>3.6826474000000005</v>
      </c>
      <c r="H339" s="328">
        <f t="shared" si="96"/>
        <v>5.6177815999999989</v>
      </c>
      <c r="I339" s="329">
        <f t="shared" si="96"/>
        <v>0.13896000000000003</v>
      </c>
      <c r="J339" s="329">
        <f t="shared" si="96"/>
        <v>9.885999999999999E-2</v>
      </c>
      <c r="K339" s="330">
        <f t="shared" si="96"/>
        <v>45.604445200000001</v>
      </c>
      <c r="L339" s="331"/>
      <c r="M339" s="399"/>
    </row>
    <row r="340" spans="2:13">
      <c r="B340" s="314">
        <v>6</v>
      </c>
      <c r="C340" s="271" t="s">
        <v>255</v>
      </c>
      <c r="D340" s="291" t="s">
        <v>241</v>
      </c>
      <c r="E340" s="307">
        <v>3.8450000000000002</v>
      </c>
      <c r="F340" s="307">
        <v>4.5369999999999999</v>
      </c>
      <c r="G340" s="272">
        <v>3.7069939999999999</v>
      </c>
      <c r="H340" s="307">
        <v>5.6599240000000002</v>
      </c>
      <c r="I340" s="273">
        <v>0.13919999999999999</v>
      </c>
      <c r="J340" s="273">
        <v>9.8699999999999996E-2</v>
      </c>
      <c r="K340" s="272">
        <v>45.967579000000001</v>
      </c>
      <c r="L340" s="332"/>
      <c r="M340" s="399"/>
    </row>
    <row r="341" spans="2:13">
      <c r="B341" s="315">
        <v>7</v>
      </c>
      <c r="C341" s="320"/>
      <c r="D341" s="299" t="s">
        <v>242</v>
      </c>
      <c r="E341" s="309">
        <v>3.8620000000000001</v>
      </c>
      <c r="F341" s="309">
        <v>4.5410000000000004</v>
      </c>
      <c r="G341" s="317">
        <v>3.6939310000000001</v>
      </c>
      <c r="H341" s="309">
        <v>5.656714</v>
      </c>
      <c r="I341" s="318">
        <v>0.13900000000000001</v>
      </c>
      <c r="J341" s="318">
        <v>9.8799999999999999E-2</v>
      </c>
      <c r="K341" s="317">
        <v>45.961537999999997</v>
      </c>
      <c r="L341" s="321"/>
      <c r="M341" s="399"/>
    </row>
    <row r="342" spans="2:13">
      <c r="B342" s="315">
        <v>8</v>
      </c>
      <c r="C342" s="320"/>
      <c r="D342" s="299" t="s">
        <v>222</v>
      </c>
      <c r="E342" s="309">
        <v>3.843</v>
      </c>
      <c r="F342" s="309">
        <v>4.4870000000000001</v>
      </c>
      <c r="G342" s="317">
        <v>3.66805</v>
      </c>
      <c r="H342" s="309">
        <v>5.5931620000000004</v>
      </c>
      <c r="I342" s="318">
        <v>0.1389</v>
      </c>
      <c r="J342" s="318">
        <v>9.8900000000000002E-2</v>
      </c>
      <c r="K342" s="317">
        <v>45.369059999999998</v>
      </c>
      <c r="L342" s="321"/>
      <c r="M342" s="399"/>
    </row>
    <row r="343" spans="2:13">
      <c r="B343" s="315">
        <v>9</v>
      </c>
      <c r="C343" s="320"/>
      <c r="D343" s="299" t="s">
        <v>223</v>
      </c>
      <c r="E343" s="309">
        <v>3.964</v>
      </c>
      <c r="F343" s="309">
        <v>4.4429999999999996</v>
      </c>
      <c r="G343" s="317">
        <v>3.5212119999999998</v>
      </c>
      <c r="H343" s="309">
        <v>5.5304010000000003</v>
      </c>
      <c r="I343" s="318">
        <v>0.1389</v>
      </c>
      <c r="J343" s="318">
        <v>9.9099999999999994E-2</v>
      </c>
      <c r="K343" s="317">
        <v>44.833502000000003</v>
      </c>
      <c r="L343" s="321"/>
      <c r="M343" s="399"/>
    </row>
    <row r="344" spans="2:13" ht="17.25" thickBot="1">
      <c r="B344" s="322">
        <v>10</v>
      </c>
      <c r="C344" s="323"/>
      <c r="D344" s="293" t="s">
        <v>243</v>
      </c>
      <c r="E344" s="311">
        <v>3.8239999999999998</v>
      </c>
      <c r="F344" s="311">
        <v>4.3380000000000001</v>
      </c>
      <c r="G344" s="278">
        <v>3.5638640000000001</v>
      </c>
      <c r="H344" s="311">
        <v>5.3937099999999996</v>
      </c>
      <c r="I344" s="279">
        <v>0.13900000000000001</v>
      </c>
      <c r="J344" s="279">
        <v>9.9199999999999997E-2</v>
      </c>
      <c r="K344" s="278">
        <v>43.729838999999998</v>
      </c>
      <c r="L344" s="324"/>
      <c r="M344" s="399"/>
    </row>
    <row r="345" spans="2:13" ht="17.25" thickBot="1">
      <c r="B345" s="325" t="s">
        <v>464</v>
      </c>
      <c r="C345" s="326"/>
      <c r="D345" s="327" t="s">
        <v>463</v>
      </c>
      <c r="E345" s="328">
        <f>AVERAGE(E340:E344)</f>
        <v>3.8676000000000004</v>
      </c>
      <c r="F345" s="328">
        <f t="shared" ref="F345:K345" si="97">AVERAGE(F340:F344)</f>
        <v>4.4691999999999998</v>
      </c>
      <c r="G345" s="328">
        <f t="shared" si="97"/>
        <v>3.6308102</v>
      </c>
      <c r="H345" s="328">
        <f t="shared" si="97"/>
        <v>5.5667822000000005</v>
      </c>
      <c r="I345" s="329">
        <f t="shared" si="97"/>
        <v>0.13900000000000001</v>
      </c>
      <c r="J345" s="329">
        <f t="shared" si="97"/>
        <v>9.894E-2</v>
      </c>
      <c r="K345" s="330">
        <f t="shared" si="97"/>
        <v>45.172303599999999</v>
      </c>
      <c r="L345" s="331"/>
      <c r="M345" s="399"/>
    </row>
    <row r="346" spans="2:13">
      <c r="B346" s="333">
        <v>11</v>
      </c>
      <c r="C346" s="334" t="s">
        <v>205</v>
      </c>
      <c r="D346" s="291" t="s">
        <v>244</v>
      </c>
      <c r="E346" s="307">
        <v>3.8610000000000002</v>
      </c>
      <c r="F346" s="307">
        <v>4.7210000000000001</v>
      </c>
      <c r="G346" s="272">
        <v>3.841348</v>
      </c>
      <c r="H346" s="307">
        <v>5.8975239999999998</v>
      </c>
      <c r="I346" s="273">
        <v>0.13880000000000001</v>
      </c>
      <c r="J346" s="273">
        <v>9.8400000000000001E-2</v>
      </c>
      <c r="K346" s="272">
        <v>47.977642000000003</v>
      </c>
      <c r="L346" s="332"/>
      <c r="M346" s="399"/>
    </row>
    <row r="347" spans="2:13">
      <c r="B347" s="335">
        <v>12</v>
      </c>
      <c r="C347" s="320"/>
      <c r="D347" s="299" t="s">
        <v>245</v>
      </c>
      <c r="E347" s="309">
        <v>3.8679999999999999</v>
      </c>
      <c r="F347" s="309">
        <v>4.7350000000000003</v>
      </c>
      <c r="G347" s="317">
        <v>3.8457669999999999</v>
      </c>
      <c r="H347" s="309">
        <v>5.9166160000000003</v>
      </c>
      <c r="I347" s="318">
        <v>0.13869999999999999</v>
      </c>
      <c r="J347" s="318">
        <v>9.8599999999999993E-2</v>
      </c>
      <c r="K347" s="317">
        <v>48.022311999999999</v>
      </c>
      <c r="L347" s="321"/>
      <c r="M347" s="399"/>
    </row>
    <row r="348" spans="2:13">
      <c r="B348" s="335">
        <v>13</v>
      </c>
      <c r="C348" s="320"/>
      <c r="D348" s="299" t="s">
        <v>227</v>
      </c>
      <c r="E348" s="309">
        <v>3.8959999999999999</v>
      </c>
      <c r="F348" s="309">
        <v>4.6760000000000002</v>
      </c>
      <c r="G348" s="317">
        <v>3.770553</v>
      </c>
      <c r="H348" s="309">
        <v>5.8398539999999999</v>
      </c>
      <c r="I348" s="318">
        <v>0.1386</v>
      </c>
      <c r="J348" s="318">
        <v>9.8900000000000002E-2</v>
      </c>
      <c r="K348" s="317">
        <v>47.280081000000003</v>
      </c>
      <c r="L348" s="321"/>
      <c r="M348" s="399"/>
    </row>
    <row r="349" spans="2:13">
      <c r="B349" s="335">
        <v>14</v>
      </c>
      <c r="C349" s="320"/>
      <c r="D349" s="299" t="s">
        <v>228</v>
      </c>
      <c r="E349" s="309">
        <v>3.8570000000000002</v>
      </c>
      <c r="F349" s="309">
        <v>4.6500000000000004</v>
      </c>
      <c r="G349" s="317">
        <v>3.7875019999999999</v>
      </c>
      <c r="H349" s="309">
        <v>5.7899279999999997</v>
      </c>
      <c r="I349" s="318">
        <v>0.13850000000000001</v>
      </c>
      <c r="J349" s="318">
        <v>9.9099999999999994E-2</v>
      </c>
      <c r="K349" s="317">
        <v>46.922300999999997</v>
      </c>
      <c r="L349" s="321"/>
      <c r="M349" s="399"/>
    </row>
    <row r="350" spans="2:13" ht="17.25" thickBot="1">
      <c r="B350" s="336">
        <v>15</v>
      </c>
      <c r="C350" s="323"/>
      <c r="D350" s="293" t="s">
        <v>246</v>
      </c>
      <c r="E350" s="311">
        <v>3.8410000000000002</v>
      </c>
      <c r="F350" s="311">
        <v>4.5490000000000004</v>
      </c>
      <c r="G350" s="278">
        <v>3.7206700000000001</v>
      </c>
      <c r="H350" s="311">
        <v>5.6744510000000004</v>
      </c>
      <c r="I350" s="279">
        <v>0.13850000000000001</v>
      </c>
      <c r="J350" s="279">
        <v>9.8900000000000002E-2</v>
      </c>
      <c r="K350" s="278">
        <v>45.995956</v>
      </c>
      <c r="L350" s="324"/>
      <c r="M350" s="399"/>
    </row>
    <row r="351" spans="2:13" ht="17.25" thickBot="1">
      <c r="B351" s="337"/>
      <c r="C351" s="326"/>
      <c r="D351" s="327" t="s">
        <v>463</v>
      </c>
      <c r="E351" s="328">
        <f>AVERAGE(E346:E350)</f>
        <v>3.8646000000000003</v>
      </c>
      <c r="F351" s="328">
        <f t="shared" ref="F351:K351" si="98">AVERAGE(F346:F350)</f>
        <v>4.6661999999999999</v>
      </c>
      <c r="G351" s="328">
        <f t="shared" si="98"/>
        <v>3.7931680000000001</v>
      </c>
      <c r="H351" s="328">
        <f t="shared" si="98"/>
        <v>5.8236746000000004</v>
      </c>
      <c r="I351" s="329">
        <f t="shared" si="98"/>
        <v>0.13862000000000002</v>
      </c>
      <c r="J351" s="329">
        <f t="shared" si="98"/>
        <v>9.8780000000000007E-2</v>
      </c>
      <c r="K351" s="330">
        <f t="shared" si="98"/>
        <v>47.239658400000003</v>
      </c>
      <c r="L351" s="331"/>
      <c r="M351" s="399"/>
    </row>
    <row r="352" spans="2:13">
      <c r="B352" s="333">
        <v>16</v>
      </c>
      <c r="C352" s="271" t="s">
        <v>258</v>
      </c>
      <c r="D352" s="291" t="s">
        <v>247</v>
      </c>
      <c r="E352" s="307">
        <v>3.8639999999999999</v>
      </c>
      <c r="F352" s="307">
        <v>4.7510000000000003</v>
      </c>
      <c r="G352" s="272">
        <v>3.8627570000000002</v>
      </c>
      <c r="H352" s="272">
        <v>5.9462279999999996</v>
      </c>
      <c r="I352" s="273">
        <v>0.13880000000000001</v>
      </c>
      <c r="J352" s="273">
        <v>9.8400000000000001E-2</v>
      </c>
      <c r="K352" s="272">
        <v>48.282519999999998</v>
      </c>
      <c r="L352" s="332"/>
      <c r="M352" s="399"/>
    </row>
    <row r="353" spans="2:13">
      <c r="B353" s="335">
        <v>17</v>
      </c>
      <c r="C353" s="320"/>
      <c r="D353" s="299" t="s">
        <v>248</v>
      </c>
      <c r="E353" s="309">
        <v>3.8780000000000001</v>
      </c>
      <c r="F353" s="309">
        <v>4.7590000000000003</v>
      </c>
      <c r="G353" s="317">
        <v>3.8552930000000001</v>
      </c>
      <c r="H353" s="317">
        <v>5.952083</v>
      </c>
      <c r="I353" s="318">
        <v>0.13880000000000001</v>
      </c>
      <c r="J353" s="318">
        <v>9.8599999999999993E-2</v>
      </c>
      <c r="K353" s="317">
        <v>48.265720000000002</v>
      </c>
      <c r="L353" s="321"/>
      <c r="M353" s="399"/>
    </row>
    <row r="354" spans="2:13">
      <c r="B354" s="335">
        <v>18</v>
      </c>
      <c r="C354" s="320"/>
      <c r="D354" s="299" t="s">
        <v>232</v>
      </c>
      <c r="E354" s="309">
        <v>4.0220000000000002</v>
      </c>
      <c r="F354" s="309">
        <v>4.6920000000000002</v>
      </c>
      <c r="G354" s="317">
        <v>3.6649280000000002</v>
      </c>
      <c r="H354" s="317">
        <v>5.8653360000000001</v>
      </c>
      <c r="I354" s="318">
        <v>0.1386</v>
      </c>
      <c r="J354" s="318">
        <v>9.8799999999999999E-2</v>
      </c>
      <c r="K354" s="317">
        <v>47.489879000000002</v>
      </c>
      <c r="L354" s="321"/>
      <c r="M354" s="399"/>
    </row>
    <row r="355" spans="2:13">
      <c r="B355" s="335">
        <v>19</v>
      </c>
      <c r="C355" s="320"/>
      <c r="D355" s="299" t="s">
        <v>233</v>
      </c>
      <c r="E355" s="309">
        <v>3.859</v>
      </c>
      <c r="F355" s="309">
        <v>4.6840000000000002</v>
      </c>
      <c r="G355" s="317">
        <v>3.813218</v>
      </c>
      <c r="H355" s="317">
        <v>5.8427639999999998</v>
      </c>
      <c r="I355" s="318">
        <v>0.13850000000000001</v>
      </c>
      <c r="J355" s="318">
        <v>9.9000000000000005E-2</v>
      </c>
      <c r="K355" s="317">
        <v>47.313130999999998</v>
      </c>
      <c r="L355" s="321"/>
      <c r="M355" s="399"/>
    </row>
    <row r="356" spans="2:13" ht="17.25" thickBot="1">
      <c r="B356" s="336">
        <v>20</v>
      </c>
      <c r="C356" s="323"/>
      <c r="D356" s="293" t="s">
        <v>249</v>
      </c>
      <c r="E356" s="311">
        <v>3.8650000000000002</v>
      </c>
      <c r="F356" s="311">
        <v>4.585</v>
      </c>
      <c r="G356" s="278">
        <v>3.7268279999999998</v>
      </c>
      <c r="H356" s="278">
        <v>5.7245039999999996</v>
      </c>
      <c r="I356" s="279">
        <v>0.1386</v>
      </c>
      <c r="J356" s="279">
        <v>9.8900000000000002E-2</v>
      </c>
      <c r="K356" s="278">
        <v>46.359960000000001</v>
      </c>
      <c r="L356" s="324"/>
      <c r="M356" s="399"/>
    </row>
    <row r="357" spans="2:13" ht="17.25" thickBot="1">
      <c r="B357" s="337"/>
      <c r="C357" s="326"/>
      <c r="D357" s="327" t="s">
        <v>463</v>
      </c>
      <c r="E357" s="328">
        <f>AVERAGE(E352:E356)</f>
        <v>3.8975999999999997</v>
      </c>
      <c r="F357" s="328">
        <f t="shared" ref="F357:K357" si="99">AVERAGE(F352:F356)</f>
        <v>4.6942000000000004</v>
      </c>
      <c r="G357" s="328">
        <f t="shared" si="99"/>
        <v>3.7846048000000003</v>
      </c>
      <c r="H357" s="328">
        <f t="shared" si="99"/>
        <v>5.8661829999999995</v>
      </c>
      <c r="I357" s="329">
        <f t="shared" si="99"/>
        <v>0.13866000000000001</v>
      </c>
      <c r="J357" s="329">
        <f t="shared" si="99"/>
        <v>9.8740000000000008E-2</v>
      </c>
      <c r="K357" s="328">
        <f t="shared" si="99"/>
        <v>47.542242000000002</v>
      </c>
      <c r="L357" s="331"/>
      <c r="M357" s="399"/>
    </row>
    <row r="358" spans="2:13">
      <c r="B358" s="333">
        <v>21</v>
      </c>
      <c r="C358" s="271" t="s">
        <v>260</v>
      </c>
      <c r="D358" s="291" t="s">
        <v>250</v>
      </c>
      <c r="E358" s="307">
        <v>3.8570000000000002</v>
      </c>
      <c r="F358" s="307">
        <v>4.6929999999999996</v>
      </c>
      <c r="G358" s="272">
        <v>3.8225259999999999</v>
      </c>
      <c r="H358" s="307">
        <v>5.8627029999999998</v>
      </c>
      <c r="I358" s="273">
        <v>0.1391</v>
      </c>
      <c r="J358" s="273">
        <v>9.8500000000000004E-2</v>
      </c>
      <c r="K358" s="272">
        <v>47.644669999999998</v>
      </c>
      <c r="L358" s="332"/>
      <c r="M358" s="399"/>
    </row>
    <row r="359" spans="2:13">
      <c r="B359" s="335">
        <v>22</v>
      </c>
      <c r="C359" s="320"/>
      <c r="D359" s="299" t="s">
        <v>251</v>
      </c>
      <c r="E359" s="309">
        <v>3.859</v>
      </c>
      <c r="F359" s="309">
        <v>4.6959999999999997</v>
      </c>
      <c r="G359" s="317">
        <v>3.8229869999999999</v>
      </c>
      <c r="H359" s="309">
        <v>5.856649</v>
      </c>
      <c r="I359" s="318">
        <v>0.13900000000000001</v>
      </c>
      <c r="J359" s="318">
        <v>9.8599999999999993E-2</v>
      </c>
      <c r="K359" s="317">
        <v>47.626775000000002</v>
      </c>
      <c r="L359" s="321"/>
      <c r="M359" s="399"/>
    </row>
    <row r="360" spans="2:13">
      <c r="B360" s="335">
        <v>23</v>
      </c>
      <c r="C360" s="320"/>
      <c r="D360" s="299" t="s">
        <v>237</v>
      </c>
      <c r="E360" s="309">
        <v>3.8559999999999999</v>
      </c>
      <c r="F360" s="309">
        <v>4.6239999999999997</v>
      </c>
      <c r="G360" s="317">
        <v>3.7673009999999998</v>
      </c>
      <c r="H360" s="309">
        <v>5.7651180000000002</v>
      </c>
      <c r="I360" s="318">
        <v>0.13900000000000001</v>
      </c>
      <c r="J360" s="318">
        <v>9.8699999999999996E-2</v>
      </c>
      <c r="K360" s="317">
        <v>46.849037000000003</v>
      </c>
      <c r="L360" s="321"/>
      <c r="M360" s="399"/>
    </row>
    <row r="361" spans="2:13">
      <c r="B361" s="335">
        <v>24</v>
      </c>
      <c r="C361" s="320"/>
      <c r="D361" s="299" t="s">
        <v>238</v>
      </c>
      <c r="E361" s="309">
        <v>3.8479999999999999</v>
      </c>
      <c r="F361" s="309">
        <v>4.6079999999999997</v>
      </c>
      <c r="G361" s="317">
        <v>3.76207</v>
      </c>
      <c r="H361" s="309">
        <v>5.74411</v>
      </c>
      <c r="I361" s="318">
        <v>0.13900000000000001</v>
      </c>
      <c r="J361" s="318">
        <v>9.8900000000000002E-2</v>
      </c>
      <c r="K361" s="317">
        <v>46.592517999999998</v>
      </c>
      <c r="L361" s="321"/>
      <c r="M361" s="399"/>
    </row>
    <row r="362" spans="2:13" ht="17.25" thickBot="1">
      <c r="B362" s="336">
        <v>25</v>
      </c>
      <c r="C362" s="323"/>
      <c r="D362" s="293" t="s">
        <v>252</v>
      </c>
      <c r="E362" s="311">
        <v>3.835</v>
      </c>
      <c r="F362" s="311">
        <v>4.5289999999999999</v>
      </c>
      <c r="G362" s="278">
        <v>3.7101069999999998</v>
      </c>
      <c r="H362" s="311">
        <v>5.6497529999999996</v>
      </c>
      <c r="I362" s="279">
        <v>0.13900000000000001</v>
      </c>
      <c r="J362" s="279">
        <v>9.8799999999999999E-2</v>
      </c>
      <c r="K362" s="278">
        <v>45.840080999999998</v>
      </c>
      <c r="L362" s="324"/>
      <c r="M362" s="399"/>
    </row>
    <row r="363" spans="2:13" ht="17.25" thickBot="1">
      <c r="B363" s="339" t="s">
        <v>464</v>
      </c>
      <c r="C363" s="340"/>
      <c r="D363" s="341" t="s">
        <v>465</v>
      </c>
      <c r="E363" s="342">
        <f>AVERAGE(E358:E362)</f>
        <v>3.851</v>
      </c>
      <c r="F363" s="342">
        <f t="shared" ref="F363:K363" si="100">AVERAGE(F358:F362)</f>
        <v>4.63</v>
      </c>
      <c r="G363" s="342">
        <f t="shared" si="100"/>
        <v>3.7769982</v>
      </c>
      <c r="H363" s="342">
        <f t="shared" si="100"/>
        <v>5.7756666000000001</v>
      </c>
      <c r="I363" s="343">
        <f t="shared" si="100"/>
        <v>0.13902</v>
      </c>
      <c r="J363" s="343">
        <f t="shared" si="100"/>
        <v>9.8699999999999996E-2</v>
      </c>
      <c r="K363" s="342">
        <f t="shared" si="100"/>
        <v>46.910616200000007</v>
      </c>
      <c r="L363" s="344"/>
      <c r="M363" s="399"/>
    </row>
    <row r="364" spans="2:13">
      <c r="B364" s="333"/>
      <c r="C364" s="345"/>
      <c r="D364" s="291" t="s">
        <v>466</v>
      </c>
      <c r="E364" s="346">
        <f>MEDIAN(E334:E338,E340:E344,E346:E350,E352:E356,E358:E362)</f>
        <v>3.8570000000000002</v>
      </c>
      <c r="F364" s="346">
        <f t="shared" ref="F364:K364" si="101">MEDIAN(F334:F338,F340:F344,F346:F350,F352:F356,F358:F362)</f>
        <v>4.585</v>
      </c>
      <c r="G364" s="346">
        <f t="shared" si="101"/>
        <v>3.7206700000000001</v>
      </c>
      <c r="H364" s="346">
        <f t="shared" si="101"/>
        <v>5.7245039999999996</v>
      </c>
      <c r="I364" s="347">
        <f t="shared" si="101"/>
        <v>0.1389</v>
      </c>
      <c r="J364" s="347">
        <f t="shared" si="101"/>
        <v>9.8799999999999999E-2</v>
      </c>
      <c r="K364" s="348">
        <f t="shared" si="101"/>
        <v>46.359960000000001</v>
      </c>
      <c r="L364" s="332"/>
      <c r="M364" s="399"/>
    </row>
    <row r="365" spans="2:13">
      <c r="B365" s="335"/>
      <c r="C365" s="320"/>
      <c r="D365" s="299" t="s">
        <v>467</v>
      </c>
      <c r="E365" s="349">
        <f>AVERAGE(E334:E338,E340:E344,E346:E350,E352:E356,E358:E362)</f>
        <v>3.865359999999999</v>
      </c>
      <c r="F365" s="349">
        <f t="shared" ref="F365:K365" si="102">AVERAGE(F334:F338,F340:F344,F346:F350,F352:F356,F358:F362)</f>
        <v>4.5935999999999986</v>
      </c>
      <c r="G365" s="349">
        <f t="shared" si="102"/>
        <v>3.7336457200000002</v>
      </c>
      <c r="H365" s="349">
        <f t="shared" si="102"/>
        <v>5.7300176</v>
      </c>
      <c r="I365" s="350">
        <f t="shared" si="102"/>
        <v>0.138852</v>
      </c>
      <c r="J365" s="350">
        <f t="shared" si="102"/>
        <v>9.8803999999999975E-2</v>
      </c>
      <c r="K365" s="351">
        <f t="shared" si="102"/>
        <v>46.493853079999987</v>
      </c>
      <c r="L365" s="321"/>
      <c r="M365" s="399"/>
    </row>
    <row r="366" spans="2:13">
      <c r="B366" s="335"/>
      <c r="C366" s="320"/>
      <c r="D366" s="299" t="s">
        <v>199</v>
      </c>
      <c r="E366" s="349">
        <f>MAX(E334:E338,E340:E344,E346:E350,E352:E356,E358:E362)</f>
        <v>4.0220000000000002</v>
      </c>
      <c r="F366" s="349">
        <f t="shared" ref="F366:K366" si="103">MAX(F334:F338,F340:F344,F346:F350,F352:F356,F358:F362)</f>
        <v>4.7590000000000003</v>
      </c>
      <c r="G366" s="349">
        <f t="shared" si="103"/>
        <v>3.8627570000000002</v>
      </c>
      <c r="H366" s="349">
        <f t="shared" si="103"/>
        <v>5.952083</v>
      </c>
      <c r="I366" s="350">
        <f t="shared" si="103"/>
        <v>0.13919999999999999</v>
      </c>
      <c r="J366" s="350">
        <f t="shared" si="103"/>
        <v>9.9199999999999997E-2</v>
      </c>
      <c r="K366" s="351">
        <f t="shared" si="103"/>
        <v>48.282519999999998</v>
      </c>
      <c r="L366" s="321"/>
      <c r="M366" s="399"/>
    </row>
    <row r="367" spans="2:13">
      <c r="B367" s="335"/>
      <c r="C367" s="320"/>
      <c r="D367" s="299" t="s">
        <v>200</v>
      </c>
      <c r="E367" s="349">
        <f>MIN(E334:E338,E340:E344,E346:E350,E352:E356,E358:E362)</f>
        <v>3.8239999999999998</v>
      </c>
      <c r="F367" s="349">
        <f t="shared" ref="F367:K367" si="104">MIN(F334:F338,F340:F344,F346:F350,F352:F356,F358:F362)</f>
        <v>4.3380000000000001</v>
      </c>
      <c r="G367" s="349">
        <f t="shared" si="104"/>
        <v>3.5212119999999998</v>
      </c>
      <c r="H367" s="349">
        <f t="shared" si="104"/>
        <v>5.3937099999999996</v>
      </c>
      <c r="I367" s="350">
        <f t="shared" si="104"/>
        <v>0.13850000000000001</v>
      </c>
      <c r="J367" s="350">
        <f t="shared" si="104"/>
        <v>9.8400000000000001E-2</v>
      </c>
      <c r="K367" s="351">
        <f t="shared" si="104"/>
        <v>43.729838999999998</v>
      </c>
      <c r="L367" s="321"/>
      <c r="M367" s="399"/>
    </row>
    <row r="368" spans="2:13">
      <c r="B368" s="335"/>
      <c r="C368" s="320"/>
      <c r="D368" s="299" t="s">
        <v>201</v>
      </c>
      <c r="E368" s="349">
        <f>E366-E367</f>
        <v>0.1980000000000004</v>
      </c>
      <c r="F368" s="349">
        <f t="shared" ref="F368:K368" si="105">F366-F367</f>
        <v>0.42100000000000026</v>
      </c>
      <c r="G368" s="349">
        <f t="shared" si="105"/>
        <v>0.34154500000000043</v>
      </c>
      <c r="H368" s="349">
        <f t="shared" si="105"/>
        <v>0.55837300000000045</v>
      </c>
      <c r="I368" s="350">
        <f t="shared" si="105"/>
        <v>6.9999999999997842E-4</v>
      </c>
      <c r="J368" s="350">
        <f t="shared" si="105"/>
        <v>7.9999999999999516E-4</v>
      </c>
      <c r="K368" s="349">
        <f t="shared" si="105"/>
        <v>4.5526809999999998</v>
      </c>
      <c r="L368" s="321"/>
      <c r="M368" s="399"/>
    </row>
    <row r="369" spans="2:13">
      <c r="B369" s="335"/>
      <c r="C369" s="320"/>
      <c r="D369" s="299" t="s">
        <v>202</v>
      </c>
      <c r="E369" s="349">
        <f>STDEVA(E334:E338,E340:E344,E346:E350,E352:E356,E358:E362)</f>
        <v>4.2128652166112973E-2</v>
      </c>
      <c r="F369" s="349">
        <f t="shared" ref="F369:K369" si="106">STDEVA(F334:F338,F340:F344,F346:F350,F352:F356,F358:F362)</f>
        <v>0.11074445057578887</v>
      </c>
      <c r="G369" s="349">
        <f t="shared" si="106"/>
        <v>8.8423170353571154E-2</v>
      </c>
      <c r="H369" s="349">
        <f t="shared" si="106"/>
        <v>0.14596747115025319</v>
      </c>
      <c r="I369" s="350">
        <f t="shared" si="106"/>
        <v>2.1039645117412517E-4</v>
      </c>
      <c r="J369" s="350">
        <f t="shared" si="106"/>
        <v>2.130727575266256E-4</v>
      </c>
      <c r="K369" s="349">
        <f t="shared" si="106"/>
        <v>1.1918237549371178</v>
      </c>
      <c r="L369" s="321"/>
      <c r="M369" s="399"/>
    </row>
    <row r="370" spans="2:13" ht="17.25" thickBot="1">
      <c r="B370" s="336"/>
      <c r="C370" s="323"/>
      <c r="D370" s="293" t="s">
        <v>203</v>
      </c>
      <c r="E370" s="352">
        <f>E369*3</f>
        <v>0.12638595649833892</v>
      </c>
      <c r="F370" s="352">
        <f t="shared" ref="F370:K370" si="107">F369*3</f>
        <v>0.33223335172736662</v>
      </c>
      <c r="G370" s="352">
        <f t="shared" si="107"/>
        <v>0.26526951106071345</v>
      </c>
      <c r="H370" s="352">
        <f t="shared" si="107"/>
        <v>0.43790241345075953</v>
      </c>
      <c r="I370" s="353">
        <f t="shared" si="107"/>
        <v>6.3118935352237554E-4</v>
      </c>
      <c r="J370" s="353">
        <f t="shared" si="107"/>
        <v>6.3921827257987685E-4</v>
      </c>
      <c r="K370" s="352">
        <f t="shared" si="107"/>
        <v>3.5754712648113536</v>
      </c>
      <c r="L370" s="324"/>
      <c r="M370" s="399"/>
    </row>
    <row r="373" spans="2:13">
      <c r="B373" s="240" t="s">
        <v>262</v>
      </c>
      <c r="C373" s="240"/>
      <c r="E373" s="240"/>
      <c r="F373" s="240"/>
      <c r="G373" s="240"/>
      <c r="H373" s="240"/>
      <c r="I373" s="240"/>
      <c r="J373" s="240"/>
      <c r="K373" s="240"/>
    </row>
    <row r="374" spans="2:13" ht="17.25" thickBot="1">
      <c r="B374" s="240" t="s">
        <v>469</v>
      </c>
      <c r="C374" s="240"/>
      <c r="E374" s="240"/>
      <c r="F374" s="240"/>
      <c r="G374" s="240"/>
      <c r="H374" s="240"/>
      <c r="I374" s="240"/>
      <c r="J374" s="240"/>
      <c r="K374" s="240"/>
    </row>
    <row r="375" spans="2:13" ht="17.25" thickBot="1">
      <c r="B375" s="313" t="s">
        <v>11</v>
      </c>
      <c r="C375" s="250" t="s">
        <v>0</v>
      </c>
      <c r="D375" s="250" t="s">
        <v>1</v>
      </c>
      <c r="E375" s="250" t="s">
        <v>2</v>
      </c>
      <c r="F375" s="250" t="s">
        <v>3</v>
      </c>
      <c r="G375" s="250" t="s">
        <v>192</v>
      </c>
      <c r="H375" s="250" t="s">
        <v>16</v>
      </c>
      <c r="I375" s="250" t="s">
        <v>6</v>
      </c>
      <c r="J375" s="251" t="s">
        <v>7</v>
      </c>
      <c r="K375" s="252" t="s">
        <v>8</v>
      </c>
      <c r="L375" s="254" t="s">
        <v>470</v>
      </c>
      <c r="M375" s="404"/>
    </row>
    <row r="376" spans="2:13">
      <c r="B376" s="314">
        <v>1</v>
      </c>
      <c r="C376" s="271" t="s">
        <v>205</v>
      </c>
      <c r="D376" s="291" t="s">
        <v>213</v>
      </c>
      <c r="E376" s="307">
        <v>3.8679999999999999</v>
      </c>
      <c r="F376" s="307">
        <v>5.2430000000000003</v>
      </c>
      <c r="G376" s="272">
        <v>4.2583650000000004</v>
      </c>
      <c r="H376" s="307">
        <v>5.3526429999999996</v>
      </c>
      <c r="I376" s="273">
        <v>0.13270000000000001</v>
      </c>
      <c r="J376" s="273">
        <v>0.1336</v>
      </c>
      <c r="K376" s="272">
        <v>39.244011999999998</v>
      </c>
      <c r="L376" s="275" t="s">
        <v>474</v>
      </c>
      <c r="M376" s="397"/>
    </row>
    <row r="377" spans="2:13">
      <c r="B377" s="315">
        <v>2</v>
      </c>
      <c r="C377" s="316"/>
      <c r="D377" s="299" t="s">
        <v>214</v>
      </c>
      <c r="E377" s="309">
        <v>3.8730000000000002</v>
      </c>
      <c r="F377" s="309">
        <v>5.2649999999999997</v>
      </c>
      <c r="G377" s="317">
        <v>4.2707129999999998</v>
      </c>
      <c r="H377" s="309">
        <v>5.447343</v>
      </c>
      <c r="I377" s="318">
        <v>0.13239999999999999</v>
      </c>
      <c r="J377" s="318">
        <v>0.13159999999999999</v>
      </c>
      <c r="K377" s="317">
        <v>40.007598999999999</v>
      </c>
      <c r="L377" s="319" t="s">
        <v>211</v>
      </c>
      <c r="M377" s="398"/>
    </row>
    <row r="378" spans="2:13">
      <c r="B378" s="315">
        <v>3</v>
      </c>
      <c r="C378" s="320"/>
      <c r="D378" s="299" t="s">
        <v>217</v>
      </c>
      <c r="E378" s="309">
        <v>3.875</v>
      </c>
      <c r="F378" s="309">
        <v>5.2560000000000002</v>
      </c>
      <c r="G378" s="317">
        <v>4.2612120000000004</v>
      </c>
      <c r="H378" s="309">
        <v>5.4514060000000004</v>
      </c>
      <c r="I378" s="318">
        <v>0.13250000000000001</v>
      </c>
      <c r="J378" s="318">
        <v>0.1313</v>
      </c>
      <c r="K378" s="317">
        <v>40.030465</v>
      </c>
      <c r="L378" s="356" t="s">
        <v>254</v>
      </c>
      <c r="M378" s="400"/>
    </row>
    <row r="379" spans="2:13">
      <c r="B379" s="315">
        <v>4</v>
      </c>
      <c r="C379" s="320"/>
      <c r="D379" s="299" t="s">
        <v>218</v>
      </c>
      <c r="E379" s="309">
        <v>3.8719999999999999</v>
      </c>
      <c r="F379" s="309">
        <v>5.2249999999999996</v>
      </c>
      <c r="G379" s="317">
        <v>4.2393619999999999</v>
      </c>
      <c r="H379" s="309">
        <v>5.3957480000000002</v>
      </c>
      <c r="I379" s="318">
        <v>0.13250000000000001</v>
      </c>
      <c r="J379" s="318">
        <v>0.13159999999999999</v>
      </c>
      <c r="K379" s="317">
        <v>39.703646999999997</v>
      </c>
      <c r="L379" s="356" t="s">
        <v>477</v>
      </c>
      <c r="M379" s="400"/>
    </row>
    <row r="380" spans="2:13" ht="17.25" thickBot="1">
      <c r="B380" s="322">
        <v>5</v>
      </c>
      <c r="C380" s="323"/>
      <c r="D380" s="354" t="s">
        <v>240</v>
      </c>
      <c r="E380" s="311">
        <v>3.8650000000000002</v>
      </c>
      <c r="F380" s="311">
        <v>5.1680000000000001</v>
      </c>
      <c r="G380" s="278">
        <v>4.2007079999999997</v>
      </c>
      <c r="H380" s="311">
        <v>5.3342840000000002</v>
      </c>
      <c r="I380" s="279">
        <v>0.1326</v>
      </c>
      <c r="J380" s="279">
        <v>0.1318</v>
      </c>
      <c r="K380" s="278">
        <v>39.210926000000001</v>
      </c>
      <c r="L380" s="324"/>
      <c r="M380" s="399"/>
    </row>
    <row r="381" spans="2:13" ht="17.25" thickBot="1">
      <c r="B381" s="325"/>
      <c r="C381" s="326"/>
      <c r="D381" s="327" t="s">
        <v>463</v>
      </c>
      <c r="E381" s="328">
        <f>AVERAGE(E376:E380)</f>
        <v>3.8706000000000005</v>
      </c>
      <c r="F381" s="328">
        <f t="shared" ref="F381:K381" si="108">AVERAGE(F376:F380)</f>
        <v>5.2313999999999989</v>
      </c>
      <c r="G381" s="328">
        <f t="shared" si="108"/>
        <v>4.2460719999999998</v>
      </c>
      <c r="H381" s="328">
        <f t="shared" si="108"/>
        <v>5.396284800000001</v>
      </c>
      <c r="I381" s="329">
        <f t="shared" si="108"/>
        <v>0.13254000000000002</v>
      </c>
      <c r="J381" s="329">
        <f t="shared" si="108"/>
        <v>0.13198000000000001</v>
      </c>
      <c r="K381" s="330">
        <f t="shared" si="108"/>
        <v>39.639329799999999</v>
      </c>
      <c r="L381" s="331"/>
      <c r="M381" s="399"/>
    </row>
    <row r="382" spans="2:13">
      <c r="B382" s="314">
        <v>6</v>
      </c>
      <c r="C382" s="271" t="s">
        <v>205</v>
      </c>
      <c r="D382" s="291" t="s">
        <v>241</v>
      </c>
      <c r="E382" s="307">
        <v>3.8769999999999998</v>
      </c>
      <c r="F382" s="307">
        <v>5.3369999999999997</v>
      </c>
      <c r="G382" s="272">
        <v>4.324649</v>
      </c>
      <c r="H382" s="307">
        <v>5.5426900000000003</v>
      </c>
      <c r="I382" s="273">
        <v>0.1323</v>
      </c>
      <c r="J382" s="273">
        <v>0.13100000000000001</v>
      </c>
      <c r="K382" s="272">
        <v>40.740457999999997</v>
      </c>
      <c r="L382" s="332"/>
      <c r="M382" s="399"/>
    </row>
    <row r="383" spans="2:13">
      <c r="B383" s="315">
        <v>7</v>
      </c>
      <c r="C383" s="320"/>
      <c r="D383" s="299" t="s">
        <v>242</v>
      </c>
      <c r="E383" s="309">
        <v>3.8849999999999998</v>
      </c>
      <c r="F383" s="309">
        <v>5.3490000000000002</v>
      </c>
      <c r="G383" s="317">
        <v>4.3254479999999997</v>
      </c>
      <c r="H383" s="309">
        <v>5.5907790000000004</v>
      </c>
      <c r="I383" s="318">
        <v>0.13220000000000001</v>
      </c>
      <c r="J383" s="318">
        <v>0.12989999999999999</v>
      </c>
      <c r="K383" s="317">
        <v>41.177829000000003</v>
      </c>
      <c r="L383" s="321"/>
      <c r="M383" s="399"/>
    </row>
    <row r="384" spans="2:13">
      <c r="B384" s="315">
        <v>8</v>
      </c>
      <c r="C384" s="320"/>
      <c r="D384" s="299" t="s">
        <v>222</v>
      </c>
      <c r="E384" s="309">
        <v>3.8860000000000001</v>
      </c>
      <c r="F384" s="309">
        <v>5.3419999999999996</v>
      </c>
      <c r="G384" s="317">
        <v>4.318676</v>
      </c>
      <c r="H384" s="309">
        <v>5.5793369999999998</v>
      </c>
      <c r="I384" s="318">
        <v>0.13220000000000001</v>
      </c>
      <c r="J384" s="318">
        <v>0.1303</v>
      </c>
      <c r="K384" s="317">
        <v>40.997698</v>
      </c>
      <c r="L384" s="321"/>
      <c r="M384" s="399"/>
    </row>
    <row r="385" spans="2:13">
      <c r="B385" s="315">
        <v>9</v>
      </c>
      <c r="C385" s="320"/>
      <c r="D385" s="299" t="s">
        <v>223</v>
      </c>
      <c r="E385" s="309">
        <v>3.8839999999999999</v>
      </c>
      <c r="F385" s="309">
        <v>5.3079999999999998</v>
      </c>
      <c r="G385" s="317">
        <v>4.2933979999999998</v>
      </c>
      <c r="H385" s="309">
        <v>5.4964789999999999</v>
      </c>
      <c r="I385" s="318">
        <v>0.13239999999999999</v>
      </c>
      <c r="J385" s="318">
        <v>0.1313</v>
      </c>
      <c r="K385" s="317">
        <v>40.426504000000001</v>
      </c>
      <c r="L385" s="321"/>
      <c r="M385" s="399"/>
    </row>
    <row r="386" spans="2:13" ht="17.25" thickBot="1">
      <c r="B386" s="322">
        <v>10</v>
      </c>
      <c r="C386" s="323"/>
      <c r="D386" s="293" t="s">
        <v>243</v>
      </c>
      <c r="E386" s="311">
        <v>3.879</v>
      </c>
      <c r="F386" s="311">
        <v>5.2770000000000001</v>
      </c>
      <c r="G386" s="278">
        <v>4.2738259999999997</v>
      </c>
      <c r="H386" s="311">
        <v>5.4487819999999996</v>
      </c>
      <c r="I386" s="279">
        <v>0.1326</v>
      </c>
      <c r="J386" s="279">
        <v>0.13159999999999999</v>
      </c>
      <c r="K386" s="278">
        <v>40.098784000000002</v>
      </c>
      <c r="L386" s="324"/>
      <c r="M386" s="399"/>
    </row>
    <row r="387" spans="2:13" ht="17.25" thickBot="1">
      <c r="B387" s="325" t="s">
        <v>464</v>
      </c>
      <c r="C387" s="326"/>
      <c r="D387" s="327" t="s">
        <v>463</v>
      </c>
      <c r="E387" s="328">
        <f>AVERAGE(E382:E386)</f>
        <v>3.8822000000000001</v>
      </c>
      <c r="F387" s="328">
        <f t="shared" ref="F387:K387" si="109">AVERAGE(F382:F386)</f>
        <v>5.3225999999999996</v>
      </c>
      <c r="G387" s="328">
        <f t="shared" si="109"/>
        <v>4.3071994</v>
      </c>
      <c r="H387" s="328">
        <f t="shared" si="109"/>
        <v>5.5316134000000003</v>
      </c>
      <c r="I387" s="329">
        <f t="shared" si="109"/>
        <v>0.13233999999999999</v>
      </c>
      <c r="J387" s="329">
        <f t="shared" si="109"/>
        <v>0.13081999999999999</v>
      </c>
      <c r="K387" s="330">
        <f t="shared" si="109"/>
        <v>40.6882546</v>
      </c>
      <c r="L387" s="331"/>
      <c r="M387" s="399"/>
    </row>
    <row r="388" spans="2:13">
      <c r="B388" s="333">
        <v>11</v>
      </c>
      <c r="C388" s="334" t="s">
        <v>205</v>
      </c>
      <c r="D388" s="291" t="s">
        <v>244</v>
      </c>
      <c r="E388" s="307">
        <v>3.895</v>
      </c>
      <c r="F388" s="307">
        <v>4.7140000000000004</v>
      </c>
      <c r="G388" s="272">
        <v>3.802171</v>
      </c>
      <c r="H388" s="307">
        <v>5.8783690000000002</v>
      </c>
      <c r="I388" s="273">
        <v>0.13919999999999999</v>
      </c>
      <c r="J388" s="273">
        <v>9.8500000000000004E-2</v>
      </c>
      <c r="K388" s="272">
        <v>47.857868000000003</v>
      </c>
      <c r="L388" s="332"/>
      <c r="M388" s="399"/>
    </row>
    <row r="389" spans="2:13">
      <c r="B389" s="335">
        <v>12</v>
      </c>
      <c r="C389" s="320"/>
      <c r="D389" s="299" t="s">
        <v>245</v>
      </c>
      <c r="E389" s="309">
        <v>3.903</v>
      </c>
      <c r="F389" s="309">
        <v>4.6920000000000002</v>
      </c>
      <c r="G389" s="317">
        <v>3.7766690000000001</v>
      </c>
      <c r="H389" s="309">
        <v>5.8312679999999997</v>
      </c>
      <c r="I389" s="318">
        <v>0.1394</v>
      </c>
      <c r="J389" s="318">
        <v>9.9000000000000005E-2</v>
      </c>
      <c r="K389" s="317">
        <v>47.393939000000003</v>
      </c>
      <c r="L389" s="321"/>
      <c r="M389" s="399"/>
    </row>
    <row r="390" spans="2:13">
      <c r="B390" s="335">
        <v>13</v>
      </c>
      <c r="C390" s="320"/>
      <c r="D390" s="299" t="s">
        <v>227</v>
      </c>
      <c r="E390" s="309">
        <v>3.9209999999999998</v>
      </c>
      <c r="F390" s="309">
        <v>4.7110000000000003</v>
      </c>
      <c r="G390" s="317">
        <v>3.7745549999999999</v>
      </c>
      <c r="H390" s="309">
        <v>5.8539839999999996</v>
      </c>
      <c r="I390" s="318">
        <v>0.13919999999999999</v>
      </c>
      <c r="J390" s="318">
        <v>9.9000000000000005E-2</v>
      </c>
      <c r="K390" s="317">
        <v>47.585858999999999</v>
      </c>
      <c r="L390" s="321"/>
      <c r="M390" s="399"/>
    </row>
    <row r="391" spans="2:13">
      <c r="B391" s="335">
        <v>14</v>
      </c>
      <c r="C391" s="320"/>
      <c r="D391" s="299" t="s">
        <v>228</v>
      </c>
      <c r="E391" s="309">
        <v>3.9039999999999999</v>
      </c>
      <c r="F391" s="309">
        <v>4.74</v>
      </c>
      <c r="G391" s="317">
        <v>3.8143280000000002</v>
      </c>
      <c r="H391" s="309">
        <v>5.8908160000000001</v>
      </c>
      <c r="I391" s="318">
        <v>0.1391</v>
      </c>
      <c r="J391" s="318">
        <v>9.8900000000000002E-2</v>
      </c>
      <c r="K391" s="317">
        <v>47.927199000000002</v>
      </c>
      <c r="L391" s="321"/>
      <c r="M391" s="399"/>
    </row>
    <row r="392" spans="2:13" ht="17.25" thickBot="1">
      <c r="B392" s="336">
        <v>15</v>
      </c>
      <c r="C392" s="323"/>
      <c r="D392" s="293" t="s">
        <v>246</v>
      </c>
      <c r="E392" s="311">
        <v>3.899</v>
      </c>
      <c r="F392" s="311">
        <v>4.758</v>
      </c>
      <c r="G392" s="278">
        <v>3.833723</v>
      </c>
      <c r="H392" s="311">
        <v>5.9257809999999997</v>
      </c>
      <c r="I392" s="279">
        <v>0.13900000000000001</v>
      </c>
      <c r="J392" s="279">
        <v>9.9000000000000005E-2</v>
      </c>
      <c r="K392" s="278">
        <v>48.060606</v>
      </c>
      <c r="L392" s="324"/>
      <c r="M392" s="399"/>
    </row>
    <row r="393" spans="2:13" ht="17.25" thickBot="1">
      <c r="B393" s="337"/>
      <c r="C393" s="326"/>
      <c r="D393" s="327" t="s">
        <v>463</v>
      </c>
      <c r="E393" s="328">
        <f>AVERAGE(E388:E392)</f>
        <v>3.9043999999999999</v>
      </c>
      <c r="F393" s="328">
        <f t="shared" ref="F393:K393" si="110">AVERAGE(F388:F392)</f>
        <v>4.7229999999999999</v>
      </c>
      <c r="G393" s="328">
        <f t="shared" si="110"/>
        <v>3.8002891999999995</v>
      </c>
      <c r="H393" s="328">
        <f t="shared" si="110"/>
        <v>5.8760436000000009</v>
      </c>
      <c r="I393" s="329">
        <f t="shared" si="110"/>
        <v>0.13918</v>
      </c>
      <c r="J393" s="329">
        <f t="shared" si="110"/>
        <v>9.8879999999999996E-2</v>
      </c>
      <c r="K393" s="330">
        <f t="shared" si="110"/>
        <v>47.765094200000007</v>
      </c>
      <c r="L393" s="331"/>
      <c r="M393" s="399"/>
    </row>
    <row r="394" spans="2:13">
      <c r="B394" s="333">
        <v>16</v>
      </c>
      <c r="C394" s="271" t="s">
        <v>205</v>
      </c>
      <c r="D394" s="291" t="s">
        <v>247</v>
      </c>
      <c r="E394" s="307">
        <v>3.9079999999999999</v>
      </c>
      <c r="F394" s="307">
        <v>4.7480000000000002</v>
      </c>
      <c r="G394" s="272">
        <v>3.8168549999999999</v>
      </c>
      <c r="H394" s="272">
        <v>5.8998100000000004</v>
      </c>
      <c r="I394" s="273">
        <v>0.1394</v>
      </c>
      <c r="J394" s="273">
        <v>9.8799999999999999E-2</v>
      </c>
      <c r="K394" s="272">
        <v>48.05668</v>
      </c>
      <c r="L394" s="332"/>
      <c r="M394" s="399"/>
    </row>
    <row r="395" spans="2:13">
      <c r="B395" s="335">
        <v>17</v>
      </c>
      <c r="C395" s="320"/>
      <c r="D395" s="299" t="s">
        <v>248</v>
      </c>
      <c r="E395" s="309">
        <v>3.915</v>
      </c>
      <c r="F395" s="309">
        <v>4.7240000000000002</v>
      </c>
      <c r="G395" s="317">
        <v>3.790772</v>
      </c>
      <c r="H395" s="317">
        <v>5.8396059999999999</v>
      </c>
      <c r="I395" s="318">
        <v>0.13950000000000001</v>
      </c>
      <c r="J395" s="318">
        <v>9.9400000000000002E-2</v>
      </c>
      <c r="K395" s="317">
        <v>47.525151000000001</v>
      </c>
      <c r="L395" s="321"/>
      <c r="M395" s="399"/>
    </row>
    <row r="396" spans="2:13">
      <c r="B396" s="335">
        <v>18</v>
      </c>
      <c r="C396" s="320"/>
      <c r="D396" s="299" t="s">
        <v>232</v>
      </c>
      <c r="E396" s="309">
        <v>3.92</v>
      </c>
      <c r="F396" s="309">
        <v>4.758</v>
      </c>
      <c r="G396" s="317">
        <v>3.8131849999999998</v>
      </c>
      <c r="H396" s="317">
        <v>5.8922059999999998</v>
      </c>
      <c r="I396" s="318">
        <v>0.1394</v>
      </c>
      <c r="J396" s="318">
        <v>9.9500000000000005E-2</v>
      </c>
      <c r="K396" s="317">
        <v>47.819094999999997</v>
      </c>
      <c r="L396" s="321"/>
      <c r="M396" s="399"/>
    </row>
    <row r="397" spans="2:13">
      <c r="B397" s="335">
        <v>19</v>
      </c>
      <c r="C397" s="320"/>
      <c r="D397" s="299" t="s">
        <v>233</v>
      </c>
      <c r="E397" s="309">
        <v>3.9169999999999998</v>
      </c>
      <c r="F397" s="309">
        <v>4.7640000000000002</v>
      </c>
      <c r="G397" s="317">
        <v>3.8209179999999998</v>
      </c>
      <c r="H397" s="317">
        <v>5.9011149999999999</v>
      </c>
      <c r="I397" s="318">
        <v>0.13919999999999999</v>
      </c>
      <c r="J397" s="318">
        <v>9.9199999999999997E-2</v>
      </c>
      <c r="K397" s="317">
        <v>48.024194000000001</v>
      </c>
      <c r="L397" s="321"/>
      <c r="M397" s="399"/>
    </row>
    <row r="398" spans="2:13" ht="17.25" thickBot="1">
      <c r="B398" s="336">
        <v>20</v>
      </c>
      <c r="C398" s="323"/>
      <c r="D398" s="293" t="s">
        <v>249</v>
      </c>
      <c r="E398" s="311">
        <v>3.9129999999999998</v>
      </c>
      <c r="F398" s="311">
        <v>4.8040000000000003</v>
      </c>
      <c r="G398" s="278">
        <v>3.856938</v>
      </c>
      <c r="H398" s="278">
        <v>5.9584970000000004</v>
      </c>
      <c r="I398" s="279">
        <v>0.1391</v>
      </c>
      <c r="J398" s="279">
        <v>9.9199999999999997E-2</v>
      </c>
      <c r="K398" s="278">
        <v>48.427419</v>
      </c>
      <c r="L398" s="324"/>
      <c r="M398" s="399"/>
    </row>
    <row r="399" spans="2:13" ht="17.25" thickBot="1">
      <c r="B399" s="337"/>
      <c r="C399" s="326"/>
      <c r="D399" s="327" t="s">
        <v>463</v>
      </c>
      <c r="E399" s="328">
        <f>AVERAGE(E394:E398)</f>
        <v>3.9146000000000001</v>
      </c>
      <c r="F399" s="328">
        <f t="shared" ref="F399:K399" si="111">AVERAGE(F394:F398)</f>
        <v>4.7596000000000007</v>
      </c>
      <c r="G399" s="328">
        <f t="shared" si="111"/>
        <v>3.8197336000000002</v>
      </c>
      <c r="H399" s="328">
        <f t="shared" si="111"/>
        <v>5.8982468000000008</v>
      </c>
      <c r="I399" s="329">
        <f t="shared" si="111"/>
        <v>0.13932</v>
      </c>
      <c r="J399" s="329">
        <f t="shared" si="111"/>
        <v>9.9220000000000003E-2</v>
      </c>
      <c r="K399" s="328">
        <f t="shared" si="111"/>
        <v>47.970507799999993</v>
      </c>
      <c r="L399" s="331"/>
      <c r="M399" s="399"/>
    </row>
    <row r="400" spans="2:13">
      <c r="B400" s="333">
        <v>21</v>
      </c>
      <c r="C400" s="357" t="s">
        <v>205</v>
      </c>
      <c r="D400" s="291" t="s">
        <v>250</v>
      </c>
      <c r="E400" s="307">
        <v>5.1449999999999996</v>
      </c>
      <c r="F400" s="307">
        <v>7.1040000000000001</v>
      </c>
      <c r="G400" s="272">
        <v>4.3377759999999999</v>
      </c>
      <c r="H400" s="307">
        <v>6.8654830000000002</v>
      </c>
      <c r="I400" s="273">
        <v>0.13689999999999999</v>
      </c>
      <c r="J400" s="273">
        <v>0.13969999999999999</v>
      </c>
      <c r="K400" s="272">
        <v>50.851824999999998</v>
      </c>
      <c r="L400" s="358" t="s">
        <v>481</v>
      </c>
      <c r="M400" s="400"/>
    </row>
    <row r="401" spans="2:13">
      <c r="B401" s="335">
        <v>22</v>
      </c>
      <c r="C401" s="320"/>
      <c r="D401" s="299" t="s">
        <v>251</v>
      </c>
      <c r="E401" s="309">
        <v>5.0199999999999996</v>
      </c>
      <c r="F401" s="309">
        <v>7.0170000000000003</v>
      </c>
      <c r="G401" s="317">
        <v>4.3913419999999999</v>
      </c>
      <c r="H401" s="309">
        <v>6.7823609999999999</v>
      </c>
      <c r="I401" s="318">
        <v>0.1366</v>
      </c>
      <c r="J401" s="318">
        <v>0.14000000000000001</v>
      </c>
      <c r="K401" s="317">
        <v>50.121428999999999</v>
      </c>
      <c r="L401" s="321"/>
      <c r="M401" s="399"/>
    </row>
    <row r="402" spans="2:13">
      <c r="B402" s="335">
        <v>23</v>
      </c>
      <c r="C402" s="320"/>
      <c r="D402" s="299" t="s">
        <v>237</v>
      </c>
      <c r="E402" s="309">
        <v>4.9240000000000004</v>
      </c>
      <c r="F402" s="309">
        <v>6.5250000000000004</v>
      </c>
      <c r="G402" s="317">
        <v>4.1630529999999997</v>
      </c>
      <c r="H402" s="309">
        <v>6.3055320000000004</v>
      </c>
      <c r="I402" s="318">
        <v>0.1366</v>
      </c>
      <c r="J402" s="318">
        <v>0.1399</v>
      </c>
      <c r="K402" s="317">
        <v>46.640456999999998</v>
      </c>
      <c r="L402" s="321"/>
      <c r="M402" s="399"/>
    </row>
    <row r="403" spans="2:13">
      <c r="B403" s="335">
        <v>24</v>
      </c>
      <c r="C403" s="320"/>
      <c r="D403" s="299" t="s">
        <v>238</v>
      </c>
      <c r="E403" s="309">
        <v>5.0590000000000002</v>
      </c>
      <c r="F403" s="309">
        <v>6.7919999999999998</v>
      </c>
      <c r="G403" s="317">
        <v>4.2177660000000001</v>
      </c>
      <c r="H403" s="309">
        <v>6.5734709999999996</v>
      </c>
      <c r="I403" s="318">
        <v>0.13689999999999999</v>
      </c>
      <c r="J403" s="318">
        <v>0.1391</v>
      </c>
      <c r="K403" s="317">
        <v>48.828181000000001</v>
      </c>
      <c r="L403" s="321"/>
      <c r="M403" s="399"/>
    </row>
    <row r="404" spans="2:13" ht="17.25" thickBot="1">
      <c r="B404" s="336">
        <v>25</v>
      </c>
      <c r="C404" s="323"/>
      <c r="D404" s="293" t="s">
        <v>252</v>
      </c>
      <c r="E404" s="311">
        <v>5.1189999999999998</v>
      </c>
      <c r="F404" s="311">
        <v>6.9770000000000003</v>
      </c>
      <c r="G404" s="278">
        <v>4.2818659999999999</v>
      </c>
      <c r="H404" s="311">
        <v>6.7845820000000003</v>
      </c>
      <c r="I404" s="279">
        <v>0.1371</v>
      </c>
      <c r="J404" s="279">
        <v>0.13830000000000001</v>
      </c>
      <c r="K404" s="278">
        <v>50.448301000000001</v>
      </c>
      <c r="L404" s="324"/>
      <c r="M404" s="399"/>
    </row>
    <row r="405" spans="2:13" ht="17.25" thickBot="1">
      <c r="B405" s="339" t="s">
        <v>464</v>
      </c>
      <c r="C405" s="340"/>
      <c r="D405" s="341" t="s">
        <v>465</v>
      </c>
      <c r="E405" s="342">
        <f>AVERAGE(E400:E404)</f>
        <v>5.0533999999999999</v>
      </c>
      <c r="F405" s="342">
        <f t="shared" ref="F405:K405" si="112">AVERAGE(F400:F404)</f>
        <v>6.8830000000000009</v>
      </c>
      <c r="G405" s="342">
        <f t="shared" si="112"/>
        <v>4.2783606000000001</v>
      </c>
      <c r="H405" s="342">
        <f t="shared" si="112"/>
        <v>6.6622857999999994</v>
      </c>
      <c r="I405" s="343">
        <f t="shared" si="112"/>
        <v>0.13682</v>
      </c>
      <c r="J405" s="343">
        <f t="shared" si="112"/>
        <v>0.1394</v>
      </c>
      <c r="K405" s="342">
        <f t="shared" si="112"/>
        <v>49.378038600000004</v>
      </c>
      <c r="L405" s="344"/>
      <c r="M405" s="399"/>
    </row>
    <row r="406" spans="2:13">
      <c r="B406" s="333"/>
      <c r="C406" s="345"/>
      <c r="D406" s="291" t="s">
        <v>466</v>
      </c>
      <c r="E406" s="346">
        <f>MEDIAN(E376:E380,E382:E386,E388:E392,E394:E398,E400:E404)</f>
        <v>3.903</v>
      </c>
      <c r="F406" s="346">
        <f t="shared" ref="F406:K406" si="113">MEDIAN(F376:F380,F382:F386,F388:F392,F394:F398,F400:F404)</f>
        <v>5.2430000000000003</v>
      </c>
      <c r="G406" s="346">
        <f t="shared" si="113"/>
        <v>4.2177660000000001</v>
      </c>
      <c r="H406" s="346">
        <f t="shared" si="113"/>
        <v>5.8539839999999996</v>
      </c>
      <c r="I406" s="347">
        <f t="shared" si="113"/>
        <v>0.13689999999999999</v>
      </c>
      <c r="J406" s="347">
        <f t="shared" si="113"/>
        <v>0.13100000000000001</v>
      </c>
      <c r="K406" s="348">
        <f t="shared" si="113"/>
        <v>47.525151000000001</v>
      </c>
      <c r="L406" s="332"/>
      <c r="M406" s="399"/>
    </row>
    <row r="407" spans="2:13">
      <c r="B407" s="335"/>
      <c r="C407" s="320"/>
      <c r="D407" s="299" t="s">
        <v>467</v>
      </c>
      <c r="E407" s="349">
        <f>AVERAGE(E376:E380,E382:E386,E388:E392,E394:E398,E400:E404)</f>
        <v>4.1250400000000003</v>
      </c>
      <c r="F407" s="349">
        <f t="shared" ref="F407:K407" si="114">AVERAGE(F376:F380,F382:F386,F388:F392,F394:F398,F400:F404)</f>
        <v>5.3839199999999998</v>
      </c>
      <c r="G407" s="349">
        <f t="shared" si="114"/>
        <v>4.0903309600000002</v>
      </c>
      <c r="H407" s="349">
        <f t="shared" si="114"/>
        <v>5.8728948800000014</v>
      </c>
      <c r="I407" s="350">
        <f t="shared" si="114"/>
        <v>0.13604000000000002</v>
      </c>
      <c r="J407" s="350">
        <f t="shared" si="114"/>
        <v>0.12006000000000001</v>
      </c>
      <c r="K407" s="351">
        <f t="shared" si="114"/>
        <v>45.088245000000001</v>
      </c>
      <c r="L407" s="321"/>
      <c r="M407" s="399"/>
    </row>
    <row r="408" spans="2:13">
      <c r="B408" s="335"/>
      <c r="C408" s="320"/>
      <c r="D408" s="299" t="s">
        <v>199</v>
      </c>
      <c r="E408" s="349">
        <f>MAX(E376:E380,E382:E386,E388:E392,E394:E398,E400:E404)</f>
        <v>5.1449999999999996</v>
      </c>
      <c r="F408" s="349">
        <f t="shared" ref="F408:K408" si="115">MAX(F376:F380,F382:F386,F388:F392,F394:F398,F400:F404)</f>
        <v>7.1040000000000001</v>
      </c>
      <c r="G408" s="349">
        <f t="shared" si="115"/>
        <v>4.3913419999999999</v>
      </c>
      <c r="H408" s="349">
        <f t="shared" si="115"/>
        <v>6.8654830000000002</v>
      </c>
      <c r="I408" s="350">
        <f t="shared" si="115"/>
        <v>0.13950000000000001</v>
      </c>
      <c r="J408" s="350">
        <f t="shared" si="115"/>
        <v>0.14000000000000001</v>
      </c>
      <c r="K408" s="351">
        <f t="shared" si="115"/>
        <v>50.851824999999998</v>
      </c>
      <c r="L408" s="321"/>
      <c r="M408" s="399"/>
    </row>
    <row r="409" spans="2:13">
      <c r="B409" s="335"/>
      <c r="C409" s="320"/>
      <c r="D409" s="299" t="s">
        <v>200</v>
      </c>
      <c r="E409" s="349">
        <f>MIN(E376:E380,E382:E386,E388:E392,E394:E398,E400:E404)</f>
        <v>3.8650000000000002</v>
      </c>
      <c r="F409" s="349">
        <f t="shared" ref="F409:K409" si="116">MIN(F376:F380,F382:F386,F388:F392,F394:F398,F400:F404)</f>
        <v>4.6920000000000002</v>
      </c>
      <c r="G409" s="349">
        <f t="shared" si="116"/>
        <v>3.7745549999999999</v>
      </c>
      <c r="H409" s="349">
        <f t="shared" si="116"/>
        <v>5.3342840000000002</v>
      </c>
      <c r="I409" s="350">
        <f t="shared" si="116"/>
        <v>0.13220000000000001</v>
      </c>
      <c r="J409" s="350">
        <f t="shared" si="116"/>
        <v>9.8500000000000004E-2</v>
      </c>
      <c r="K409" s="351">
        <f t="shared" si="116"/>
        <v>39.210926000000001</v>
      </c>
      <c r="L409" s="321"/>
      <c r="M409" s="399"/>
    </row>
    <row r="410" spans="2:13">
      <c r="B410" s="335"/>
      <c r="C410" s="320"/>
      <c r="D410" s="299" t="s">
        <v>201</v>
      </c>
      <c r="E410" s="349">
        <f>E408-E409</f>
        <v>1.2799999999999994</v>
      </c>
      <c r="F410" s="349">
        <f t="shared" ref="F410:K410" si="117">F408-F409</f>
        <v>2.4119999999999999</v>
      </c>
      <c r="G410" s="349">
        <f t="shared" si="117"/>
        <v>0.61678699999999997</v>
      </c>
      <c r="H410" s="349">
        <f t="shared" si="117"/>
        <v>1.531199</v>
      </c>
      <c r="I410" s="350">
        <f t="shared" si="117"/>
        <v>7.3000000000000009E-3</v>
      </c>
      <c r="J410" s="350">
        <f t="shared" si="117"/>
        <v>4.1500000000000009E-2</v>
      </c>
      <c r="K410" s="349">
        <f t="shared" si="117"/>
        <v>11.640898999999997</v>
      </c>
      <c r="L410" s="321"/>
      <c r="M410" s="399"/>
    </row>
    <row r="411" spans="2:13">
      <c r="B411" s="335"/>
      <c r="C411" s="320"/>
      <c r="D411" s="299" t="s">
        <v>202</v>
      </c>
      <c r="E411" s="349">
        <f>STDEVA(E376:E380,E382:E386,E388:E392,E394:E398,E400:E404)</f>
        <v>0.47538760326004637</v>
      </c>
      <c r="F411" s="349">
        <f t="shared" ref="F411:K411" si="118">STDEVA(F376:F380,F382:F386,F388:F392,F394:F398,F400:F404)</f>
        <v>0.80962815127275678</v>
      </c>
      <c r="G411" s="349">
        <f t="shared" si="118"/>
        <v>0.23832753299879136</v>
      </c>
      <c r="H411" s="349">
        <f t="shared" si="118"/>
        <v>0.46010074524393751</v>
      </c>
      <c r="I411" s="350">
        <f t="shared" si="118"/>
        <v>3.1383382014478069E-3</v>
      </c>
      <c r="J411" s="350">
        <f t="shared" si="118"/>
        <v>1.7773880649237198E-2</v>
      </c>
      <c r="K411" s="349">
        <f t="shared" si="118"/>
        <v>4.2250019010926394</v>
      </c>
      <c r="L411" s="321"/>
      <c r="M411" s="399"/>
    </row>
    <row r="412" spans="2:13" ht="17.25" thickBot="1">
      <c r="B412" s="336"/>
      <c r="C412" s="323"/>
      <c r="D412" s="293" t="s">
        <v>203</v>
      </c>
      <c r="E412" s="352">
        <f>E411*3</f>
        <v>1.4261628097801391</v>
      </c>
      <c r="F412" s="352">
        <f t="shared" ref="F412:K412" si="119">F411*3</f>
        <v>2.4288844538182701</v>
      </c>
      <c r="G412" s="352">
        <f t="shared" si="119"/>
        <v>0.71498259899637406</v>
      </c>
      <c r="H412" s="352">
        <f t="shared" si="119"/>
        <v>1.3803022357318127</v>
      </c>
      <c r="I412" s="353">
        <f t="shared" si="119"/>
        <v>9.4150146043434201E-3</v>
      </c>
      <c r="J412" s="353">
        <f t="shared" si="119"/>
        <v>5.3321641947711593E-2</v>
      </c>
      <c r="K412" s="352">
        <f t="shared" si="119"/>
        <v>12.675005703277918</v>
      </c>
      <c r="L412" s="324"/>
      <c r="M412" s="399"/>
    </row>
    <row r="414" spans="2:13">
      <c r="B414" s="240" t="s">
        <v>263</v>
      </c>
      <c r="C414" s="240"/>
      <c r="E414" s="240"/>
      <c r="F414" s="240"/>
      <c r="G414" s="240"/>
      <c r="H414" s="240"/>
      <c r="I414" s="240"/>
      <c r="J414" s="240"/>
      <c r="K414" s="240"/>
    </row>
    <row r="415" spans="2:13" ht="17.25" thickBot="1">
      <c r="B415" s="240" t="s">
        <v>469</v>
      </c>
      <c r="C415" s="240"/>
      <c r="E415" s="240"/>
      <c r="F415" s="240"/>
      <c r="G415" s="240"/>
      <c r="H415" s="240"/>
      <c r="I415" s="240"/>
      <c r="J415" s="240"/>
      <c r="K415" s="240"/>
    </row>
    <row r="416" spans="2:13" ht="17.25" thickBot="1">
      <c r="B416" s="313" t="s">
        <v>11</v>
      </c>
      <c r="C416" s="250" t="s">
        <v>0</v>
      </c>
      <c r="D416" s="250" t="s">
        <v>1</v>
      </c>
      <c r="E416" s="250" t="s">
        <v>2</v>
      </c>
      <c r="F416" s="250" t="s">
        <v>3</v>
      </c>
      <c r="G416" s="250" t="s">
        <v>192</v>
      </c>
      <c r="H416" s="250" t="s">
        <v>16</v>
      </c>
      <c r="I416" s="250" t="s">
        <v>6</v>
      </c>
      <c r="J416" s="251" t="s">
        <v>7</v>
      </c>
      <c r="K416" s="252" t="s">
        <v>8</v>
      </c>
      <c r="L416" s="254" t="s">
        <v>470</v>
      </c>
      <c r="M416" s="404"/>
    </row>
    <row r="417" spans="2:13">
      <c r="B417" s="314">
        <v>1</v>
      </c>
      <c r="C417" s="271" t="s">
        <v>205</v>
      </c>
      <c r="D417" s="291" t="s">
        <v>213</v>
      </c>
      <c r="E417" s="307">
        <v>3.8149999999999999</v>
      </c>
      <c r="F417" s="307">
        <v>4.4530000000000003</v>
      </c>
      <c r="G417" s="272">
        <v>3.666973</v>
      </c>
      <c r="H417" s="307">
        <v>5.5485160000000002</v>
      </c>
      <c r="I417" s="273">
        <v>0.13950000000000001</v>
      </c>
      <c r="J417" s="273">
        <v>9.8400000000000001E-2</v>
      </c>
      <c r="K417" s="272">
        <v>45.254064999999997</v>
      </c>
      <c r="L417" s="275" t="s">
        <v>474</v>
      </c>
      <c r="M417" s="397"/>
    </row>
    <row r="418" spans="2:13">
      <c r="B418" s="315">
        <v>2</v>
      </c>
      <c r="C418" s="316"/>
      <c r="D418" s="299" t="s">
        <v>214</v>
      </c>
      <c r="E418" s="309">
        <v>3.9180000000000001</v>
      </c>
      <c r="F418" s="309">
        <v>4.319</v>
      </c>
      <c r="G418" s="317">
        <v>3.4631259999999999</v>
      </c>
      <c r="H418" s="309">
        <v>5.3902450000000002</v>
      </c>
      <c r="I418" s="318">
        <v>0.13950000000000001</v>
      </c>
      <c r="J418" s="318">
        <v>9.8400000000000001E-2</v>
      </c>
      <c r="K418" s="317">
        <v>43.892276000000003</v>
      </c>
      <c r="L418" s="319" t="s">
        <v>211</v>
      </c>
      <c r="M418" s="398"/>
    </row>
    <row r="419" spans="2:13">
      <c r="B419" s="315">
        <v>3</v>
      </c>
      <c r="C419" s="320"/>
      <c r="D419" s="299" t="s">
        <v>217</v>
      </c>
      <c r="E419" s="309">
        <v>3.8210000000000002</v>
      </c>
      <c r="F419" s="309">
        <v>4.2240000000000002</v>
      </c>
      <c r="G419" s="317">
        <v>3.4729329999999998</v>
      </c>
      <c r="H419" s="309">
        <v>5.2659180000000001</v>
      </c>
      <c r="I419" s="318">
        <v>0.1396</v>
      </c>
      <c r="J419" s="318">
        <v>9.8299999999999998E-2</v>
      </c>
      <c r="K419" s="317">
        <v>42.970497999999999</v>
      </c>
      <c r="L419" s="356" t="s">
        <v>254</v>
      </c>
      <c r="M419" s="400"/>
    </row>
    <row r="420" spans="2:13">
      <c r="B420" s="315">
        <v>4</v>
      </c>
      <c r="C420" s="320"/>
      <c r="D420" s="299" t="s">
        <v>218</v>
      </c>
      <c r="E420" s="309">
        <v>3.8660000000000001</v>
      </c>
      <c r="F420" s="309">
        <v>4.1559999999999997</v>
      </c>
      <c r="G420" s="317">
        <v>3.3772500000000001</v>
      </c>
      <c r="H420" s="309">
        <v>5.1946979999999998</v>
      </c>
      <c r="I420" s="318">
        <v>0.1396</v>
      </c>
      <c r="J420" s="318">
        <v>9.8000000000000004E-2</v>
      </c>
      <c r="K420" s="317">
        <v>42.408163000000002</v>
      </c>
      <c r="L420" s="356" t="s">
        <v>477</v>
      </c>
      <c r="M420" s="400"/>
    </row>
    <row r="421" spans="2:13" ht="17.25" thickBot="1">
      <c r="B421" s="322">
        <v>5</v>
      </c>
      <c r="C421" s="323"/>
      <c r="D421" s="354" t="s">
        <v>240</v>
      </c>
      <c r="E421" s="311">
        <v>3.7869999999999999</v>
      </c>
      <c r="F421" s="311">
        <v>4.1429999999999998</v>
      </c>
      <c r="G421" s="278">
        <v>3.4369179999999999</v>
      </c>
      <c r="H421" s="311">
        <v>5.2056649999999998</v>
      </c>
      <c r="I421" s="279">
        <v>0.13930000000000001</v>
      </c>
      <c r="J421" s="279">
        <v>9.7500000000000003E-2</v>
      </c>
      <c r="K421" s="278">
        <v>42.492308000000001</v>
      </c>
      <c r="L421" s="324"/>
      <c r="M421" s="399"/>
    </row>
    <row r="422" spans="2:13" ht="17.25" thickBot="1">
      <c r="B422" s="325"/>
      <c r="C422" s="326"/>
      <c r="D422" s="327" t="s">
        <v>463</v>
      </c>
      <c r="E422" s="328">
        <f>AVERAGE(E417:E421)</f>
        <v>3.8414000000000001</v>
      </c>
      <c r="F422" s="328">
        <f t="shared" ref="F422:K422" si="120">AVERAGE(F417:F421)</f>
        <v>4.2590000000000003</v>
      </c>
      <c r="G422" s="328">
        <f t="shared" si="120"/>
        <v>3.4834399999999994</v>
      </c>
      <c r="H422" s="328">
        <f t="shared" si="120"/>
        <v>5.3210083999999993</v>
      </c>
      <c r="I422" s="329">
        <f t="shared" si="120"/>
        <v>0.13950000000000001</v>
      </c>
      <c r="J422" s="329">
        <f t="shared" si="120"/>
        <v>9.8120000000000013E-2</v>
      </c>
      <c r="K422" s="330">
        <f t="shared" si="120"/>
        <v>43.403462000000005</v>
      </c>
      <c r="L422" s="331"/>
      <c r="M422" s="399"/>
    </row>
    <row r="423" spans="2:13">
      <c r="B423" s="314">
        <v>6</v>
      </c>
      <c r="C423" s="271" t="s">
        <v>205</v>
      </c>
      <c r="D423" s="291" t="s">
        <v>241</v>
      </c>
      <c r="E423" s="307">
        <v>3.8170000000000002</v>
      </c>
      <c r="F423" s="307">
        <v>4.4290000000000003</v>
      </c>
      <c r="G423" s="272">
        <v>3.6452979999999999</v>
      </c>
      <c r="H423" s="307">
        <v>5.5206720000000002</v>
      </c>
      <c r="I423" s="273">
        <v>0.1394</v>
      </c>
      <c r="J423" s="273">
        <v>9.8500000000000004E-2</v>
      </c>
      <c r="K423" s="272">
        <v>44.964466999999999</v>
      </c>
      <c r="L423" s="332"/>
      <c r="M423" s="399"/>
    </row>
    <row r="424" spans="2:13">
      <c r="B424" s="315">
        <v>7</v>
      </c>
      <c r="C424" s="320"/>
      <c r="D424" s="299" t="s">
        <v>242</v>
      </c>
      <c r="E424" s="309">
        <v>3.9239999999999999</v>
      </c>
      <c r="F424" s="309">
        <v>4.3070000000000004</v>
      </c>
      <c r="G424" s="317">
        <v>3.448223</v>
      </c>
      <c r="H424" s="309">
        <v>5.3708840000000002</v>
      </c>
      <c r="I424" s="318">
        <v>0.13950000000000001</v>
      </c>
      <c r="J424" s="318">
        <v>9.8400000000000001E-2</v>
      </c>
      <c r="K424" s="317">
        <v>43.770325</v>
      </c>
      <c r="L424" s="321"/>
      <c r="M424" s="399"/>
    </row>
    <row r="425" spans="2:13">
      <c r="B425" s="315">
        <v>8</v>
      </c>
      <c r="C425" s="320"/>
      <c r="D425" s="299" t="s">
        <v>222</v>
      </c>
      <c r="E425" s="309">
        <v>3.8079999999999998</v>
      </c>
      <c r="F425" s="309">
        <v>4.21</v>
      </c>
      <c r="G425" s="317">
        <v>3.473239</v>
      </c>
      <c r="H425" s="309">
        <v>5.2539290000000003</v>
      </c>
      <c r="I425" s="318">
        <v>0.13969999999999999</v>
      </c>
      <c r="J425" s="318">
        <v>9.8400000000000001E-2</v>
      </c>
      <c r="K425" s="317">
        <v>42.784553000000002</v>
      </c>
      <c r="L425" s="321"/>
      <c r="M425" s="399"/>
    </row>
    <row r="426" spans="2:13">
      <c r="B426" s="315">
        <v>9</v>
      </c>
      <c r="C426" s="320"/>
      <c r="D426" s="299" t="s">
        <v>223</v>
      </c>
      <c r="E426" s="309">
        <v>3.8439999999999999</v>
      </c>
      <c r="F426" s="309">
        <v>4.16</v>
      </c>
      <c r="G426" s="317">
        <v>3.399848</v>
      </c>
      <c r="H426" s="309">
        <v>5.2025129999999997</v>
      </c>
      <c r="I426" s="318">
        <v>0.1396</v>
      </c>
      <c r="J426" s="318">
        <v>9.8000000000000004E-2</v>
      </c>
      <c r="K426" s="317">
        <v>42.448979999999999</v>
      </c>
      <c r="L426" s="321"/>
      <c r="M426" s="399"/>
    </row>
    <row r="427" spans="2:13" ht="17.25" thickBot="1">
      <c r="B427" s="322">
        <v>10</v>
      </c>
      <c r="C427" s="323"/>
      <c r="D427" s="293" t="s">
        <v>243</v>
      </c>
      <c r="E427" s="311">
        <v>3.802</v>
      </c>
      <c r="F427" s="311">
        <v>4.1589999999999998</v>
      </c>
      <c r="G427" s="278">
        <v>3.4365790000000001</v>
      </c>
      <c r="H427" s="311">
        <v>5.2192670000000003</v>
      </c>
      <c r="I427" s="279">
        <v>0.13930000000000001</v>
      </c>
      <c r="J427" s="279">
        <v>9.7600000000000006E-2</v>
      </c>
      <c r="K427" s="278">
        <v>42.612704999999998</v>
      </c>
      <c r="L427" s="324"/>
      <c r="M427" s="399"/>
    </row>
    <row r="428" spans="2:13" ht="17.25" thickBot="1">
      <c r="B428" s="325" t="s">
        <v>464</v>
      </c>
      <c r="C428" s="326"/>
      <c r="D428" s="327" t="s">
        <v>463</v>
      </c>
      <c r="E428" s="328">
        <f>AVERAGE(E423:E427)</f>
        <v>3.839</v>
      </c>
      <c r="F428" s="328">
        <f t="shared" ref="F428:K428" si="121">AVERAGE(F423:F427)</f>
        <v>4.2530000000000001</v>
      </c>
      <c r="G428" s="328">
        <f t="shared" si="121"/>
        <v>3.4806374000000004</v>
      </c>
      <c r="H428" s="328">
        <f t="shared" si="121"/>
        <v>5.313453</v>
      </c>
      <c r="I428" s="329">
        <f t="shared" si="121"/>
        <v>0.13950000000000001</v>
      </c>
      <c r="J428" s="329">
        <f t="shared" si="121"/>
        <v>9.8180000000000003E-2</v>
      </c>
      <c r="K428" s="330">
        <f t="shared" si="121"/>
        <v>43.316206000000001</v>
      </c>
      <c r="L428" s="331"/>
      <c r="M428" s="399"/>
    </row>
    <row r="429" spans="2:13">
      <c r="B429" s="333">
        <v>11</v>
      </c>
      <c r="C429" s="334" t="s">
        <v>205</v>
      </c>
      <c r="D429" s="291" t="s">
        <v>244</v>
      </c>
      <c r="E429" s="307">
        <v>3.8340000000000001</v>
      </c>
      <c r="F429" s="307">
        <v>4.5039999999999996</v>
      </c>
      <c r="G429" s="272">
        <v>3.6905899999999998</v>
      </c>
      <c r="H429" s="307">
        <v>5.6222859999999999</v>
      </c>
      <c r="I429" s="273">
        <v>0.1394</v>
      </c>
      <c r="J429" s="273">
        <v>9.8400000000000001E-2</v>
      </c>
      <c r="K429" s="272">
        <v>45.772357999999997</v>
      </c>
      <c r="L429" s="332"/>
      <c r="M429" s="399"/>
    </row>
    <row r="430" spans="2:13">
      <c r="B430" s="335">
        <v>12</v>
      </c>
      <c r="C430" s="320"/>
      <c r="D430" s="299" t="s">
        <v>245</v>
      </c>
      <c r="E430" s="309">
        <v>3.8330000000000002</v>
      </c>
      <c r="F430" s="309">
        <v>4.3689999999999998</v>
      </c>
      <c r="G430" s="317">
        <v>3.5809039999999999</v>
      </c>
      <c r="H430" s="309">
        <v>5.450507</v>
      </c>
      <c r="I430" s="318">
        <v>0.13950000000000001</v>
      </c>
      <c r="J430" s="318">
        <v>9.8400000000000001E-2</v>
      </c>
      <c r="K430" s="317">
        <v>44.400407000000001</v>
      </c>
      <c r="L430" s="321"/>
      <c r="M430" s="399"/>
    </row>
    <row r="431" spans="2:13">
      <c r="B431" s="335">
        <v>13</v>
      </c>
      <c r="C431" s="320"/>
      <c r="D431" s="299" t="s">
        <v>227</v>
      </c>
      <c r="E431" s="309"/>
      <c r="F431" s="309"/>
      <c r="G431" s="317"/>
      <c r="H431" s="309"/>
      <c r="I431" s="318"/>
      <c r="J431" s="318"/>
      <c r="K431" s="317"/>
      <c r="L431" s="321"/>
      <c r="M431" s="399"/>
    </row>
    <row r="432" spans="2:13">
      <c r="B432" s="335">
        <v>14</v>
      </c>
      <c r="C432" s="320"/>
      <c r="D432" s="299" t="s">
        <v>228</v>
      </c>
      <c r="E432" s="309"/>
      <c r="F432" s="309"/>
      <c r="G432" s="317"/>
      <c r="H432" s="309"/>
      <c r="I432" s="318"/>
      <c r="J432" s="318"/>
      <c r="K432" s="317"/>
      <c r="L432" s="321"/>
      <c r="M432" s="399"/>
    </row>
    <row r="433" spans="2:13" ht="17.25" thickBot="1">
      <c r="B433" s="336">
        <v>15</v>
      </c>
      <c r="C433" s="323"/>
      <c r="D433" s="293" t="s">
        <v>246</v>
      </c>
      <c r="E433" s="311">
        <v>3.806</v>
      </c>
      <c r="F433" s="311">
        <v>4.2229999999999999</v>
      </c>
      <c r="G433" s="278">
        <v>3.485795</v>
      </c>
      <c r="H433" s="311">
        <v>5.308351</v>
      </c>
      <c r="I433" s="279">
        <v>0.13930000000000001</v>
      </c>
      <c r="J433" s="279">
        <v>9.7500000000000003E-2</v>
      </c>
      <c r="K433" s="278">
        <v>43.312821</v>
      </c>
      <c r="L433" s="324"/>
      <c r="M433" s="399"/>
    </row>
    <row r="434" spans="2:13" ht="17.25" thickBot="1">
      <c r="B434" s="337"/>
      <c r="C434" s="326"/>
      <c r="D434" s="327" t="s">
        <v>463</v>
      </c>
      <c r="E434" s="328">
        <f>AVERAGE(E429:E433)</f>
        <v>3.8243333333333331</v>
      </c>
      <c r="F434" s="328">
        <f t="shared" ref="F434:K434" si="122">AVERAGE(F429:F433)</f>
        <v>4.3653333333333331</v>
      </c>
      <c r="G434" s="328">
        <f t="shared" si="122"/>
        <v>3.585763</v>
      </c>
      <c r="H434" s="328">
        <f t="shared" si="122"/>
        <v>5.4603813333333333</v>
      </c>
      <c r="I434" s="329">
        <f t="shared" si="122"/>
        <v>0.1394</v>
      </c>
      <c r="J434" s="329">
        <f t="shared" si="122"/>
        <v>9.8100000000000007E-2</v>
      </c>
      <c r="K434" s="330">
        <f t="shared" si="122"/>
        <v>44.495195333333335</v>
      </c>
      <c r="L434" s="331"/>
      <c r="M434" s="399"/>
    </row>
    <row r="435" spans="2:13">
      <c r="B435" s="333">
        <v>16</v>
      </c>
      <c r="C435" s="271" t="s">
        <v>205</v>
      </c>
      <c r="D435" s="291" t="s">
        <v>247</v>
      </c>
      <c r="E435" s="307">
        <v>3.84</v>
      </c>
      <c r="F435" s="307">
        <v>4.5620000000000003</v>
      </c>
      <c r="G435" s="272">
        <v>3.7322739999999999</v>
      </c>
      <c r="H435" s="272">
        <v>5.6852710000000002</v>
      </c>
      <c r="I435" s="273">
        <v>0.13930000000000001</v>
      </c>
      <c r="J435" s="273">
        <v>9.8400000000000001E-2</v>
      </c>
      <c r="K435" s="272">
        <v>46.361789000000002</v>
      </c>
      <c r="L435" s="332"/>
      <c r="M435" s="399"/>
    </row>
    <row r="436" spans="2:13">
      <c r="B436" s="335">
        <v>17</v>
      </c>
      <c r="C436" s="320"/>
      <c r="D436" s="299" t="s">
        <v>248</v>
      </c>
      <c r="E436" s="309">
        <v>3.84</v>
      </c>
      <c r="F436" s="309">
        <v>4.46</v>
      </c>
      <c r="G436" s="317">
        <v>3.6488260000000001</v>
      </c>
      <c r="H436" s="317">
        <v>5.5619399999999999</v>
      </c>
      <c r="I436" s="318">
        <v>0.13950000000000001</v>
      </c>
      <c r="J436" s="318">
        <v>9.8299999999999998E-2</v>
      </c>
      <c r="K436" s="317">
        <v>45.371312000000003</v>
      </c>
      <c r="L436" s="321"/>
      <c r="M436" s="399"/>
    </row>
    <row r="437" spans="2:13">
      <c r="B437" s="335">
        <v>18</v>
      </c>
      <c r="C437" s="320"/>
      <c r="D437" s="299" t="s">
        <v>232</v>
      </c>
      <c r="E437" s="309">
        <v>3.839</v>
      </c>
      <c r="F437" s="309">
        <v>4.3540000000000001</v>
      </c>
      <c r="G437" s="317">
        <v>3.5630329999999999</v>
      </c>
      <c r="H437" s="317">
        <v>5.4395100000000003</v>
      </c>
      <c r="I437" s="318">
        <v>0.1394</v>
      </c>
      <c r="J437" s="318">
        <v>9.8199999999999996E-2</v>
      </c>
      <c r="K437" s="317">
        <v>44.338085999999997</v>
      </c>
      <c r="L437" s="321"/>
      <c r="M437" s="399"/>
    </row>
    <row r="438" spans="2:13">
      <c r="B438" s="335">
        <v>19</v>
      </c>
      <c r="C438" s="320"/>
      <c r="D438" s="299" t="s">
        <v>233</v>
      </c>
      <c r="E438" s="309">
        <v>3.847</v>
      </c>
      <c r="F438" s="309">
        <v>4.3179999999999996</v>
      </c>
      <c r="G438" s="317">
        <v>3.526224</v>
      </c>
      <c r="H438" s="317">
        <v>5.40876</v>
      </c>
      <c r="I438" s="318">
        <v>0.13930000000000001</v>
      </c>
      <c r="J438" s="318">
        <v>9.7900000000000001E-2</v>
      </c>
      <c r="K438" s="317">
        <v>44.106231000000001</v>
      </c>
      <c r="L438" s="321"/>
      <c r="M438" s="399"/>
    </row>
    <row r="439" spans="2:13" ht="17.25" thickBot="1">
      <c r="B439" s="336">
        <v>20</v>
      </c>
      <c r="C439" s="323"/>
      <c r="D439" s="293" t="s">
        <v>249</v>
      </c>
      <c r="E439" s="311">
        <v>3.8149999999999999</v>
      </c>
      <c r="F439" s="311">
        <v>4.258</v>
      </c>
      <c r="G439" s="278">
        <v>3.5063930000000001</v>
      </c>
      <c r="H439" s="278">
        <v>5.3684900000000004</v>
      </c>
      <c r="I439" s="279">
        <v>0.13919999999999999</v>
      </c>
      <c r="J439" s="279">
        <v>9.74E-2</v>
      </c>
      <c r="K439" s="278">
        <v>43.716631999999997</v>
      </c>
      <c r="L439" s="324"/>
      <c r="M439" s="399"/>
    </row>
    <row r="440" spans="2:13" ht="17.25" thickBot="1">
      <c r="B440" s="337"/>
      <c r="C440" s="326"/>
      <c r="D440" s="327" t="s">
        <v>463</v>
      </c>
      <c r="E440" s="328">
        <f>AVERAGE(E435:E439)</f>
        <v>3.8362000000000003</v>
      </c>
      <c r="F440" s="328">
        <f t="shared" ref="F440:K440" si="123">AVERAGE(F435:F439)</f>
        <v>4.3904000000000005</v>
      </c>
      <c r="G440" s="328">
        <f t="shared" si="123"/>
        <v>3.5953499999999998</v>
      </c>
      <c r="H440" s="328">
        <f t="shared" si="123"/>
        <v>5.4927942000000005</v>
      </c>
      <c r="I440" s="329">
        <f t="shared" si="123"/>
        <v>0.13933999999999999</v>
      </c>
      <c r="J440" s="329">
        <f t="shared" si="123"/>
        <v>9.8039999999999988E-2</v>
      </c>
      <c r="K440" s="328">
        <f t="shared" si="123"/>
        <v>44.778810000000007</v>
      </c>
      <c r="L440" s="331"/>
      <c r="M440" s="399"/>
    </row>
    <row r="441" spans="2:13">
      <c r="B441" s="333">
        <v>21</v>
      </c>
      <c r="C441" s="271" t="s">
        <v>205</v>
      </c>
      <c r="D441" s="291" t="s">
        <v>250</v>
      </c>
      <c r="E441" s="307">
        <v>3.847</v>
      </c>
      <c r="F441" s="307">
        <v>4.5979999999999999</v>
      </c>
      <c r="G441" s="272">
        <v>3.7548819999999998</v>
      </c>
      <c r="H441" s="307">
        <v>5.7229140000000003</v>
      </c>
      <c r="I441" s="273">
        <v>0.1394</v>
      </c>
      <c r="J441" s="273">
        <v>9.8500000000000004E-2</v>
      </c>
      <c r="K441" s="272">
        <v>46.680202999999999</v>
      </c>
      <c r="L441" s="332"/>
      <c r="M441" s="399"/>
    </row>
    <row r="442" spans="2:13">
      <c r="B442" s="335">
        <v>22</v>
      </c>
      <c r="C442" s="320"/>
      <c r="D442" s="299" t="s">
        <v>251</v>
      </c>
      <c r="E442" s="309">
        <v>3.843</v>
      </c>
      <c r="F442" s="309">
        <v>4.5179999999999998</v>
      </c>
      <c r="G442" s="317">
        <v>3.6933919999999998</v>
      </c>
      <c r="H442" s="309">
        <v>5.631742</v>
      </c>
      <c r="I442" s="318">
        <v>0.1394</v>
      </c>
      <c r="J442" s="318">
        <v>9.8400000000000001E-2</v>
      </c>
      <c r="K442" s="317">
        <v>45.914634</v>
      </c>
      <c r="L442" s="321"/>
      <c r="M442" s="399"/>
    </row>
    <row r="443" spans="2:13">
      <c r="B443" s="335">
        <v>23</v>
      </c>
      <c r="C443" s="320"/>
      <c r="D443" s="299" t="s">
        <v>237</v>
      </c>
      <c r="E443" s="309">
        <v>3.8370000000000002</v>
      </c>
      <c r="F443" s="309">
        <v>4.4450000000000003</v>
      </c>
      <c r="G443" s="317">
        <v>3.6393970000000002</v>
      </c>
      <c r="H443" s="309">
        <v>5.5465859999999996</v>
      </c>
      <c r="I443" s="318">
        <v>0.13950000000000001</v>
      </c>
      <c r="J443" s="318">
        <v>9.8400000000000001E-2</v>
      </c>
      <c r="K443" s="317">
        <v>45.172764000000001</v>
      </c>
      <c r="L443" s="321"/>
      <c r="M443" s="399"/>
    </row>
    <row r="444" spans="2:13">
      <c r="B444" s="335">
        <v>24</v>
      </c>
      <c r="C444" s="320"/>
      <c r="D444" s="299" t="s">
        <v>238</v>
      </c>
      <c r="E444" s="309">
        <v>3.8330000000000002</v>
      </c>
      <c r="F444" s="309">
        <v>4.4039999999999999</v>
      </c>
      <c r="G444" s="317">
        <v>3.609591</v>
      </c>
      <c r="H444" s="309">
        <v>5.5039100000000003</v>
      </c>
      <c r="I444" s="318">
        <v>0.1394</v>
      </c>
      <c r="J444" s="318">
        <v>9.7900000000000001E-2</v>
      </c>
      <c r="K444" s="317">
        <v>44.984678000000002</v>
      </c>
      <c r="L444" s="321"/>
      <c r="M444" s="399"/>
    </row>
    <row r="445" spans="2:13" ht="17.25" thickBot="1">
      <c r="B445" s="336">
        <v>25</v>
      </c>
      <c r="C445" s="323"/>
      <c r="D445" s="293" t="s">
        <v>252</v>
      </c>
      <c r="E445" s="311">
        <v>3.8290000000000002</v>
      </c>
      <c r="F445" s="311">
        <v>4.3940000000000001</v>
      </c>
      <c r="G445" s="278">
        <v>3.6051570000000002</v>
      </c>
      <c r="H445" s="311">
        <v>5.5336999999999996</v>
      </c>
      <c r="I445" s="279">
        <v>0.13919999999999999</v>
      </c>
      <c r="J445" s="279">
        <v>9.74E-2</v>
      </c>
      <c r="K445" s="278">
        <v>45.112935999999998</v>
      </c>
      <c r="L445" s="324"/>
      <c r="M445" s="399"/>
    </row>
    <row r="446" spans="2:13" ht="17.25" thickBot="1">
      <c r="B446" s="339" t="s">
        <v>464</v>
      </c>
      <c r="C446" s="340"/>
      <c r="D446" s="341" t="s">
        <v>465</v>
      </c>
      <c r="E446" s="342">
        <f>AVERAGE(E441:E445)</f>
        <v>3.8378000000000001</v>
      </c>
      <c r="F446" s="342">
        <f t="shared" ref="F446:K446" si="124">AVERAGE(F441:F445)</f>
        <v>4.4718</v>
      </c>
      <c r="G446" s="342">
        <f t="shared" si="124"/>
        <v>3.6604838000000002</v>
      </c>
      <c r="H446" s="342">
        <f t="shared" si="124"/>
        <v>5.5877704000000001</v>
      </c>
      <c r="I446" s="343">
        <f t="shared" si="124"/>
        <v>0.13938</v>
      </c>
      <c r="J446" s="343">
        <f t="shared" si="124"/>
        <v>9.8119999999999999E-2</v>
      </c>
      <c r="K446" s="342">
        <f t="shared" si="124"/>
        <v>45.573042999999998</v>
      </c>
      <c r="L446" s="344"/>
      <c r="M446" s="399"/>
    </row>
    <row r="447" spans="2:13">
      <c r="B447" s="333"/>
      <c r="C447" s="345"/>
      <c r="D447" s="291" t="s">
        <v>466</v>
      </c>
      <c r="E447" s="346">
        <f>MEDIAN(E417:E421,E423:E427,E429:E433,E435:E439,E441:E445)</f>
        <v>3.8340000000000001</v>
      </c>
      <c r="F447" s="346">
        <f t="shared" ref="F447:K447" si="125">MEDIAN(F417:F421,F423:F427,F429:F433,F435:F439,F441:F445)</f>
        <v>4.3540000000000001</v>
      </c>
      <c r="G447" s="346">
        <f t="shared" si="125"/>
        <v>3.5630329999999999</v>
      </c>
      <c r="H447" s="346">
        <f t="shared" si="125"/>
        <v>5.4395100000000003</v>
      </c>
      <c r="I447" s="347">
        <f t="shared" si="125"/>
        <v>0.1394</v>
      </c>
      <c r="J447" s="347">
        <f t="shared" si="125"/>
        <v>9.8299999999999998E-2</v>
      </c>
      <c r="K447" s="348">
        <f t="shared" si="125"/>
        <v>44.338085999999997</v>
      </c>
      <c r="L447" s="332"/>
      <c r="M447" s="399"/>
    </row>
    <row r="448" spans="2:13">
      <c r="B448" s="335"/>
      <c r="C448" s="320"/>
      <c r="D448" s="299" t="s">
        <v>467</v>
      </c>
      <c r="E448" s="349">
        <f>AVERAGE(E417:E421,E423:E427,E429:E433,E435:E439,E441:E445)</f>
        <v>3.8367391304347822</v>
      </c>
      <c r="F448" s="349">
        <f t="shared" ref="F448:K448" si="126">AVERAGE(F417:F421,F423:F427,F429:F433,F435:F439,F441:F445)</f>
        <v>4.3463913043478257</v>
      </c>
      <c r="G448" s="349">
        <f t="shared" si="126"/>
        <v>3.5589932608695647</v>
      </c>
      <c r="H448" s="349">
        <f t="shared" si="126"/>
        <v>5.4328814782608692</v>
      </c>
      <c r="I448" s="350">
        <f t="shared" si="126"/>
        <v>0.13942608695652176</v>
      </c>
      <c r="J448" s="350">
        <f t="shared" si="126"/>
        <v>9.8113043478260872E-2</v>
      </c>
      <c r="K448" s="351">
        <f t="shared" si="126"/>
        <v>44.297530043478261</v>
      </c>
      <c r="L448" s="321"/>
      <c r="M448" s="399"/>
    </row>
    <row r="449" spans="2:13">
      <c r="B449" s="335"/>
      <c r="C449" s="320"/>
      <c r="D449" s="299" t="s">
        <v>199</v>
      </c>
      <c r="E449" s="349">
        <f>MAX(E417:E421,E423:E427,E429:E433,E435:E439,E441:E445)</f>
        <v>3.9239999999999999</v>
      </c>
      <c r="F449" s="349">
        <f t="shared" ref="F449:K449" si="127">MAX(F417:F421,F423:F427,F429:F433,F435:F439,F441:F445)</f>
        <v>4.5979999999999999</v>
      </c>
      <c r="G449" s="349">
        <f t="shared" si="127"/>
        <v>3.7548819999999998</v>
      </c>
      <c r="H449" s="349">
        <f t="shared" si="127"/>
        <v>5.7229140000000003</v>
      </c>
      <c r="I449" s="350">
        <f t="shared" si="127"/>
        <v>0.13969999999999999</v>
      </c>
      <c r="J449" s="350">
        <f t="shared" si="127"/>
        <v>9.8500000000000004E-2</v>
      </c>
      <c r="K449" s="351">
        <f t="shared" si="127"/>
        <v>46.680202999999999</v>
      </c>
      <c r="L449" s="321"/>
      <c r="M449" s="399"/>
    </row>
    <row r="450" spans="2:13">
      <c r="B450" s="335"/>
      <c r="C450" s="320"/>
      <c r="D450" s="299" t="s">
        <v>200</v>
      </c>
      <c r="E450" s="349">
        <f>MIN(E417:E421,E423:E427,E429:E433,E435:E439,E441:E445)</f>
        <v>3.7869999999999999</v>
      </c>
      <c r="F450" s="349">
        <f t="shared" ref="F450:K450" si="128">MIN(F417:F421,F423:F427,F429:F433,F435:F439,F441:F445)</f>
        <v>4.1429999999999998</v>
      </c>
      <c r="G450" s="349">
        <f t="shared" si="128"/>
        <v>3.3772500000000001</v>
      </c>
      <c r="H450" s="349">
        <f t="shared" si="128"/>
        <v>5.1946979999999998</v>
      </c>
      <c r="I450" s="350">
        <f t="shared" si="128"/>
        <v>0.13919999999999999</v>
      </c>
      <c r="J450" s="350">
        <f t="shared" si="128"/>
        <v>9.74E-2</v>
      </c>
      <c r="K450" s="351">
        <f t="shared" si="128"/>
        <v>42.408163000000002</v>
      </c>
      <c r="L450" s="321"/>
      <c r="M450" s="399"/>
    </row>
    <row r="451" spans="2:13">
      <c r="B451" s="335"/>
      <c r="C451" s="320"/>
      <c r="D451" s="299" t="s">
        <v>201</v>
      </c>
      <c r="E451" s="349">
        <f>E449-E450</f>
        <v>0.13700000000000001</v>
      </c>
      <c r="F451" s="349">
        <f t="shared" ref="F451:K451" si="129">F449-F450</f>
        <v>0.45500000000000007</v>
      </c>
      <c r="G451" s="349">
        <f t="shared" si="129"/>
        <v>0.37763199999999975</v>
      </c>
      <c r="H451" s="349">
        <f t="shared" si="129"/>
        <v>0.52821600000000046</v>
      </c>
      <c r="I451" s="350">
        <f t="shared" si="129"/>
        <v>5.0000000000000044E-4</v>
      </c>
      <c r="J451" s="350">
        <f t="shared" si="129"/>
        <v>1.1000000000000038E-3</v>
      </c>
      <c r="K451" s="349">
        <f t="shared" si="129"/>
        <v>4.272039999999997</v>
      </c>
      <c r="L451" s="321"/>
      <c r="M451" s="399"/>
    </row>
    <row r="452" spans="2:13">
      <c r="B452" s="335"/>
      <c r="C452" s="320"/>
      <c r="D452" s="299" t="s">
        <v>202</v>
      </c>
      <c r="E452" s="349">
        <f>STDEVA(E417:E421,E423:E427,E429:E433,E435:E439,E441:E445)</f>
        <v>3.200314954856269E-2</v>
      </c>
      <c r="F452" s="349">
        <f t="shared" ref="F452:K452" si="130">STDEVA(F417:F421,F423:F427,F429:F433,F435:F439,F441:F445)</f>
        <v>0.13788359356897426</v>
      </c>
      <c r="G452" s="349">
        <f t="shared" si="130"/>
        <v>0.11206219068941435</v>
      </c>
      <c r="H452" s="349">
        <f t="shared" si="130"/>
        <v>0.16269380753507759</v>
      </c>
      <c r="I452" s="350">
        <f t="shared" si="130"/>
        <v>1.3217547325894359E-4</v>
      </c>
      <c r="J452" s="350">
        <f t="shared" si="130"/>
        <v>3.8530312485589199E-4</v>
      </c>
      <c r="K452" s="349">
        <f t="shared" si="130"/>
        <v>1.3155852220342328</v>
      </c>
      <c r="L452" s="321"/>
      <c r="M452" s="399"/>
    </row>
    <row r="453" spans="2:13" ht="17.25" thickBot="1">
      <c r="B453" s="336"/>
      <c r="C453" s="323"/>
      <c r="D453" s="293" t="s">
        <v>203</v>
      </c>
      <c r="E453" s="352">
        <f>E452*3</f>
        <v>9.600944864568807E-2</v>
      </c>
      <c r="F453" s="352">
        <f t="shared" ref="F453:K453" si="131">F452*3</f>
        <v>0.41365078070692274</v>
      </c>
      <c r="G453" s="352">
        <f t="shared" si="131"/>
        <v>0.33618657206824304</v>
      </c>
      <c r="H453" s="352">
        <f t="shared" si="131"/>
        <v>0.4880814226052328</v>
      </c>
      <c r="I453" s="353">
        <f t="shared" si="131"/>
        <v>3.9652641977683077E-4</v>
      </c>
      <c r="J453" s="353">
        <f t="shared" si="131"/>
        <v>1.155909374567676E-3</v>
      </c>
      <c r="K453" s="352">
        <f t="shared" si="131"/>
        <v>3.9467556661026983</v>
      </c>
      <c r="L453" s="324"/>
      <c r="M453" s="399"/>
    </row>
    <row r="455" spans="2:13">
      <c r="B455" s="240" t="s">
        <v>482</v>
      </c>
      <c r="C455" s="240"/>
      <c r="E455" s="240"/>
      <c r="F455" s="240"/>
      <c r="G455" s="240"/>
      <c r="H455" s="240"/>
      <c r="I455" s="240"/>
      <c r="J455" s="240"/>
      <c r="K455" s="240"/>
    </row>
    <row r="456" spans="2:13" ht="17.25" thickBot="1">
      <c r="B456" s="240" t="s">
        <v>469</v>
      </c>
      <c r="C456" s="240"/>
      <c r="E456" s="240"/>
      <c r="F456" s="240"/>
      <c r="G456" s="240"/>
      <c r="H456" s="240"/>
      <c r="I456" s="240"/>
      <c r="J456" s="240"/>
      <c r="K456" s="240"/>
    </row>
    <row r="457" spans="2:13" ht="17.25" thickBot="1">
      <c r="B457" s="313" t="s">
        <v>11</v>
      </c>
      <c r="C457" s="250" t="s">
        <v>0</v>
      </c>
      <c r="D457" s="250" t="s">
        <v>1</v>
      </c>
      <c r="E457" s="250" t="s">
        <v>2</v>
      </c>
      <c r="F457" s="250" t="s">
        <v>3</v>
      </c>
      <c r="G457" s="250" t="s">
        <v>192</v>
      </c>
      <c r="H457" s="250" t="s">
        <v>16</v>
      </c>
      <c r="I457" s="250" t="s">
        <v>6</v>
      </c>
      <c r="J457" s="251" t="s">
        <v>7</v>
      </c>
      <c r="K457" s="252" t="s">
        <v>8</v>
      </c>
      <c r="L457" s="254" t="s">
        <v>470</v>
      </c>
      <c r="M457" s="404"/>
    </row>
    <row r="458" spans="2:13">
      <c r="B458" s="314">
        <v>1</v>
      </c>
      <c r="C458" s="271" t="s">
        <v>265</v>
      </c>
      <c r="D458" s="291" t="s">
        <v>213</v>
      </c>
      <c r="E458" s="307">
        <v>3.83</v>
      </c>
      <c r="F458" s="307">
        <v>4.2949999999999999</v>
      </c>
      <c r="G458" s="272">
        <v>3.5230100000000002</v>
      </c>
      <c r="H458" s="307">
        <v>5.4491949999999996</v>
      </c>
      <c r="I458" s="273">
        <v>0.13900000000000001</v>
      </c>
      <c r="J458" s="273">
        <v>9.6699999999999994E-2</v>
      </c>
      <c r="K458" s="272">
        <v>44.415719000000003</v>
      </c>
      <c r="L458" s="275" t="s">
        <v>474</v>
      </c>
      <c r="M458" s="397"/>
    </row>
    <row r="459" spans="2:13">
      <c r="B459" s="315">
        <v>2</v>
      </c>
      <c r="C459" s="316"/>
      <c r="D459" s="299" t="s">
        <v>214</v>
      </c>
      <c r="E459" s="309">
        <v>3.8359999999999999</v>
      </c>
      <c r="F459" s="309">
        <v>4.2809999999999997</v>
      </c>
      <c r="G459" s="317">
        <v>3.5060340000000001</v>
      </c>
      <c r="H459" s="309">
        <v>5.4406030000000003</v>
      </c>
      <c r="I459" s="318">
        <v>0.13919999999999999</v>
      </c>
      <c r="J459" s="318">
        <v>9.6600000000000005E-2</v>
      </c>
      <c r="K459" s="317">
        <v>44.316769999999998</v>
      </c>
      <c r="L459" s="319" t="s">
        <v>211</v>
      </c>
      <c r="M459" s="398"/>
    </row>
    <row r="460" spans="2:13">
      <c r="B460" s="315">
        <v>3</v>
      </c>
      <c r="C460" s="320"/>
      <c r="D460" s="299" t="s">
        <v>217</v>
      </c>
      <c r="E460" s="309">
        <v>3.8420000000000001</v>
      </c>
      <c r="F460" s="309">
        <v>4.282</v>
      </c>
      <c r="G460" s="317">
        <v>3.501376</v>
      </c>
      <c r="H460" s="309">
        <v>5.4414879999999997</v>
      </c>
      <c r="I460" s="318">
        <v>0.1391</v>
      </c>
      <c r="J460" s="318">
        <v>9.6299999999999997E-2</v>
      </c>
      <c r="K460" s="317">
        <v>44.465212999999999</v>
      </c>
      <c r="L460" s="356" t="s">
        <v>254</v>
      </c>
      <c r="M460" s="400"/>
    </row>
    <row r="461" spans="2:13">
      <c r="B461" s="315">
        <v>4</v>
      </c>
      <c r="C461" s="320"/>
      <c r="D461" s="299" t="s">
        <v>218</v>
      </c>
      <c r="E461" s="309">
        <v>3.8410000000000002</v>
      </c>
      <c r="F461" s="309">
        <v>4.2859999999999996</v>
      </c>
      <c r="G461" s="317">
        <v>3.50556</v>
      </c>
      <c r="H461" s="309">
        <v>5.4550910000000004</v>
      </c>
      <c r="I461" s="318">
        <v>0.13900000000000001</v>
      </c>
      <c r="J461" s="318">
        <v>9.6100000000000005E-2</v>
      </c>
      <c r="K461" s="317">
        <v>44.599375999999999</v>
      </c>
      <c r="L461" s="356" t="s">
        <v>477</v>
      </c>
      <c r="M461" s="400"/>
    </row>
    <row r="462" spans="2:13" ht="17.25" thickBot="1">
      <c r="B462" s="322">
        <v>5</v>
      </c>
      <c r="C462" s="323"/>
      <c r="D462" s="354" t="s">
        <v>240</v>
      </c>
      <c r="E462" s="311">
        <v>3.8279999999999998</v>
      </c>
      <c r="F462" s="311">
        <v>4.2779999999999996</v>
      </c>
      <c r="G462" s="278">
        <v>3.5108990000000002</v>
      </c>
      <c r="H462" s="311">
        <v>5.4652969999999996</v>
      </c>
      <c r="I462" s="279">
        <v>0.13880000000000001</v>
      </c>
      <c r="J462" s="279">
        <v>9.5899999999999999E-2</v>
      </c>
      <c r="K462" s="278">
        <v>44.608967999999997</v>
      </c>
      <c r="L462" s="324"/>
      <c r="M462" s="399"/>
    </row>
    <row r="463" spans="2:13" ht="17.25" thickBot="1">
      <c r="B463" s="325"/>
      <c r="C463" s="326"/>
      <c r="D463" s="327" t="s">
        <v>463</v>
      </c>
      <c r="E463" s="328">
        <f>AVERAGE(E458:E462)</f>
        <v>3.8353999999999999</v>
      </c>
      <c r="F463" s="328">
        <f t="shared" ref="F463:K463" si="132">AVERAGE(F458:F462)</f>
        <v>4.2843999999999998</v>
      </c>
      <c r="G463" s="328">
        <f t="shared" si="132"/>
        <v>3.5093758000000008</v>
      </c>
      <c r="H463" s="328">
        <f t="shared" si="132"/>
        <v>5.4503347999999994</v>
      </c>
      <c r="I463" s="329">
        <f t="shared" si="132"/>
        <v>0.13902</v>
      </c>
      <c r="J463" s="329">
        <f t="shared" si="132"/>
        <v>9.6319999999999989E-2</v>
      </c>
      <c r="K463" s="330">
        <f t="shared" si="132"/>
        <v>44.481209200000002</v>
      </c>
      <c r="L463" s="331"/>
      <c r="M463" s="399"/>
    </row>
    <row r="464" spans="2:13">
      <c r="B464" s="314">
        <v>6</v>
      </c>
      <c r="C464" s="271" t="s">
        <v>269</v>
      </c>
      <c r="D464" s="291" t="s">
        <v>241</v>
      </c>
      <c r="E464" s="307">
        <v>3.831</v>
      </c>
      <c r="F464" s="307">
        <v>4.2910000000000004</v>
      </c>
      <c r="G464" s="272">
        <v>3.5188100000000002</v>
      </c>
      <c r="H464" s="307">
        <v>5.4375179999999999</v>
      </c>
      <c r="I464" s="273">
        <v>0.13900000000000001</v>
      </c>
      <c r="J464" s="273">
        <v>9.6799999999999997E-2</v>
      </c>
      <c r="K464" s="272">
        <v>44.328512000000003</v>
      </c>
      <c r="L464" s="332"/>
      <c r="M464" s="399"/>
    </row>
    <row r="465" spans="2:13">
      <c r="B465" s="315">
        <v>7</v>
      </c>
      <c r="C465" s="320"/>
      <c r="D465" s="299" t="s">
        <v>242</v>
      </c>
      <c r="E465" s="309">
        <v>3.8490000000000002</v>
      </c>
      <c r="F465" s="309">
        <v>4.2430000000000003</v>
      </c>
      <c r="G465" s="317">
        <v>3.4631769999999999</v>
      </c>
      <c r="H465" s="309">
        <v>5.3849419999999997</v>
      </c>
      <c r="I465" s="318">
        <v>0.13900000000000001</v>
      </c>
      <c r="J465" s="318">
        <v>9.6600000000000005E-2</v>
      </c>
      <c r="K465" s="317">
        <v>43.923394999999999</v>
      </c>
      <c r="L465" s="321"/>
      <c r="M465" s="399"/>
    </row>
    <row r="466" spans="2:13">
      <c r="B466" s="315">
        <v>8</v>
      </c>
      <c r="C466" s="320"/>
      <c r="D466" s="299" t="s">
        <v>222</v>
      </c>
      <c r="E466" s="309">
        <v>3.847</v>
      </c>
      <c r="F466" s="309">
        <v>4.1859999999999999</v>
      </c>
      <c r="G466" s="317">
        <v>3.4184290000000002</v>
      </c>
      <c r="H466" s="309">
        <v>5.309958</v>
      </c>
      <c r="I466" s="318">
        <v>0.1389</v>
      </c>
      <c r="J466" s="318">
        <v>9.6500000000000002E-2</v>
      </c>
      <c r="K466" s="317">
        <v>43.378238000000003</v>
      </c>
      <c r="L466" s="321"/>
      <c r="M466" s="399"/>
    </row>
    <row r="467" spans="2:13">
      <c r="B467" s="315">
        <v>9</v>
      </c>
      <c r="C467" s="320"/>
      <c r="D467" s="299" t="s">
        <v>223</v>
      </c>
      <c r="E467" s="309">
        <v>3.8290000000000002</v>
      </c>
      <c r="F467" s="309">
        <v>4.149</v>
      </c>
      <c r="G467" s="317">
        <v>3.4041410000000001</v>
      </c>
      <c r="H467" s="309">
        <v>5.2768649999999999</v>
      </c>
      <c r="I467" s="318">
        <v>0.13900000000000001</v>
      </c>
      <c r="J467" s="318">
        <v>9.6299999999999997E-2</v>
      </c>
      <c r="K467" s="317">
        <v>43.084111999999998</v>
      </c>
      <c r="L467" s="321"/>
      <c r="M467" s="399"/>
    </row>
    <row r="468" spans="2:13" ht="17.25" thickBot="1">
      <c r="B468" s="322">
        <v>10</v>
      </c>
      <c r="C468" s="323"/>
      <c r="D468" s="293" t="s">
        <v>243</v>
      </c>
      <c r="E468" s="311">
        <v>3.819</v>
      </c>
      <c r="F468" s="311">
        <v>4.1189999999999998</v>
      </c>
      <c r="G468" s="278">
        <v>3.3883760000000001</v>
      </c>
      <c r="H468" s="311">
        <v>5.2581309999999997</v>
      </c>
      <c r="I468" s="279">
        <v>0.13869999999999999</v>
      </c>
      <c r="J468" s="279">
        <v>9.6100000000000005E-2</v>
      </c>
      <c r="K468" s="278">
        <v>42.861601999999998</v>
      </c>
      <c r="L468" s="324"/>
      <c r="M468" s="399"/>
    </row>
    <row r="469" spans="2:13" ht="17.25" thickBot="1">
      <c r="B469" s="325" t="s">
        <v>464</v>
      </c>
      <c r="C469" s="326"/>
      <c r="D469" s="327" t="s">
        <v>463</v>
      </c>
      <c r="E469" s="328">
        <f>AVERAGE(E464:E468)</f>
        <v>3.835</v>
      </c>
      <c r="F469" s="328">
        <f t="shared" ref="F469:K469" si="133">AVERAGE(F464:F468)</f>
        <v>4.1975999999999996</v>
      </c>
      <c r="G469" s="328">
        <f t="shared" si="133"/>
        <v>3.4385865999999998</v>
      </c>
      <c r="H469" s="328">
        <f t="shared" si="133"/>
        <v>5.3334828000000005</v>
      </c>
      <c r="I469" s="329">
        <f t="shared" si="133"/>
        <v>0.13892000000000002</v>
      </c>
      <c r="J469" s="329">
        <f t="shared" si="133"/>
        <v>9.6460000000000018E-2</v>
      </c>
      <c r="K469" s="330">
        <f t="shared" si="133"/>
        <v>43.515171800000005</v>
      </c>
      <c r="L469" s="331"/>
      <c r="M469" s="399"/>
    </row>
    <row r="470" spans="2:13">
      <c r="B470" s="333">
        <v>11</v>
      </c>
      <c r="C470" s="334" t="s">
        <v>205</v>
      </c>
      <c r="D470" s="291" t="s">
        <v>244</v>
      </c>
      <c r="E470" s="307">
        <v>3.84</v>
      </c>
      <c r="F470" s="307">
        <v>4.4340000000000002</v>
      </c>
      <c r="G470" s="272">
        <v>3.6275550000000001</v>
      </c>
      <c r="H470" s="307">
        <v>5.6324199999999998</v>
      </c>
      <c r="I470" s="273">
        <v>0.1384</v>
      </c>
      <c r="J470" s="273">
        <v>9.7000000000000003E-2</v>
      </c>
      <c r="K470" s="272">
        <v>45.71134</v>
      </c>
      <c r="L470" s="332"/>
      <c r="M470" s="399"/>
    </row>
    <row r="471" spans="2:13">
      <c r="B471" s="335">
        <v>12</v>
      </c>
      <c r="C471" s="320"/>
      <c r="D471" s="299" t="s">
        <v>245</v>
      </c>
      <c r="E471" s="309">
        <v>3.964</v>
      </c>
      <c r="F471" s="309">
        <v>4.3789999999999996</v>
      </c>
      <c r="G471" s="317">
        <v>3.4704899999999999</v>
      </c>
      <c r="H471" s="309">
        <v>5.5584090000000002</v>
      </c>
      <c r="I471" s="318">
        <v>0.13850000000000001</v>
      </c>
      <c r="J471" s="318">
        <v>9.6799999999999997E-2</v>
      </c>
      <c r="K471" s="317">
        <v>45.237603</v>
      </c>
      <c r="L471" s="321"/>
      <c r="M471" s="399"/>
    </row>
    <row r="472" spans="2:13">
      <c r="B472" s="335">
        <v>13</v>
      </c>
      <c r="C472" s="320"/>
      <c r="D472" s="299" t="s">
        <v>227</v>
      </c>
      <c r="E472" s="309">
        <v>3.8809999999999998</v>
      </c>
      <c r="F472" s="309">
        <v>4.3319999999999999</v>
      </c>
      <c r="G472" s="317">
        <v>3.5066649999999999</v>
      </c>
      <c r="H472" s="309">
        <v>5.511857</v>
      </c>
      <c r="I472" s="318">
        <v>0.1384</v>
      </c>
      <c r="J472" s="318">
        <v>9.6699999999999994E-2</v>
      </c>
      <c r="K472" s="317">
        <v>44.798344999999998</v>
      </c>
      <c r="L472" s="321"/>
      <c r="M472" s="399"/>
    </row>
    <row r="473" spans="2:13">
      <c r="B473" s="335">
        <v>14</v>
      </c>
      <c r="C473" s="320"/>
      <c r="D473" s="299" t="s">
        <v>228</v>
      </c>
      <c r="E473" s="309">
        <v>3.8559999999999999</v>
      </c>
      <c r="F473" s="309">
        <v>4.3090000000000002</v>
      </c>
      <c r="G473" s="317">
        <v>3.5106619999999999</v>
      </c>
      <c r="H473" s="309">
        <v>5.4893479999999997</v>
      </c>
      <c r="I473" s="318">
        <v>0.13830000000000001</v>
      </c>
      <c r="J473" s="318">
        <v>9.6600000000000005E-2</v>
      </c>
      <c r="K473" s="317">
        <v>44.606625000000001</v>
      </c>
      <c r="L473" s="321"/>
      <c r="M473" s="399"/>
    </row>
    <row r="474" spans="2:13" ht="17.25" thickBot="1">
      <c r="B474" s="336">
        <v>15</v>
      </c>
      <c r="C474" s="323"/>
      <c r="D474" s="293" t="s">
        <v>246</v>
      </c>
      <c r="E474" s="311">
        <v>3.8380000000000001</v>
      </c>
      <c r="F474" s="311">
        <v>4.2850000000000001</v>
      </c>
      <c r="G474" s="278">
        <v>3.5074809999999998</v>
      </c>
      <c r="H474" s="311">
        <v>5.4663370000000002</v>
      </c>
      <c r="I474" s="279">
        <v>0.1381</v>
      </c>
      <c r="J474" s="279">
        <v>9.6799999999999997E-2</v>
      </c>
      <c r="K474" s="278">
        <v>44.266528999999998</v>
      </c>
      <c r="L474" s="324"/>
      <c r="M474" s="399"/>
    </row>
    <row r="475" spans="2:13" ht="17.25" thickBot="1">
      <c r="B475" s="337"/>
      <c r="C475" s="326"/>
      <c r="D475" s="327" t="s">
        <v>463</v>
      </c>
      <c r="E475" s="328">
        <f>AVERAGE(E470:E474)</f>
        <v>3.8758000000000004</v>
      </c>
      <c r="F475" s="328">
        <f t="shared" ref="F475:K475" si="134">AVERAGE(F470:F474)</f>
        <v>4.3478000000000003</v>
      </c>
      <c r="G475" s="328">
        <f t="shared" si="134"/>
        <v>3.5245705999999997</v>
      </c>
      <c r="H475" s="328">
        <f t="shared" si="134"/>
        <v>5.5316741999999994</v>
      </c>
      <c r="I475" s="329">
        <f t="shared" si="134"/>
        <v>0.13833999999999999</v>
      </c>
      <c r="J475" s="329">
        <f t="shared" si="134"/>
        <v>9.6780000000000005E-2</v>
      </c>
      <c r="K475" s="330">
        <f t="shared" si="134"/>
        <v>44.924088400000002</v>
      </c>
      <c r="L475" s="331"/>
      <c r="M475" s="399"/>
    </row>
    <row r="476" spans="2:13">
      <c r="B476" s="333">
        <v>16</v>
      </c>
      <c r="C476" s="271" t="s">
        <v>205</v>
      </c>
      <c r="D476" s="291" t="s">
        <v>247</v>
      </c>
      <c r="E476" s="307">
        <v>3.8410000000000002</v>
      </c>
      <c r="F476" s="307">
        <v>4.8810000000000002</v>
      </c>
      <c r="G476" s="272">
        <v>3.992216</v>
      </c>
      <c r="H476" s="272">
        <v>5.0784900000000004</v>
      </c>
      <c r="I476" s="273">
        <v>0.1331</v>
      </c>
      <c r="J476" s="273">
        <v>0.13</v>
      </c>
      <c r="K476" s="272">
        <v>37.546154000000001</v>
      </c>
      <c r="L476" s="359" t="s">
        <v>483</v>
      </c>
      <c r="M476" s="401"/>
    </row>
    <row r="477" spans="2:13">
      <c r="B477" s="335">
        <v>17</v>
      </c>
      <c r="C477" s="320"/>
      <c r="D477" s="299" t="s">
        <v>248</v>
      </c>
      <c r="E477" s="309">
        <v>3.883</v>
      </c>
      <c r="F477" s="309">
        <v>4.8250000000000002</v>
      </c>
      <c r="G477" s="317">
        <v>3.9037269999999999</v>
      </c>
      <c r="H477" s="317">
        <v>5.0144880000000001</v>
      </c>
      <c r="I477" s="318">
        <v>0.1331</v>
      </c>
      <c r="J477" s="318">
        <v>0.13039999999999999</v>
      </c>
      <c r="K477" s="317">
        <v>37.001533999999999</v>
      </c>
      <c r="L477" s="321"/>
      <c r="M477" s="399"/>
    </row>
    <row r="478" spans="2:13">
      <c r="B478" s="335">
        <v>18</v>
      </c>
      <c r="C478" s="320"/>
      <c r="D478" s="299" t="s">
        <v>232</v>
      </c>
      <c r="E478" s="309">
        <v>3.867</v>
      </c>
      <c r="F478" s="309">
        <v>4.8</v>
      </c>
      <c r="G478" s="317">
        <v>3.8995690000000001</v>
      </c>
      <c r="H478" s="317">
        <v>4.9751029999999998</v>
      </c>
      <c r="I478" s="318">
        <v>0.13300000000000001</v>
      </c>
      <c r="J478" s="318">
        <v>0.13059999999999999</v>
      </c>
      <c r="K478" s="317">
        <v>36.753445999999997</v>
      </c>
      <c r="L478" s="321"/>
      <c r="M478" s="399"/>
    </row>
    <row r="479" spans="2:13">
      <c r="B479" s="335">
        <v>19</v>
      </c>
      <c r="C479" s="320"/>
      <c r="D479" s="299" t="s">
        <v>233</v>
      </c>
      <c r="E479" s="309">
        <v>3.8519999999999999</v>
      </c>
      <c r="F479" s="309">
        <v>4.7460000000000004</v>
      </c>
      <c r="G479" s="317">
        <v>3.8707129999999998</v>
      </c>
      <c r="H479" s="317">
        <v>4.9106430000000003</v>
      </c>
      <c r="I479" s="318">
        <v>0.13300000000000001</v>
      </c>
      <c r="J479" s="318">
        <v>0.13120000000000001</v>
      </c>
      <c r="K479" s="317">
        <v>36.173780000000001</v>
      </c>
      <c r="L479" s="321"/>
      <c r="M479" s="399"/>
    </row>
    <row r="480" spans="2:13" ht="17.25" thickBot="1">
      <c r="B480" s="336">
        <v>20</v>
      </c>
      <c r="C480" s="323"/>
      <c r="D480" s="293" t="s">
        <v>249</v>
      </c>
      <c r="E480" s="311">
        <v>3.8359999999999999</v>
      </c>
      <c r="F480" s="311">
        <v>4.6870000000000003</v>
      </c>
      <c r="G480" s="278">
        <v>3.8385379999999998</v>
      </c>
      <c r="H480" s="278">
        <v>4.8088290000000002</v>
      </c>
      <c r="I480" s="279">
        <v>0.1331</v>
      </c>
      <c r="J480" s="279">
        <v>0.13239999999999999</v>
      </c>
      <c r="K480" s="278">
        <v>35.400302000000003</v>
      </c>
      <c r="L480" s="324"/>
      <c r="M480" s="399"/>
    </row>
    <row r="481" spans="2:13" ht="17.25" thickBot="1">
      <c r="B481" s="337"/>
      <c r="C481" s="326"/>
      <c r="D481" s="327" t="s">
        <v>463</v>
      </c>
      <c r="E481" s="328">
        <f>AVERAGE(E476:E480)</f>
        <v>3.8557999999999999</v>
      </c>
      <c r="F481" s="328">
        <f t="shared" ref="F481:K481" si="135">AVERAGE(F476:F480)</f>
        <v>4.7878000000000007</v>
      </c>
      <c r="G481" s="328">
        <f t="shared" si="135"/>
        <v>3.9009526000000001</v>
      </c>
      <c r="H481" s="328">
        <f t="shared" si="135"/>
        <v>4.9575106</v>
      </c>
      <c r="I481" s="329">
        <f t="shared" si="135"/>
        <v>0.13306000000000001</v>
      </c>
      <c r="J481" s="329">
        <f t="shared" si="135"/>
        <v>0.13091999999999998</v>
      </c>
      <c r="K481" s="328">
        <f t="shared" si="135"/>
        <v>36.575043199999996</v>
      </c>
      <c r="L481" s="331"/>
      <c r="M481" s="399"/>
    </row>
    <row r="482" spans="2:13">
      <c r="B482" s="333">
        <v>21</v>
      </c>
      <c r="C482" s="271" t="s">
        <v>268</v>
      </c>
      <c r="D482" s="291" t="s">
        <v>250</v>
      </c>
      <c r="E482" s="307">
        <v>3.8439999999999999</v>
      </c>
      <c r="F482" s="307">
        <v>4.3849999999999998</v>
      </c>
      <c r="G482" s="272">
        <v>3.5837340000000002</v>
      </c>
      <c r="H482" s="307">
        <v>5.5668829999999998</v>
      </c>
      <c r="I482" s="273">
        <v>0.1391</v>
      </c>
      <c r="J482" s="273">
        <v>9.6500000000000002E-2</v>
      </c>
      <c r="K482" s="272">
        <v>45.440415000000002</v>
      </c>
      <c r="L482" s="332"/>
      <c r="M482" s="399"/>
    </row>
    <row r="483" spans="2:13">
      <c r="B483" s="335">
        <v>22</v>
      </c>
      <c r="C483" s="320"/>
      <c r="D483" s="299" t="s">
        <v>251</v>
      </c>
      <c r="E483" s="309">
        <v>3.8530000000000002</v>
      </c>
      <c r="F483" s="309">
        <v>4.3369999999999997</v>
      </c>
      <c r="G483" s="317">
        <v>3.536225</v>
      </c>
      <c r="H483" s="309">
        <v>5.5103030000000004</v>
      </c>
      <c r="I483" s="318">
        <v>0.13919999999999999</v>
      </c>
      <c r="J483" s="318">
        <v>9.64E-2</v>
      </c>
      <c r="K483" s="317">
        <v>44.989626999999999</v>
      </c>
      <c r="L483" s="321"/>
      <c r="M483" s="399"/>
    </row>
    <row r="484" spans="2:13">
      <c r="B484" s="335">
        <v>23</v>
      </c>
      <c r="C484" s="320"/>
      <c r="D484" s="299" t="s">
        <v>237</v>
      </c>
      <c r="E484" s="309">
        <v>3.8479999999999999</v>
      </c>
      <c r="F484" s="309">
        <v>4.3049999999999997</v>
      </c>
      <c r="G484" s="317">
        <v>3.5146950000000001</v>
      </c>
      <c r="H484" s="309">
        <v>5.4767089999999996</v>
      </c>
      <c r="I484" s="318">
        <v>0.13919999999999999</v>
      </c>
      <c r="J484" s="318">
        <v>9.6199999999999994E-2</v>
      </c>
      <c r="K484" s="317">
        <v>44.750520000000002</v>
      </c>
      <c r="L484" s="321"/>
      <c r="M484" s="399"/>
    </row>
    <row r="485" spans="2:13">
      <c r="B485" s="335">
        <v>24</v>
      </c>
      <c r="C485" s="320"/>
      <c r="D485" s="299" t="s">
        <v>238</v>
      </c>
      <c r="E485" s="309">
        <v>3.8420000000000001</v>
      </c>
      <c r="F485" s="309">
        <v>4.2750000000000004</v>
      </c>
      <c r="G485" s="317">
        <v>3.4956529999999999</v>
      </c>
      <c r="H485" s="309">
        <v>5.4433499999999997</v>
      </c>
      <c r="I485" s="318">
        <v>0.13900000000000001</v>
      </c>
      <c r="J485" s="318">
        <v>9.6100000000000005E-2</v>
      </c>
      <c r="K485" s="317">
        <v>44.484912000000001</v>
      </c>
      <c r="L485" s="321"/>
      <c r="M485" s="399"/>
    </row>
    <row r="486" spans="2:13" ht="17.25" thickBot="1">
      <c r="B486" s="336">
        <v>25</v>
      </c>
      <c r="C486" s="323"/>
      <c r="D486" s="293" t="s">
        <v>252</v>
      </c>
      <c r="E486" s="311">
        <v>3.8279999999999998</v>
      </c>
      <c r="F486" s="311">
        <v>4.2640000000000002</v>
      </c>
      <c r="G486" s="278">
        <v>3.4994100000000001</v>
      </c>
      <c r="H486" s="311">
        <v>5.4541599999999999</v>
      </c>
      <c r="I486" s="279">
        <v>0.1389</v>
      </c>
      <c r="J486" s="279">
        <v>9.5699999999999993E-2</v>
      </c>
      <c r="K486" s="278">
        <v>44.555903999999998</v>
      </c>
      <c r="L486" s="324"/>
      <c r="M486" s="399"/>
    </row>
    <row r="487" spans="2:13" ht="17.25" thickBot="1">
      <c r="B487" s="339" t="s">
        <v>464</v>
      </c>
      <c r="C487" s="340"/>
      <c r="D487" s="341" t="s">
        <v>465</v>
      </c>
      <c r="E487" s="342">
        <f>AVERAGE(E482:E486)</f>
        <v>3.843</v>
      </c>
      <c r="F487" s="342">
        <f t="shared" ref="F487:K487" si="136">AVERAGE(F482:F486)</f>
        <v>4.3132000000000001</v>
      </c>
      <c r="G487" s="342">
        <f t="shared" si="136"/>
        <v>3.5259434000000001</v>
      </c>
      <c r="H487" s="342">
        <f t="shared" si="136"/>
        <v>5.4902810000000004</v>
      </c>
      <c r="I487" s="343">
        <f t="shared" si="136"/>
        <v>0.13908000000000001</v>
      </c>
      <c r="J487" s="343">
        <f t="shared" si="136"/>
        <v>9.6180000000000015E-2</v>
      </c>
      <c r="K487" s="342">
        <f t="shared" si="136"/>
        <v>44.844275600000003</v>
      </c>
      <c r="L487" s="344"/>
      <c r="M487" s="399"/>
    </row>
    <row r="488" spans="2:13">
      <c r="B488" s="333"/>
      <c r="C488" s="345"/>
      <c r="D488" s="291" t="s">
        <v>466</v>
      </c>
      <c r="E488" s="346">
        <f>MEDIAN(E458:E462,E464:E468,E470:E474,E476:E480,E482:E486)</f>
        <v>3.8420000000000001</v>
      </c>
      <c r="F488" s="346">
        <f t="shared" ref="F488:K488" si="137">MEDIAN(F458:F462,F464:F468,F470:F474,F476:F480,F482:F486)</f>
        <v>4.2949999999999999</v>
      </c>
      <c r="G488" s="346">
        <f t="shared" si="137"/>
        <v>3.5106619999999999</v>
      </c>
      <c r="H488" s="346">
        <f t="shared" si="137"/>
        <v>5.4433499999999997</v>
      </c>
      <c r="I488" s="347">
        <f t="shared" si="137"/>
        <v>0.1389</v>
      </c>
      <c r="J488" s="347">
        <f t="shared" si="137"/>
        <v>9.6600000000000005E-2</v>
      </c>
      <c r="K488" s="348">
        <f t="shared" si="137"/>
        <v>44.415719000000003</v>
      </c>
      <c r="L488" s="332"/>
      <c r="M488" s="399"/>
    </row>
    <row r="489" spans="2:13">
      <c r="B489" s="335"/>
      <c r="C489" s="320"/>
      <c r="D489" s="299" t="s">
        <v>467</v>
      </c>
      <c r="E489" s="349">
        <f>AVERAGE(E458:E462,E464:E468,E470:E474,E476:E480,E482:E486)</f>
        <v>3.8490000000000002</v>
      </c>
      <c r="F489" s="349">
        <f t="shared" ref="F489:K489" si="138">AVERAGE(F458:F462,F464:F468,F470:F474,F476:F480,F482:F486)</f>
        <v>4.3861599999999994</v>
      </c>
      <c r="G489" s="349">
        <f t="shared" si="138"/>
        <v>3.5798858000000009</v>
      </c>
      <c r="H489" s="349">
        <f t="shared" si="138"/>
        <v>5.3526566800000008</v>
      </c>
      <c r="I489" s="350">
        <f t="shared" si="138"/>
        <v>0.13768399999999997</v>
      </c>
      <c r="J489" s="350">
        <f t="shared" si="138"/>
        <v>0.10333199999999999</v>
      </c>
      <c r="K489" s="351">
        <f t="shared" si="138"/>
        <v>42.867957640000007</v>
      </c>
      <c r="L489" s="321"/>
      <c r="M489" s="399"/>
    </row>
    <row r="490" spans="2:13">
      <c r="B490" s="335"/>
      <c r="C490" s="320"/>
      <c r="D490" s="299" t="s">
        <v>199</v>
      </c>
      <c r="E490" s="349">
        <f>MAX(E458:E462,E464:E468,E470:E474,E476:E480,E482:E486)</f>
        <v>3.964</v>
      </c>
      <c r="F490" s="349">
        <f t="shared" ref="F490:K490" si="139">MAX(F458:F462,F464:F468,F470:F474,F476:F480,F482:F486)</f>
        <v>4.8810000000000002</v>
      </c>
      <c r="G490" s="349">
        <f t="shared" si="139"/>
        <v>3.992216</v>
      </c>
      <c r="H490" s="349">
        <f t="shared" si="139"/>
        <v>5.6324199999999998</v>
      </c>
      <c r="I490" s="350">
        <f t="shared" si="139"/>
        <v>0.13919999999999999</v>
      </c>
      <c r="J490" s="350">
        <f t="shared" si="139"/>
        <v>0.13239999999999999</v>
      </c>
      <c r="K490" s="351">
        <f t="shared" si="139"/>
        <v>45.71134</v>
      </c>
      <c r="L490" s="321"/>
      <c r="M490" s="399"/>
    </row>
    <row r="491" spans="2:13">
      <c r="B491" s="335"/>
      <c r="C491" s="320"/>
      <c r="D491" s="299" t="s">
        <v>200</v>
      </c>
      <c r="E491" s="349">
        <f>MIN(E458:E462,E464:E468,E470:E474,E476:E480,E482:E486)</f>
        <v>3.819</v>
      </c>
      <c r="F491" s="349">
        <f t="shared" ref="F491:K491" si="140">MIN(F458:F462,F464:F468,F470:F474,F476:F480,F482:F486)</f>
        <v>4.1189999999999998</v>
      </c>
      <c r="G491" s="349">
        <f t="shared" si="140"/>
        <v>3.3883760000000001</v>
      </c>
      <c r="H491" s="349">
        <f t="shared" si="140"/>
        <v>4.8088290000000002</v>
      </c>
      <c r="I491" s="350">
        <f t="shared" si="140"/>
        <v>0.13300000000000001</v>
      </c>
      <c r="J491" s="350">
        <f t="shared" si="140"/>
        <v>9.5699999999999993E-2</v>
      </c>
      <c r="K491" s="351">
        <f t="shared" si="140"/>
        <v>35.400302000000003</v>
      </c>
      <c r="L491" s="321"/>
      <c r="M491" s="399"/>
    </row>
    <row r="492" spans="2:13">
      <c r="B492" s="335"/>
      <c r="C492" s="320"/>
      <c r="D492" s="299" t="s">
        <v>201</v>
      </c>
      <c r="E492" s="349">
        <f>E490-E491</f>
        <v>0.14500000000000002</v>
      </c>
      <c r="F492" s="349">
        <f t="shared" ref="F492:K492" si="141">F490-F491</f>
        <v>0.76200000000000045</v>
      </c>
      <c r="G492" s="349">
        <f t="shared" si="141"/>
        <v>0.60383999999999993</v>
      </c>
      <c r="H492" s="349">
        <f t="shared" si="141"/>
        <v>0.82359099999999952</v>
      </c>
      <c r="I492" s="350">
        <f t="shared" si="141"/>
        <v>6.1999999999999833E-3</v>
      </c>
      <c r="J492" s="350">
        <f t="shared" si="141"/>
        <v>3.6699999999999997E-2</v>
      </c>
      <c r="K492" s="349">
        <f t="shared" si="141"/>
        <v>10.311037999999996</v>
      </c>
      <c r="L492" s="321"/>
      <c r="M492" s="399"/>
    </row>
    <row r="493" spans="2:13" ht="17.25" thickBot="1">
      <c r="B493" s="336"/>
      <c r="C493" s="323"/>
      <c r="D493" s="293" t="s">
        <v>202</v>
      </c>
      <c r="E493" s="352">
        <f>STDEVA(E458:E462,E464:E468,E470:E474,E476:E480,E482:E486)</f>
        <v>2.8479524808769769E-2</v>
      </c>
      <c r="F493" s="352">
        <f t="shared" ref="F493:K493" si="142">STDEVA(F458:F462,F464:F468,F470:F474,F476:F480,F482:F486)</f>
        <v>0.21752656542745924</v>
      </c>
      <c r="G493" s="352">
        <f t="shared" si="142"/>
        <v>0.17248960823143322</v>
      </c>
      <c r="H493" s="352">
        <f t="shared" si="142"/>
        <v>0.22157444131106357</v>
      </c>
      <c r="I493" s="353">
        <f t="shared" si="142"/>
        <v>2.3777930944470344E-3</v>
      </c>
      <c r="J493" s="353">
        <f t="shared" si="142"/>
        <v>1.4086865040407843E-2</v>
      </c>
      <c r="K493" s="352">
        <f t="shared" si="142"/>
        <v>3.2905351945221728</v>
      </c>
      <c r="L493" s="324"/>
      <c r="M493" s="399"/>
    </row>
    <row r="495" spans="2:13">
      <c r="B495" s="240" t="s">
        <v>484</v>
      </c>
      <c r="C495" s="240"/>
      <c r="E495" s="240"/>
      <c r="F495" s="240"/>
      <c r="G495" s="240"/>
      <c r="H495" s="240"/>
      <c r="I495" s="240"/>
      <c r="J495" s="240"/>
      <c r="K495" s="240"/>
    </row>
    <row r="496" spans="2:13" ht="17.25" thickBot="1">
      <c r="B496" s="240" t="s">
        <v>460</v>
      </c>
      <c r="C496" s="240"/>
      <c r="E496" s="240"/>
      <c r="F496" s="240"/>
      <c r="G496" s="240"/>
      <c r="H496" s="240"/>
      <c r="I496" s="240"/>
      <c r="J496" s="240"/>
      <c r="K496" s="240"/>
    </row>
    <row r="497" spans="2:13" ht="17.25" thickBot="1">
      <c r="B497" s="313" t="s">
        <v>11</v>
      </c>
      <c r="C497" s="250" t="s">
        <v>0</v>
      </c>
      <c r="D497" s="250" t="s">
        <v>1</v>
      </c>
      <c r="E497" s="250" t="s">
        <v>2</v>
      </c>
      <c r="F497" s="250" t="s">
        <v>3</v>
      </c>
      <c r="G497" s="250" t="s">
        <v>192</v>
      </c>
      <c r="H497" s="250" t="s">
        <v>16</v>
      </c>
      <c r="I497" s="250" t="s">
        <v>6</v>
      </c>
      <c r="J497" s="251" t="s">
        <v>7</v>
      </c>
      <c r="K497" s="252" t="s">
        <v>8</v>
      </c>
      <c r="L497" s="254" t="s">
        <v>461</v>
      </c>
      <c r="M497" s="404"/>
    </row>
    <row r="498" spans="2:13">
      <c r="B498" s="314">
        <v>1</v>
      </c>
      <c r="C498" s="271" t="s">
        <v>278</v>
      </c>
      <c r="D498" s="291" t="s">
        <v>213</v>
      </c>
      <c r="E498" s="307">
        <v>3.6949999999999998</v>
      </c>
      <c r="F498" s="307">
        <v>4.476</v>
      </c>
      <c r="G498" s="272">
        <v>3.8056179999999999</v>
      </c>
      <c r="H498" s="307">
        <v>5.5022229999999999</v>
      </c>
      <c r="I498" s="273">
        <v>0.14050000000000001</v>
      </c>
      <c r="J498" s="273">
        <v>9.9699999999999997E-2</v>
      </c>
      <c r="K498" s="272">
        <v>44.894683999999998</v>
      </c>
      <c r="L498" s="275"/>
      <c r="M498" s="397"/>
    </row>
    <row r="499" spans="2:13">
      <c r="B499" s="315">
        <v>2</v>
      </c>
      <c r="C499" s="316"/>
      <c r="D499" s="299" t="s">
        <v>214</v>
      </c>
      <c r="E499" s="309">
        <v>3.706</v>
      </c>
      <c r="F499" s="309">
        <v>4.4000000000000004</v>
      </c>
      <c r="G499" s="317">
        <v>3.8070369999999998</v>
      </c>
      <c r="H499" s="309">
        <v>5.4</v>
      </c>
      <c r="I499" s="318">
        <v>0.14050000000000001</v>
      </c>
      <c r="J499" s="318">
        <v>0.1007</v>
      </c>
      <c r="K499" s="317">
        <v>44.597814999999997</v>
      </c>
      <c r="L499" s="319"/>
      <c r="M499" s="398"/>
    </row>
    <row r="500" spans="2:13">
      <c r="B500" s="315">
        <v>3</v>
      </c>
      <c r="C500" s="320"/>
      <c r="D500" s="299" t="s">
        <v>217</v>
      </c>
      <c r="E500" s="309">
        <v>3.718</v>
      </c>
      <c r="F500" s="309">
        <v>4.5810000000000004</v>
      </c>
      <c r="G500" s="317">
        <v>3.870797</v>
      </c>
      <c r="H500" s="309">
        <v>5.6030259999999998</v>
      </c>
      <c r="I500" s="318">
        <v>0.14030000000000001</v>
      </c>
      <c r="J500" s="318">
        <v>0.1004</v>
      </c>
      <c r="K500" s="317">
        <v>45.627490000000002</v>
      </c>
      <c r="L500" s="356"/>
      <c r="M500" s="400"/>
    </row>
    <row r="501" spans="2:13">
      <c r="B501" s="315">
        <v>4</v>
      </c>
      <c r="C501" s="320"/>
      <c r="D501" s="299" t="s">
        <v>218</v>
      </c>
      <c r="E501" s="309">
        <v>3.6930000000000001</v>
      </c>
      <c r="F501" s="309">
        <v>4.2469999999999999</v>
      </c>
      <c r="G501" s="317">
        <v>3.6128710000000002</v>
      </c>
      <c r="H501" s="309">
        <v>5.2333439999999998</v>
      </c>
      <c r="I501" s="318">
        <v>0.14050000000000001</v>
      </c>
      <c r="J501" s="318">
        <v>9.9400000000000002E-2</v>
      </c>
      <c r="K501" s="317">
        <v>42.726357999999998</v>
      </c>
      <c r="L501" s="356"/>
      <c r="M501" s="400"/>
    </row>
    <row r="502" spans="2:13" ht="17.25" thickBot="1">
      <c r="B502" s="322">
        <v>5</v>
      </c>
      <c r="C502" s="323"/>
      <c r="D502" s="354" t="s">
        <v>240</v>
      </c>
      <c r="E502" s="311">
        <v>3.7330000000000001</v>
      </c>
      <c r="F502" s="311">
        <v>4.7460000000000004</v>
      </c>
      <c r="G502" s="278">
        <v>3.994103</v>
      </c>
      <c r="H502" s="311">
        <v>5.8686210000000001</v>
      </c>
      <c r="I502" s="279">
        <v>0.1401</v>
      </c>
      <c r="J502" s="279">
        <v>9.8900000000000002E-2</v>
      </c>
      <c r="K502" s="278">
        <v>47.987867000000001</v>
      </c>
      <c r="L502" s="324"/>
      <c r="M502" s="399"/>
    </row>
    <row r="503" spans="2:13" ht="17.25" thickBot="1">
      <c r="B503" s="325"/>
      <c r="C503" s="326"/>
      <c r="D503" s="327" t="s">
        <v>463</v>
      </c>
      <c r="E503" s="328">
        <f>AVERAGE(E498:E502)</f>
        <v>3.7089999999999996</v>
      </c>
      <c r="F503" s="328">
        <f t="shared" ref="F503:K503" si="143">AVERAGE(F498:F502)</f>
        <v>4.49</v>
      </c>
      <c r="G503" s="328">
        <f t="shared" si="143"/>
        <v>3.8180852000000001</v>
      </c>
      <c r="H503" s="328">
        <f t="shared" si="143"/>
        <v>5.5214428</v>
      </c>
      <c r="I503" s="329">
        <f t="shared" si="143"/>
        <v>0.14038</v>
      </c>
      <c r="J503" s="329">
        <f t="shared" si="143"/>
        <v>9.9819999999999992E-2</v>
      </c>
      <c r="K503" s="330">
        <f t="shared" si="143"/>
        <v>45.166842799999998</v>
      </c>
      <c r="L503" s="331"/>
      <c r="M503" s="399"/>
    </row>
    <row r="504" spans="2:13">
      <c r="B504" s="314">
        <v>6</v>
      </c>
      <c r="C504" s="271" t="s">
        <v>279</v>
      </c>
      <c r="D504" s="291" t="s">
        <v>241</v>
      </c>
      <c r="E504" s="307">
        <v>3.6720000000000002</v>
      </c>
      <c r="F504" s="307">
        <v>4.1390000000000002</v>
      </c>
      <c r="G504" s="272">
        <v>3.5411329999999999</v>
      </c>
      <c r="H504" s="307">
        <v>5.1068470000000001</v>
      </c>
      <c r="I504" s="273">
        <v>0.1406</v>
      </c>
      <c r="J504" s="273">
        <v>9.9400000000000002E-2</v>
      </c>
      <c r="K504" s="272">
        <v>41.639839000000002</v>
      </c>
      <c r="L504" s="332"/>
      <c r="M504" s="399"/>
    </row>
    <row r="505" spans="2:13">
      <c r="B505" s="315">
        <v>7</v>
      </c>
      <c r="C505" s="320"/>
      <c r="D505" s="299" t="s">
        <v>242</v>
      </c>
      <c r="E505" s="309">
        <v>3.6829999999999998</v>
      </c>
      <c r="F505" s="309">
        <v>4.1660000000000004</v>
      </c>
      <c r="G505" s="317">
        <v>3.553588</v>
      </c>
      <c r="H505" s="309">
        <v>5.086786</v>
      </c>
      <c r="I505" s="318">
        <v>0.14069999999999999</v>
      </c>
      <c r="J505" s="318">
        <v>0.1004</v>
      </c>
      <c r="K505" s="317">
        <v>41.494024000000003</v>
      </c>
      <c r="L505" s="321"/>
      <c r="M505" s="399"/>
    </row>
    <row r="506" spans="2:13">
      <c r="B506" s="315">
        <v>8</v>
      </c>
      <c r="C506" s="320"/>
      <c r="D506" s="299" t="s">
        <v>222</v>
      </c>
      <c r="E506" s="309">
        <v>3.69</v>
      </c>
      <c r="F506" s="309">
        <v>4.2119999999999997</v>
      </c>
      <c r="G506" s="317">
        <v>3.5860099999999999</v>
      </c>
      <c r="H506" s="309">
        <v>5.1633709999999997</v>
      </c>
      <c r="I506" s="318">
        <v>0.1406</v>
      </c>
      <c r="J506" s="318">
        <v>0.10009999999999999</v>
      </c>
      <c r="K506" s="317">
        <v>42.077922000000001</v>
      </c>
      <c r="L506" s="321"/>
      <c r="M506" s="399"/>
    </row>
    <row r="507" spans="2:13">
      <c r="B507" s="315">
        <v>9</v>
      </c>
      <c r="C507" s="320"/>
      <c r="D507" s="299" t="s">
        <v>223</v>
      </c>
      <c r="E507" s="309">
        <v>3.7269999999999999</v>
      </c>
      <c r="F507" s="309">
        <v>4.6849999999999996</v>
      </c>
      <c r="G507" s="317">
        <v>3.9491139999999998</v>
      </c>
      <c r="H507" s="309">
        <v>5.7795649999999998</v>
      </c>
      <c r="I507" s="318">
        <v>0.1401</v>
      </c>
      <c r="J507" s="318">
        <v>9.9500000000000005E-2</v>
      </c>
      <c r="K507" s="317">
        <v>47.085427000000003</v>
      </c>
      <c r="L507" s="321"/>
      <c r="M507" s="399"/>
    </row>
    <row r="508" spans="2:13" ht="17.25" thickBot="1">
      <c r="B508" s="322">
        <v>10</v>
      </c>
      <c r="C508" s="323"/>
      <c r="D508" s="293" t="s">
        <v>243</v>
      </c>
      <c r="E508" s="311">
        <v>3.6930000000000001</v>
      </c>
      <c r="F508" s="311">
        <v>4.2590000000000003</v>
      </c>
      <c r="G508" s="278">
        <v>3.6230790000000002</v>
      </c>
      <c r="H508" s="311">
        <v>5.2698650000000002</v>
      </c>
      <c r="I508" s="279">
        <v>0.1404</v>
      </c>
      <c r="J508" s="279">
        <v>9.9000000000000005E-2</v>
      </c>
      <c r="K508" s="278">
        <v>43.020201999999998</v>
      </c>
      <c r="L508" s="324"/>
      <c r="M508" s="399"/>
    </row>
    <row r="509" spans="2:13" ht="17.25" thickBot="1">
      <c r="B509" s="325" t="s">
        <v>464</v>
      </c>
      <c r="C509" s="326"/>
      <c r="D509" s="327" t="s">
        <v>463</v>
      </c>
      <c r="E509" s="328">
        <f>AVERAGE(E504:E508)</f>
        <v>3.6930000000000001</v>
      </c>
      <c r="F509" s="328">
        <f t="shared" ref="F509:K509" si="144">AVERAGE(F504:F508)</f>
        <v>4.2921999999999993</v>
      </c>
      <c r="G509" s="328">
        <f t="shared" si="144"/>
        <v>3.6505847999999999</v>
      </c>
      <c r="H509" s="328">
        <f t="shared" si="144"/>
        <v>5.2812868000000002</v>
      </c>
      <c r="I509" s="329">
        <f t="shared" si="144"/>
        <v>0.14047999999999999</v>
      </c>
      <c r="J509" s="329">
        <f t="shared" si="144"/>
        <v>9.9679999999999991E-2</v>
      </c>
      <c r="K509" s="330">
        <f t="shared" si="144"/>
        <v>43.063482799999996</v>
      </c>
      <c r="L509" s="331"/>
      <c r="M509" s="399"/>
    </row>
    <row r="510" spans="2:13">
      <c r="B510" s="333">
        <v>11</v>
      </c>
      <c r="C510" s="334" t="s">
        <v>205</v>
      </c>
      <c r="D510" s="291" t="s">
        <v>244</v>
      </c>
      <c r="E510" s="307">
        <v>3.6709999999999998</v>
      </c>
      <c r="F510" s="307">
        <v>4.0940000000000003</v>
      </c>
      <c r="G510" s="272">
        <v>3.503587</v>
      </c>
      <c r="H510" s="307">
        <v>5.0772240000000002</v>
      </c>
      <c r="I510" s="273">
        <v>0.1406</v>
      </c>
      <c r="J510" s="273">
        <v>9.8699999999999996E-2</v>
      </c>
      <c r="K510" s="272">
        <v>41.479230000000001</v>
      </c>
      <c r="L510" s="332"/>
      <c r="M510" s="399"/>
    </row>
    <row r="511" spans="2:13">
      <c r="B511" s="335">
        <v>12</v>
      </c>
      <c r="C511" s="320"/>
      <c r="D511" s="299" t="s">
        <v>245</v>
      </c>
      <c r="E511" s="309">
        <v>3.68</v>
      </c>
      <c r="F511" s="309">
        <v>4.1120000000000001</v>
      </c>
      <c r="G511" s="317">
        <v>3.5103849999999999</v>
      </c>
      <c r="H511" s="309">
        <v>5.0638719999999999</v>
      </c>
      <c r="I511" s="318">
        <v>0.1406</v>
      </c>
      <c r="J511" s="318">
        <v>9.9500000000000005E-2</v>
      </c>
      <c r="K511" s="317">
        <v>41.326633000000001</v>
      </c>
      <c r="L511" s="321"/>
      <c r="M511" s="399"/>
    </row>
    <row r="512" spans="2:13">
      <c r="B512" s="335">
        <v>13</v>
      </c>
      <c r="C512" s="320"/>
      <c r="D512" s="299" t="s">
        <v>227</v>
      </c>
      <c r="E512" s="309">
        <v>3.6880000000000002</v>
      </c>
      <c r="F512" s="309">
        <v>4.1349999999999998</v>
      </c>
      <c r="G512" s="317">
        <v>3.5223629999999999</v>
      </c>
      <c r="H512" s="309">
        <v>5.1148340000000001</v>
      </c>
      <c r="I512" s="318">
        <v>0.1406</v>
      </c>
      <c r="J512" s="318">
        <v>9.9199999999999997E-2</v>
      </c>
      <c r="K512" s="317">
        <v>41.683467999999998</v>
      </c>
      <c r="L512" s="321"/>
      <c r="M512" s="399"/>
    </row>
    <row r="513" spans="2:13">
      <c r="B513" s="335">
        <v>14</v>
      </c>
      <c r="C513" s="320"/>
      <c r="D513" s="299" t="s">
        <v>228</v>
      </c>
      <c r="E513" s="309">
        <v>3.6890000000000001</v>
      </c>
      <c r="F513" s="309">
        <v>4.1879999999999997</v>
      </c>
      <c r="G513" s="317">
        <v>3.5665429999999998</v>
      </c>
      <c r="H513" s="309">
        <v>5.2075089999999999</v>
      </c>
      <c r="I513" s="318">
        <v>0.14030000000000001</v>
      </c>
      <c r="J513" s="318">
        <v>9.8599999999999993E-2</v>
      </c>
      <c r="K513" s="317">
        <v>42.474645000000002</v>
      </c>
      <c r="L513" s="321"/>
      <c r="M513" s="399"/>
    </row>
    <row r="514" spans="2:13" ht="17.25" thickBot="1">
      <c r="B514" s="336">
        <v>15</v>
      </c>
      <c r="C514" s="323"/>
      <c r="D514" s="293" t="s">
        <v>246</v>
      </c>
      <c r="E514" s="311">
        <v>3.6890000000000001</v>
      </c>
      <c r="F514" s="311">
        <v>4.2169999999999996</v>
      </c>
      <c r="G514" s="278">
        <v>3.59124</v>
      </c>
      <c r="H514" s="311">
        <v>5.2448309999999996</v>
      </c>
      <c r="I514" s="279">
        <v>0.14030000000000001</v>
      </c>
      <c r="J514" s="279">
        <v>9.8400000000000001E-2</v>
      </c>
      <c r="K514" s="278">
        <v>42.855691</v>
      </c>
      <c r="L514" s="324"/>
      <c r="M514" s="399"/>
    </row>
    <row r="515" spans="2:13" ht="17.25" thickBot="1">
      <c r="B515" s="337"/>
      <c r="C515" s="326"/>
      <c r="D515" s="327" t="s">
        <v>463</v>
      </c>
      <c r="E515" s="328">
        <f>AVERAGE(E510:E514)</f>
        <v>3.6834000000000002</v>
      </c>
      <c r="F515" s="328">
        <f t="shared" ref="F515:K515" si="145">AVERAGE(F510:F514)</f>
        <v>4.1491999999999996</v>
      </c>
      <c r="G515" s="328">
        <f t="shared" si="145"/>
        <v>3.5388235999999997</v>
      </c>
      <c r="H515" s="328">
        <f t="shared" si="145"/>
        <v>5.1416539999999999</v>
      </c>
      <c r="I515" s="329">
        <f t="shared" si="145"/>
        <v>0.14047999999999999</v>
      </c>
      <c r="J515" s="329">
        <f t="shared" si="145"/>
        <v>9.8879999999999996E-2</v>
      </c>
      <c r="K515" s="330">
        <f t="shared" si="145"/>
        <v>41.963933400000002</v>
      </c>
      <c r="L515" s="331"/>
      <c r="M515" s="399"/>
    </row>
    <row r="516" spans="2:13">
      <c r="B516" s="333">
        <v>16</v>
      </c>
      <c r="C516" s="271" t="s">
        <v>280</v>
      </c>
      <c r="D516" s="291" t="s">
        <v>247</v>
      </c>
      <c r="E516" s="307">
        <v>3.6680000000000001</v>
      </c>
      <c r="F516" s="307">
        <v>4.0739999999999998</v>
      </c>
      <c r="G516" s="272">
        <v>3.4893230000000002</v>
      </c>
      <c r="H516" s="307">
        <v>5.0253420000000002</v>
      </c>
      <c r="I516" s="273">
        <v>0.1406</v>
      </c>
      <c r="J516" s="273">
        <v>9.9199999999999997E-2</v>
      </c>
      <c r="K516" s="272">
        <v>41.068548</v>
      </c>
      <c r="L516" s="359"/>
      <c r="M516" s="401"/>
    </row>
    <row r="517" spans="2:13">
      <c r="B517" s="335">
        <v>17</v>
      </c>
      <c r="C517" s="320"/>
      <c r="D517" s="299" t="s">
        <v>248</v>
      </c>
      <c r="E517" s="309">
        <v>3.6760000000000002</v>
      </c>
      <c r="F517" s="309">
        <v>4.0709999999999997</v>
      </c>
      <c r="G517" s="317">
        <v>3.4791660000000002</v>
      </c>
      <c r="H517" s="309">
        <v>4.9909970000000001</v>
      </c>
      <c r="I517" s="318">
        <v>0.14080000000000001</v>
      </c>
      <c r="J517" s="318">
        <v>0.10009999999999999</v>
      </c>
      <c r="K517" s="317">
        <v>40.669331</v>
      </c>
      <c r="L517" s="321"/>
      <c r="M517" s="399"/>
    </row>
    <row r="518" spans="2:13">
      <c r="B518" s="335">
        <v>18</v>
      </c>
      <c r="C518" s="320"/>
      <c r="D518" s="299" t="s">
        <v>232</v>
      </c>
      <c r="E518" s="309">
        <v>3.681</v>
      </c>
      <c r="F518" s="309">
        <v>4.0970000000000004</v>
      </c>
      <c r="G518" s="317">
        <v>3.4966300000000001</v>
      </c>
      <c r="H518" s="309">
        <v>5.0386730000000002</v>
      </c>
      <c r="I518" s="318">
        <v>0.1406</v>
      </c>
      <c r="J518" s="318">
        <v>9.9699999999999997E-2</v>
      </c>
      <c r="K518" s="317">
        <v>41.09328</v>
      </c>
      <c r="L518" s="321"/>
      <c r="M518" s="399"/>
    </row>
    <row r="519" spans="2:13">
      <c r="B519" s="335">
        <v>19</v>
      </c>
      <c r="C519" s="320"/>
      <c r="D519" s="299" t="s">
        <v>233</v>
      </c>
      <c r="E519" s="309">
        <v>3.6829999999999998</v>
      </c>
      <c r="F519" s="309">
        <v>4.1379999999999999</v>
      </c>
      <c r="G519" s="317">
        <v>3.5297040000000002</v>
      </c>
      <c r="H519" s="309">
        <v>5.1116820000000001</v>
      </c>
      <c r="I519" s="318">
        <v>0.14050000000000001</v>
      </c>
      <c r="J519" s="318">
        <v>9.9199999999999997E-2</v>
      </c>
      <c r="K519" s="317">
        <v>41.713709999999999</v>
      </c>
      <c r="L519" s="321"/>
      <c r="M519" s="399"/>
    </row>
    <row r="520" spans="2:13" ht="17.25" thickBot="1">
      <c r="B520" s="336">
        <v>20</v>
      </c>
      <c r="C520" s="323"/>
      <c r="D520" s="293" t="s">
        <v>249</v>
      </c>
      <c r="E520" s="311">
        <v>3.6819999999999999</v>
      </c>
      <c r="F520" s="311">
        <v>4.149</v>
      </c>
      <c r="G520" s="278">
        <v>3.5400480000000001</v>
      </c>
      <c r="H520" s="311">
        <v>5.1446329999999998</v>
      </c>
      <c r="I520" s="279">
        <v>0.14030000000000001</v>
      </c>
      <c r="J520" s="279">
        <v>9.8799999999999999E-2</v>
      </c>
      <c r="K520" s="278">
        <v>41.993926999999999</v>
      </c>
      <c r="L520" s="324"/>
      <c r="M520" s="399"/>
    </row>
    <row r="521" spans="2:13" ht="17.25" thickBot="1">
      <c r="B521" s="337"/>
      <c r="C521" s="326"/>
      <c r="D521" s="327" t="s">
        <v>463</v>
      </c>
      <c r="E521" s="328">
        <f>AVERAGE(E516:E520)</f>
        <v>3.6779999999999999</v>
      </c>
      <c r="F521" s="328">
        <f t="shared" ref="F521:K521" si="146">AVERAGE(F516:F520)</f>
        <v>4.1058000000000003</v>
      </c>
      <c r="G521" s="328">
        <f t="shared" si="146"/>
        <v>3.5069741999999997</v>
      </c>
      <c r="H521" s="328">
        <f t="shared" si="146"/>
        <v>5.0622653999999994</v>
      </c>
      <c r="I521" s="329">
        <f t="shared" si="146"/>
        <v>0.14055999999999999</v>
      </c>
      <c r="J521" s="329">
        <f t="shared" si="146"/>
        <v>9.9400000000000002E-2</v>
      </c>
      <c r="K521" s="328">
        <f t="shared" si="146"/>
        <v>41.3077592</v>
      </c>
      <c r="L521" s="331"/>
      <c r="M521" s="399"/>
    </row>
    <row r="522" spans="2:13">
      <c r="B522" s="333">
        <v>21</v>
      </c>
      <c r="C522" s="271" t="s">
        <v>281</v>
      </c>
      <c r="D522" s="291" t="s">
        <v>250</v>
      </c>
      <c r="E522" s="307">
        <v>3.665</v>
      </c>
      <c r="F522" s="307">
        <v>4.0519999999999996</v>
      </c>
      <c r="G522" s="272">
        <v>3.4733209999999999</v>
      </c>
      <c r="H522" s="307">
        <v>4.9785399999999997</v>
      </c>
      <c r="I522" s="273">
        <v>0.14069999999999999</v>
      </c>
      <c r="J522" s="273">
        <v>9.9599999999999994E-2</v>
      </c>
      <c r="K522" s="272">
        <v>40.682730999999997</v>
      </c>
      <c r="L522" s="332"/>
      <c r="M522" s="399"/>
    </row>
    <row r="523" spans="2:13">
      <c r="B523" s="335">
        <v>22</v>
      </c>
      <c r="C523" s="320"/>
      <c r="D523" s="299" t="s">
        <v>251</v>
      </c>
      <c r="E523" s="309">
        <v>3.6709999999999998</v>
      </c>
      <c r="F523" s="309">
        <v>4.0439999999999996</v>
      </c>
      <c r="G523" s="317">
        <v>3.460798</v>
      </c>
      <c r="H523" s="309">
        <v>4.9256130000000002</v>
      </c>
      <c r="I523" s="318">
        <v>0.14080000000000001</v>
      </c>
      <c r="J523" s="318">
        <v>0.1007</v>
      </c>
      <c r="K523" s="317">
        <v>40.158887999999997</v>
      </c>
      <c r="L523" s="321"/>
      <c r="M523" s="399"/>
    </row>
    <row r="524" spans="2:13">
      <c r="B524" s="335">
        <v>23</v>
      </c>
      <c r="C524" s="320"/>
      <c r="D524" s="299" t="s">
        <v>237</v>
      </c>
      <c r="E524" s="309">
        <v>3.6749999999999998</v>
      </c>
      <c r="F524" s="309">
        <v>4.0709999999999997</v>
      </c>
      <c r="G524" s="317">
        <v>3.4801120000000001</v>
      </c>
      <c r="H524" s="309">
        <v>4.9726530000000002</v>
      </c>
      <c r="I524" s="318">
        <v>0.14069999999999999</v>
      </c>
      <c r="J524" s="318">
        <v>0.1004</v>
      </c>
      <c r="K524" s="317">
        <v>40.547809000000001</v>
      </c>
      <c r="L524" s="321"/>
      <c r="M524" s="399"/>
    </row>
    <row r="525" spans="2:13">
      <c r="B525" s="335">
        <v>24</v>
      </c>
      <c r="C525" s="320"/>
      <c r="D525" s="299" t="s">
        <v>238</v>
      </c>
      <c r="E525" s="309">
        <v>3.6749999999999998</v>
      </c>
      <c r="F525" s="309">
        <v>4.09</v>
      </c>
      <c r="G525" s="317">
        <v>3.4963549999999999</v>
      </c>
      <c r="H525" s="309">
        <v>5.0307360000000001</v>
      </c>
      <c r="I525" s="318">
        <v>0.1406</v>
      </c>
      <c r="J525" s="318">
        <v>9.98E-2</v>
      </c>
      <c r="K525" s="317">
        <v>40.981963999999998</v>
      </c>
      <c r="L525" s="321"/>
      <c r="M525" s="399"/>
    </row>
    <row r="526" spans="2:13" ht="17.25" thickBot="1">
      <c r="B526" s="336">
        <v>25</v>
      </c>
      <c r="C526" s="323"/>
      <c r="D526" s="293" t="s">
        <v>252</v>
      </c>
      <c r="E526" s="311">
        <v>3.673</v>
      </c>
      <c r="F526" s="311">
        <v>4.0970000000000004</v>
      </c>
      <c r="G526" s="278">
        <v>3.5042460000000002</v>
      </c>
      <c r="H526" s="311">
        <v>5.0565030000000002</v>
      </c>
      <c r="I526" s="279">
        <v>0.14050000000000001</v>
      </c>
      <c r="J526" s="279">
        <v>9.9400000000000002E-2</v>
      </c>
      <c r="K526" s="278">
        <v>41.217303999999999</v>
      </c>
      <c r="L526" s="324"/>
      <c r="M526" s="399"/>
    </row>
    <row r="527" spans="2:13" ht="17.25" thickBot="1">
      <c r="B527" s="339" t="s">
        <v>464</v>
      </c>
      <c r="C527" s="340"/>
      <c r="D527" s="341" t="s">
        <v>465</v>
      </c>
      <c r="E527" s="342">
        <f>AVERAGE(E522:E526)</f>
        <v>3.6718000000000002</v>
      </c>
      <c r="F527" s="342">
        <f t="shared" ref="F527:K527" si="147">AVERAGE(F522:F526)</f>
        <v>4.0708000000000002</v>
      </c>
      <c r="G527" s="342">
        <f t="shared" si="147"/>
        <v>3.4829664</v>
      </c>
      <c r="H527" s="342">
        <f t="shared" si="147"/>
        <v>4.9928090000000003</v>
      </c>
      <c r="I527" s="343">
        <f t="shared" si="147"/>
        <v>0.14066000000000001</v>
      </c>
      <c r="J527" s="343">
        <f t="shared" si="147"/>
        <v>9.9979999999999986E-2</v>
      </c>
      <c r="K527" s="342">
        <f t="shared" si="147"/>
        <v>40.717739199999997</v>
      </c>
      <c r="L527" s="344"/>
      <c r="M527" s="399"/>
    </row>
    <row r="528" spans="2:13">
      <c r="B528" s="333"/>
      <c r="C528" s="345"/>
      <c r="D528" s="291" t="s">
        <v>466</v>
      </c>
      <c r="E528" s="346">
        <f>MEDIAN(E498:E502,E504:E508,E510:E514,E516:E520,E522:E526)</f>
        <v>3.6829999999999998</v>
      </c>
      <c r="F528" s="346">
        <f t="shared" ref="F528:K528" si="148">MEDIAN(F498:F502,F504:F508,F510:F514,F516:F520,F522:F526)</f>
        <v>4.1390000000000002</v>
      </c>
      <c r="G528" s="346">
        <f t="shared" si="148"/>
        <v>3.5400480000000001</v>
      </c>
      <c r="H528" s="346">
        <f t="shared" si="148"/>
        <v>5.1116820000000001</v>
      </c>
      <c r="I528" s="347">
        <f t="shared" si="148"/>
        <v>0.1406</v>
      </c>
      <c r="J528" s="347">
        <f t="shared" si="148"/>
        <v>9.9500000000000005E-2</v>
      </c>
      <c r="K528" s="348">
        <f t="shared" si="148"/>
        <v>41.683467999999998</v>
      </c>
      <c r="L528" s="332"/>
      <c r="M528" s="399"/>
    </row>
    <row r="529" spans="2:13">
      <c r="B529" s="335"/>
      <c r="C529" s="320"/>
      <c r="D529" s="299" t="s">
        <v>467</v>
      </c>
      <c r="E529" s="349">
        <f>AVERAGE(E498:E502,E504:E508,E510:E514,E516:E520,E522:E526)</f>
        <v>3.6870400000000001</v>
      </c>
      <c r="F529" s="349">
        <f t="shared" ref="F529:K529" si="149">AVERAGE(F498:F502,F504:F508,F510:F514,F516:F520,F522:F526)</f>
        <v>4.2215999999999996</v>
      </c>
      <c r="G529" s="349">
        <f t="shared" si="149"/>
        <v>3.5994868399999995</v>
      </c>
      <c r="H529" s="349">
        <f t="shared" si="149"/>
        <v>5.1998915999999999</v>
      </c>
      <c r="I529" s="350">
        <f t="shared" si="149"/>
        <v>0.140512</v>
      </c>
      <c r="J529" s="350">
        <f t="shared" si="149"/>
        <v>9.9552000000000002E-2</v>
      </c>
      <c r="K529" s="351">
        <f t="shared" si="149"/>
        <v>42.443951479999996</v>
      </c>
      <c r="L529" s="321"/>
      <c r="M529" s="399"/>
    </row>
    <row r="530" spans="2:13">
      <c r="B530" s="335"/>
      <c r="C530" s="320"/>
      <c r="D530" s="299" t="s">
        <v>199</v>
      </c>
      <c r="E530" s="349">
        <f>MAX(E498:E502,E504:E508,E510:E514,E516:E520,E522:E526)</f>
        <v>3.7330000000000001</v>
      </c>
      <c r="F530" s="349">
        <f t="shared" ref="F530:K530" si="150">MAX(F498:F502,F504:F508,F510:F514,F516:F520,F522:F526)</f>
        <v>4.7460000000000004</v>
      </c>
      <c r="G530" s="349">
        <f t="shared" si="150"/>
        <v>3.994103</v>
      </c>
      <c r="H530" s="349">
        <f t="shared" si="150"/>
        <v>5.8686210000000001</v>
      </c>
      <c r="I530" s="350">
        <f t="shared" si="150"/>
        <v>0.14080000000000001</v>
      </c>
      <c r="J530" s="350">
        <f t="shared" si="150"/>
        <v>0.1007</v>
      </c>
      <c r="K530" s="351">
        <f t="shared" si="150"/>
        <v>47.987867000000001</v>
      </c>
      <c r="L530" s="321"/>
      <c r="M530" s="399"/>
    </row>
    <row r="531" spans="2:13">
      <c r="B531" s="335"/>
      <c r="C531" s="320"/>
      <c r="D531" s="299" t="s">
        <v>200</v>
      </c>
      <c r="E531" s="349">
        <f>MIN(E498:E502,E504:E508,E510:E514,E516:E520,E522:E526)</f>
        <v>3.665</v>
      </c>
      <c r="F531" s="349">
        <f t="shared" ref="F531:K531" si="151">MIN(F498:F502,F504:F508,F510:F514,F516:F520,F522:F526)</f>
        <v>4.0439999999999996</v>
      </c>
      <c r="G531" s="349">
        <f t="shared" si="151"/>
        <v>3.460798</v>
      </c>
      <c r="H531" s="349">
        <f t="shared" si="151"/>
        <v>4.9256130000000002</v>
      </c>
      <c r="I531" s="350">
        <f t="shared" si="151"/>
        <v>0.1401</v>
      </c>
      <c r="J531" s="350">
        <f t="shared" si="151"/>
        <v>9.8400000000000001E-2</v>
      </c>
      <c r="K531" s="351">
        <f t="shared" si="151"/>
        <v>40.158887999999997</v>
      </c>
      <c r="L531" s="321"/>
      <c r="M531" s="399"/>
    </row>
    <row r="532" spans="2:13">
      <c r="B532" s="335"/>
      <c r="C532" s="320"/>
      <c r="D532" s="299" t="s">
        <v>201</v>
      </c>
      <c r="E532" s="349">
        <f>E530-E531</f>
        <v>6.800000000000006E-2</v>
      </c>
      <c r="F532" s="349">
        <f t="shared" ref="F532:K532" si="152">F530-F531</f>
        <v>0.70200000000000085</v>
      </c>
      <c r="G532" s="349">
        <f t="shared" si="152"/>
        <v>0.53330499999999992</v>
      </c>
      <c r="H532" s="349">
        <f t="shared" si="152"/>
        <v>0.94300799999999985</v>
      </c>
      <c r="I532" s="350">
        <f t="shared" si="152"/>
        <v>7.0000000000000617E-4</v>
      </c>
      <c r="J532" s="350">
        <f t="shared" si="152"/>
        <v>2.2999999999999965E-3</v>
      </c>
      <c r="K532" s="349">
        <f t="shared" si="152"/>
        <v>7.8289790000000039</v>
      </c>
      <c r="L532" s="321"/>
      <c r="M532" s="399"/>
    </row>
    <row r="533" spans="2:13" ht="17.25" thickBot="1">
      <c r="B533" s="336"/>
      <c r="C533" s="323"/>
      <c r="D533" s="293" t="s">
        <v>202</v>
      </c>
      <c r="E533" s="352">
        <f>STDEVA(E498:E502,E504:E508,E510:E514,E516:E520,E522:E526)</f>
        <v>1.7702353892444168E-2</v>
      </c>
      <c r="F533" s="352">
        <f t="shared" ref="F533:K533" si="153">STDEVA(F498:F502,F504:F508,F510:F514,F516:F520,F522:F526)</f>
        <v>0.19921972793877626</v>
      </c>
      <c r="G533" s="352">
        <f t="shared" si="153"/>
        <v>0.15579219784691825</v>
      </c>
      <c r="H533" s="352">
        <f t="shared" si="153"/>
        <v>0.24873115781820201</v>
      </c>
      <c r="I533" s="353">
        <f t="shared" si="153"/>
        <v>1.8999999999999847E-4</v>
      </c>
      <c r="J533" s="353">
        <f t="shared" si="153"/>
        <v>6.5199693250812167E-4</v>
      </c>
      <c r="K533" s="352">
        <f t="shared" si="153"/>
        <v>2.0538887953080236</v>
      </c>
      <c r="L533" s="324"/>
      <c r="M533" s="399"/>
    </row>
    <row r="535" spans="2:13">
      <c r="B535" s="240" t="s">
        <v>485</v>
      </c>
      <c r="C535" s="240"/>
      <c r="E535" s="240"/>
      <c r="F535" s="240"/>
      <c r="G535" s="240"/>
      <c r="H535" s="240"/>
      <c r="I535" s="240"/>
      <c r="J535" s="240"/>
      <c r="K535" s="240"/>
    </row>
    <row r="536" spans="2:13" ht="17.25" thickBot="1">
      <c r="B536" s="240" t="s">
        <v>469</v>
      </c>
      <c r="C536" s="240"/>
      <c r="E536" s="240"/>
      <c r="F536" s="240"/>
      <c r="G536" s="240"/>
      <c r="H536" s="240"/>
      <c r="I536" s="240"/>
      <c r="J536" s="240"/>
      <c r="K536" s="240"/>
    </row>
    <row r="537" spans="2:13" ht="17.25" thickBot="1">
      <c r="B537" s="313" t="s">
        <v>11</v>
      </c>
      <c r="C537" s="250" t="s">
        <v>0</v>
      </c>
      <c r="D537" s="250" t="s">
        <v>1</v>
      </c>
      <c r="E537" s="250" t="s">
        <v>2</v>
      </c>
      <c r="F537" s="250" t="s">
        <v>3</v>
      </c>
      <c r="G537" s="250" t="s">
        <v>192</v>
      </c>
      <c r="H537" s="250" t="s">
        <v>16</v>
      </c>
      <c r="I537" s="250" t="s">
        <v>6</v>
      </c>
      <c r="J537" s="251" t="s">
        <v>7</v>
      </c>
      <c r="K537" s="252" t="s">
        <v>8</v>
      </c>
      <c r="L537" s="254" t="s">
        <v>470</v>
      </c>
      <c r="M537" s="404"/>
    </row>
    <row r="538" spans="2:13">
      <c r="B538" s="314">
        <v>1</v>
      </c>
      <c r="C538" s="271" t="s">
        <v>278</v>
      </c>
      <c r="D538" s="291" t="s">
        <v>213</v>
      </c>
      <c r="E538" s="307">
        <v>3.8279999999999998</v>
      </c>
      <c r="F538" s="307">
        <v>4.6589999999999998</v>
      </c>
      <c r="G538" s="272">
        <v>3.8235809999999999</v>
      </c>
      <c r="H538" s="307">
        <v>5.7362869999999999</v>
      </c>
      <c r="I538" s="273">
        <v>0.14030000000000001</v>
      </c>
      <c r="J538" s="273">
        <v>9.9699999999999997E-2</v>
      </c>
      <c r="K538" s="272">
        <v>46.730190999999998</v>
      </c>
      <c r="L538" s="275"/>
      <c r="M538" s="397"/>
    </row>
    <row r="539" spans="2:13">
      <c r="B539" s="315">
        <v>2</v>
      </c>
      <c r="C539" s="316"/>
      <c r="D539" s="299" t="s">
        <v>214</v>
      </c>
      <c r="E539" s="309">
        <v>3.8290000000000002</v>
      </c>
      <c r="F539" s="309">
        <v>4.6369999999999996</v>
      </c>
      <c r="G539" s="317">
        <v>3.804532</v>
      </c>
      <c r="H539" s="309">
        <v>5.6633170000000002</v>
      </c>
      <c r="I539" s="318">
        <v>0.1404</v>
      </c>
      <c r="J539" s="318">
        <v>0.1008</v>
      </c>
      <c r="K539" s="317">
        <v>46.001984</v>
      </c>
      <c r="L539" s="319"/>
      <c r="M539" s="398"/>
    </row>
    <row r="540" spans="2:13">
      <c r="B540" s="315">
        <v>3</v>
      </c>
      <c r="C540" s="320"/>
      <c r="D540" s="299" t="s">
        <v>217</v>
      </c>
      <c r="E540" s="309">
        <v>3.8279999999999998</v>
      </c>
      <c r="F540" s="309">
        <v>4.649</v>
      </c>
      <c r="G540" s="317">
        <v>3.8153739999999998</v>
      </c>
      <c r="H540" s="309">
        <v>5.6747949999999996</v>
      </c>
      <c r="I540" s="318">
        <v>0.14030000000000001</v>
      </c>
      <c r="J540" s="318">
        <v>0.10050000000000001</v>
      </c>
      <c r="K540" s="317">
        <v>46.258705999999997</v>
      </c>
      <c r="L540" s="356"/>
      <c r="M540" s="400"/>
    </row>
    <row r="541" spans="2:13">
      <c r="B541" s="315">
        <v>4</v>
      </c>
      <c r="C541" s="320"/>
      <c r="D541" s="299" t="s">
        <v>218</v>
      </c>
      <c r="E541" s="309">
        <v>3.827</v>
      </c>
      <c r="F541" s="309">
        <v>4.6849999999999996</v>
      </c>
      <c r="G541" s="317">
        <v>3.845923</v>
      </c>
      <c r="H541" s="309">
        <v>5.7614590000000003</v>
      </c>
      <c r="I541" s="318">
        <v>0.14030000000000001</v>
      </c>
      <c r="J541" s="318">
        <v>9.9699999999999997E-2</v>
      </c>
      <c r="K541" s="317">
        <v>46.990972999999997</v>
      </c>
      <c r="L541" s="356"/>
      <c r="M541" s="400"/>
    </row>
    <row r="542" spans="2:13" ht="17.25" thickBot="1">
      <c r="B542" s="322">
        <v>5</v>
      </c>
      <c r="C542" s="323"/>
      <c r="D542" s="354" t="s">
        <v>240</v>
      </c>
      <c r="E542" s="311">
        <v>3.8250000000000002</v>
      </c>
      <c r="F542" s="311">
        <v>4.7060000000000004</v>
      </c>
      <c r="G542" s="278">
        <v>3.8651819999999999</v>
      </c>
      <c r="H542" s="311">
        <v>5.82104</v>
      </c>
      <c r="I542" s="279">
        <v>0.14000000000000001</v>
      </c>
      <c r="J542" s="279">
        <v>9.9199999999999997E-2</v>
      </c>
      <c r="K542" s="278">
        <v>47.439515999999998</v>
      </c>
      <c r="L542" s="324"/>
      <c r="M542" s="399"/>
    </row>
    <row r="543" spans="2:13" ht="17.25" thickBot="1">
      <c r="B543" s="325"/>
      <c r="C543" s="326"/>
      <c r="D543" s="327" t="s">
        <v>463</v>
      </c>
      <c r="E543" s="328">
        <f>AVERAGE(E538:E542)</f>
        <v>3.8273999999999999</v>
      </c>
      <c r="F543" s="328">
        <f t="shared" ref="F543:K543" si="154">AVERAGE(F538:F542)</f>
        <v>4.6671999999999993</v>
      </c>
      <c r="G543" s="328">
        <f t="shared" si="154"/>
        <v>3.8309184000000003</v>
      </c>
      <c r="H543" s="328">
        <f t="shared" si="154"/>
        <v>5.7313796000000004</v>
      </c>
      <c r="I543" s="329">
        <f t="shared" si="154"/>
        <v>0.14026</v>
      </c>
      <c r="J543" s="329">
        <f t="shared" si="154"/>
        <v>9.9980000000000013E-2</v>
      </c>
      <c r="K543" s="330">
        <f t="shared" si="154"/>
        <v>46.684274000000002</v>
      </c>
      <c r="L543" s="331"/>
      <c r="M543" s="399"/>
    </row>
    <row r="544" spans="2:13">
      <c r="B544" s="314">
        <v>6</v>
      </c>
      <c r="C544" s="271" t="s">
        <v>279</v>
      </c>
      <c r="D544" s="291" t="s">
        <v>241</v>
      </c>
      <c r="E544" s="307"/>
      <c r="F544" s="307"/>
      <c r="G544" s="272"/>
      <c r="H544" s="307"/>
      <c r="I544" s="273"/>
      <c r="J544" s="273"/>
      <c r="K544" s="272"/>
      <c r="L544" s="332"/>
      <c r="M544" s="399"/>
    </row>
    <row r="545" spans="2:13">
      <c r="B545" s="315">
        <v>7</v>
      </c>
      <c r="C545" s="320"/>
      <c r="D545" s="299" t="s">
        <v>242</v>
      </c>
      <c r="E545" s="309">
        <v>3.7879999999999998</v>
      </c>
      <c r="F545" s="309">
        <v>4.2240000000000002</v>
      </c>
      <c r="G545" s="317">
        <v>3.5031880000000002</v>
      </c>
      <c r="H545" s="309">
        <v>5.1581919999999997</v>
      </c>
      <c r="I545" s="318">
        <v>0.1406</v>
      </c>
      <c r="J545" s="318">
        <v>0.10050000000000001</v>
      </c>
      <c r="K545" s="317">
        <v>42.029851000000001</v>
      </c>
      <c r="L545" s="321"/>
      <c r="M545" s="399"/>
    </row>
    <row r="546" spans="2:13">
      <c r="B546" s="315">
        <v>8</v>
      </c>
      <c r="C546" s="320"/>
      <c r="D546" s="299" t="s">
        <v>222</v>
      </c>
      <c r="E546" s="309">
        <v>3.7909999999999999</v>
      </c>
      <c r="F546" s="309">
        <v>4.2690000000000001</v>
      </c>
      <c r="G546" s="317">
        <v>3.5377070000000002</v>
      </c>
      <c r="H546" s="309">
        <v>5.2363309999999998</v>
      </c>
      <c r="I546" s="318">
        <v>0.14050000000000001</v>
      </c>
      <c r="J546" s="318">
        <v>0.10009999999999999</v>
      </c>
      <c r="K546" s="317">
        <v>42.647353000000003</v>
      </c>
      <c r="L546" s="321"/>
      <c r="M546" s="399"/>
    </row>
    <row r="547" spans="2:13">
      <c r="B547" s="315">
        <v>9</v>
      </c>
      <c r="C547" s="320"/>
      <c r="D547" s="299" t="s">
        <v>223</v>
      </c>
      <c r="E547" s="309">
        <v>3.79</v>
      </c>
      <c r="F547" s="309">
        <v>4.306</v>
      </c>
      <c r="G547" s="317">
        <v>3.5693100000000002</v>
      </c>
      <c r="H547" s="309">
        <v>5.3154399999999997</v>
      </c>
      <c r="I547" s="318">
        <v>0.1404</v>
      </c>
      <c r="J547" s="318">
        <v>9.9500000000000005E-2</v>
      </c>
      <c r="K547" s="317">
        <v>43.276381999999998</v>
      </c>
      <c r="L547" s="321"/>
      <c r="M547" s="399"/>
    </row>
    <row r="548" spans="2:13" ht="17.25" thickBot="1">
      <c r="B548" s="322">
        <v>10</v>
      </c>
      <c r="C548" s="323"/>
      <c r="D548" s="293" t="s">
        <v>243</v>
      </c>
      <c r="E548" s="311">
        <v>3.7839999999999998</v>
      </c>
      <c r="F548" s="311">
        <v>4.3159999999999998</v>
      </c>
      <c r="G548" s="278">
        <v>3.583272</v>
      </c>
      <c r="H548" s="311">
        <v>5.3472939999999998</v>
      </c>
      <c r="I548" s="279">
        <v>0.14030000000000001</v>
      </c>
      <c r="J548" s="279">
        <v>9.9099999999999994E-2</v>
      </c>
      <c r="K548" s="278">
        <v>43.551968000000002</v>
      </c>
      <c r="L548" s="324"/>
      <c r="M548" s="399"/>
    </row>
    <row r="549" spans="2:13" ht="17.25" thickBot="1">
      <c r="B549" s="325" t="s">
        <v>464</v>
      </c>
      <c r="C549" s="326"/>
      <c r="D549" s="327" t="s">
        <v>463</v>
      </c>
      <c r="E549" s="328">
        <f>AVERAGE(E544:E548)</f>
        <v>3.7882499999999997</v>
      </c>
      <c r="F549" s="328">
        <f t="shared" ref="F549:K549" si="155">AVERAGE(F544:F548)</f>
        <v>4.2787499999999996</v>
      </c>
      <c r="G549" s="328">
        <f t="shared" si="155"/>
        <v>3.5483692500000004</v>
      </c>
      <c r="H549" s="328">
        <f t="shared" si="155"/>
        <v>5.26431425</v>
      </c>
      <c r="I549" s="329">
        <f t="shared" si="155"/>
        <v>0.14044999999999999</v>
      </c>
      <c r="J549" s="329">
        <f t="shared" si="155"/>
        <v>9.98E-2</v>
      </c>
      <c r="K549" s="330">
        <f t="shared" si="155"/>
        <v>42.876388500000004</v>
      </c>
      <c r="L549" s="331"/>
      <c r="M549" s="399"/>
    </row>
    <row r="550" spans="2:13">
      <c r="B550" s="333">
        <v>11</v>
      </c>
      <c r="C550" s="334" t="s">
        <v>205</v>
      </c>
      <c r="D550" s="291" t="s">
        <v>244</v>
      </c>
      <c r="E550" s="307">
        <v>3.7749999999999999</v>
      </c>
      <c r="F550" s="307">
        <v>4.1079999999999997</v>
      </c>
      <c r="G550" s="272">
        <v>3.4187159999999999</v>
      </c>
      <c r="H550" s="307">
        <v>5.0929840000000004</v>
      </c>
      <c r="I550" s="273">
        <v>0.14050000000000001</v>
      </c>
      <c r="J550" s="273">
        <v>9.8799999999999999E-2</v>
      </c>
      <c r="K550" s="272">
        <v>41.578946999999999</v>
      </c>
      <c r="L550" s="332"/>
      <c r="M550" s="399"/>
    </row>
    <row r="551" spans="2:13">
      <c r="B551" s="335">
        <v>12</v>
      </c>
      <c r="C551" s="320"/>
      <c r="D551" s="299" t="s">
        <v>245</v>
      </c>
      <c r="E551" s="309">
        <v>3.7810000000000001</v>
      </c>
      <c r="F551" s="309">
        <v>4.1289999999999996</v>
      </c>
      <c r="G551" s="317">
        <v>3.430739</v>
      </c>
      <c r="H551" s="309">
        <v>5.0766749999999998</v>
      </c>
      <c r="I551" s="318">
        <v>0.1406</v>
      </c>
      <c r="J551" s="318">
        <v>9.98E-2</v>
      </c>
      <c r="K551" s="317">
        <v>41.372745000000002</v>
      </c>
      <c r="L551" s="321"/>
      <c r="M551" s="399"/>
    </row>
    <row r="552" spans="2:13">
      <c r="B552" s="335">
        <v>13</v>
      </c>
      <c r="C552" s="320"/>
      <c r="D552" s="299" t="s">
        <v>227</v>
      </c>
      <c r="E552" s="309">
        <v>3.7839999999999998</v>
      </c>
      <c r="F552" s="309">
        <v>4.16</v>
      </c>
      <c r="G552" s="317">
        <v>3.4537559999999998</v>
      </c>
      <c r="H552" s="309">
        <v>5.1351950000000004</v>
      </c>
      <c r="I552" s="318">
        <v>0.14050000000000001</v>
      </c>
      <c r="J552" s="318">
        <v>9.9500000000000005E-2</v>
      </c>
      <c r="K552" s="317">
        <v>41.809044999999998</v>
      </c>
      <c r="L552" s="321"/>
      <c r="M552" s="399"/>
    </row>
    <row r="553" spans="2:13">
      <c r="B553" s="335">
        <v>14</v>
      </c>
      <c r="C553" s="320"/>
      <c r="D553" s="299" t="s">
        <v>228</v>
      </c>
      <c r="E553" s="309">
        <v>3.7829999999999999</v>
      </c>
      <c r="F553" s="309">
        <v>4.2149999999999999</v>
      </c>
      <c r="G553" s="317">
        <v>3.5003440000000001</v>
      </c>
      <c r="H553" s="309">
        <v>5.2175989999999999</v>
      </c>
      <c r="I553" s="318">
        <v>0.14030000000000001</v>
      </c>
      <c r="J553" s="318">
        <v>9.9000000000000005E-2</v>
      </c>
      <c r="K553" s="317">
        <v>42.575758</v>
      </c>
      <c r="L553" s="321"/>
      <c r="M553" s="399"/>
    </row>
    <row r="554" spans="2:13" ht="17.25" thickBot="1">
      <c r="B554" s="336">
        <v>15</v>
      </c>
      <c r="C554" s="323"/>
      <c r="D554" s="293" t="s">
        <v>246</v>
      </c>
      <c r="E554" s="311">
        <v>3.778</v>
      </c>
      <c r="F554" s="311">
        <v>4.2370000000000001</v>
      </c>
      <c r="G554" s="278">
        <v>3.5232709999999998</v>
      </c>
      <c r="H554" s="311">
        <v>5.2589129999999997</v>
      </c>
      <c r="I554" s="279">
        <v>0.14019999999999999</v>
      </c>
      <c r="J554" s="279">
        <v>9.8699999999999996E-2</v>
      </c>
      <c r="K554" s="278">
        <v>42.928064999999997</v>
      </c>
      <c r="L554" s="324"/>
      <c r="M554" s="399"/>
    </row>
    <row r="555" spans="2:13" ht="17.25" thickBot="1">
      <c r="B555" s="337"/>
      <c r="C555" s="326"/>
      <c r="D555" s="327" t="s">
        <v>463</v>
      </c>
      <c r="E555" s="328">
        <f>AVERAGE(E550:E554)</f>
        <v>3.7801999999999998</v>
      </c>
      <c r="F555" s="328">
        <f t="shared" ref="F555:K555" si="156">AVERAGE(F550:F554)</f>
        <v>4.1697999999999995</v>
      </c>
      <c r="G555" s="328">
        <f t="shared" si="156"/>
        <v>3.4653651999999999</v>
      </c>
      <c r="H555" s="328">
        <f t="shared" si="156"/>
        <v>5.1562731999999993</v>
      </c>
      <c r="I555" s="329">
        <f t="shared" si="156"/>
        <v>0.14042000000000002</v>
      </c>
      <c r="J555" s="329">
        <f t="shared" si="156"/>
        <v>9.9159999999999998E-2</v>
      </c>
      <c r="K555" s="330">
        <f t="shared" si="156"/>
        <v>42.052912000000006</v>
      </c>
      <c r="L555" s="331"/>
      <c r="M555" s="399"/>
    </row>
    <row r="556" spans="2:13">
      <c r="B556" s="333">
        <v>16</v>
      </c>
      <c r="C556" s="271" t="s">
        <v>280</v>
      </c>
      <c r="D556" s="291" t="s">
        <v>247</v>
      </c>
      <c r="E556" s="307">
        <v>3.77</v>
      </c>
      <c r="F556" s="307">
        <v>4.0439999999999996</v>
      </c>
      <c r="G556" s="272">
        <v>3.3699180000000002</v>
      </c>
      <c r="H556" s="272">
        <v>4.9792399999999999</v>
      </c>
      <c r="I556" s="273">
        <v>0.1406</v>
      </c>
      <c r="J556" s="273">
        <v>9.9599999999999994E-2</v>
      </c>
      <c r="K556" s="272">
        <v>40.602409999999999</v>
      </c>
      <c r="L556" s="359"/>
      <c r="M556" s="401"/>
    </row>
    <row r="557" spans="2:13">
      <c r="B557" s="335">
        <v>17</v>
      </c>
      <c r="C557" s="320"/>
      <c r="D557" s="299" t="s">
        <v>248</v>
      </c>
      <c r="E557" s="309">
        <v>3.7749999999999999</v>
      </c>
      <c r="F557" s="309">
        <v>4.0629999999999997</v>
      </c>
      <c r="G557" s="317">
        <v>3.3812660000000001</v>
      </c>
      <c r="H557" s="317">
        <v>4.9642030000000004</v>
      </c>
      <c r="I557" s="318">
        <v>0.14069999999999999</v>
      </c>
      <c r="J557" s="318">
        <v>0.10059999999999999</v>
      </c>
      <c r="K557" s="317">
        <v>40.387673999999997</v>
      </c>
      <c r="L557" s="321"/>
      <c r="M557" s="399"/>
    </row>
    <row r="558" spans="2:13">
      <c r="B558" s="335">
        <v>18</v>
      </c>
      <c r="C558" s="320"/>
      <c r="D558" s="299" t="s">
        <v>232</v>
      </c>
      <c r="E558" s="309">
        <v>3.778</v>
      </c>
      <c r="F558" s="309">
        <v>4.1070000000000002</v>
      </c>
      <c r="G558" s="317">
        <v>3.4151690000000001</v>
      </c>
      <c r="H558" s="317">
        <v>5.0242779999999998</v>
      </c>
      <c r="I558" s="318">
        <v>0.1406</v>
      </c>
      <c r="J558" s="318">
        <v>0.1003</v>
      </c>
      <c r="K558" s="317">
        <v>40.947158999999999</v>
      </c>
      <c r="L558" s="321"/>
      <c r="M558" s="399"/>
    </row>
    <row r="559" spans="2:13">
      <c r="B559" s="335">
        <v>19</v>
      </c>
      <c r="C559" s="320"/>
      <c r="D559" s="299" t="s">
        <v>233</v>
      </c>
      <c r="E559" s="309">
        <v>3.778</v>
      </c>
      <c r="F559" s="309">
        <v>4.1440000000000001</v>
      </c>
      <c r="G559" s="317">
        <v>3.4459369999999998</v>
      </c>
      <c r="H559" s="317">
        <v>5.1048419999999997</v>
      </c>
      <c r="I559" s="318">
        <v>0.1404</v>
      </c>
      <c r="J559" s="318">
        <v>9.9699999999999997E-2</v>
      </c>
      <c r="K559" s="317">
        <v>41.564694000000003</v>
      </c>
      <c r="L559" s="321"/>
      <c r="M559" s="399"/>
    </row>
    <row r="560" spans="2:13" ht="17.25" thickBot="1">
      <c r="B560" s="336">
        <v>20</v>
      </c>
      <c r="C560" s="323"/>
      <c r="D560" s="293" t="s">
        <v>249</v>
      </c>
      <c r="E560" s="311">
        <v>3.7730000000000001</v>
      </c>
      <c r="F560" s="311">
        <v>4.165</v>
      </c>
      <c r="G560" s="278">
        <v>3.4679890000000002</v>
      </c>
      <c r="H560" s="278">
        <v>5.1354519999999999</v>
      </c>
      <c r="I560" s="279">
        <v>0.14030000000000001</v>
      </c>
      <c r="J560" s="279">
        <v>9.9299999999999999E-2</v>
      </c>
      <c r="K560" s="278">
        <v>41.943604999999998</v>
      </c>
      <c r="L560" s="324"/>
      <c r="M560" s="399"/>
    </row>
    <row r="561" spans="2:13" ht="17.25" thickBot="1">
      <c r="B561" s="337"/>
      <c r="C561" s="326"/>
      <c r="D561" s="327" t="s">
        <v>463</v>
      </c>
      <c r="E561" s="328">
        <f>AVERAGE(E556:E560)</f>
        <v>3.7748000000000004</v>
      </c>
      <c r="F561" s="328">
        <f t="shared" ref="F561:K561" si="157">AVERAGE(F556:F560)</f>
        <v>4.1045999999999996</v>
      </c>
      <c r="G561" s="328">
        <f t="shared" si="157"/>
        <v>3.4160558000000001</v>
      </c>
      <c r="H561" s="328">
        <f t="shared" si="157"/>
        <v>5.0416030000000003</v>
      </c>
      <c r="I561" s="329">
        <f t="shared" si="157"/>
        <v>0.14052000000000001</v>
      </c>
      <c r="J561" s="329">
        <f t="shared" si="157"/>
        <v>9.9900000000000003E-2</v>
      </c>
      <c r="K561" s="328">
        <f t="shared" si="157"/>
        <v>41.089108400000001</v>
      </c>
      <c r="L561" s="331"/>
      <c r="M561" s="399"/>
    </row>
    <row r="562" spans="2:13">
      <c r="B562" s="333">
        <v>21</v>
      </c>
      <c r="C562" s="271" t="s">
        <v>281</v>
      </c>
      <c r="D562" s="291" t="s">
        <v>250</v>
      </c>
      <c r="E562" s="307">
        <v>3.762</v>
      </c>
      <c r="F562" s="307">
        <v>3.956</v>
      </c>
      <c r="G562" s="272">
        <v>3.3035969999999999</v>
      </c>
      <c r="H562" s="307">
        <v>4.8243410000000004</v>
      </c>
      <c r="I562" s="273">
        <v>0.14080000000000001</v>
      </c>
      <c r="J562" s="273">
        <v>0.1004</v>
      </c>
      <c r="K562" s="272">
        <v>39.402389999999997</v>
      </c>
      <c r="L562" s="332"/>
      <c r="M562" s="399"/>
    </row>
    <row r="563" spans="2:13">
      <c r="B563" s="335">
        <v>22</v>
      </c>
      <c r="C563" s="320"/>
      <c r="D563" s="299" t="s">
        <v>251</v>
      </c>
      <c r="E563" s="309">
        <v>3.7669999999999999</v>
      </c>
      <c r="F563" s="309">
        <v>3.9870000000000001</v>
      </c>
      <c r="G563" s="317">
        <v>3.3250649999999999</v>
      </c>
      <c r="H563" s="309">
        <v>4.8278100000000004</v>
      </c>
      <c r="I563" s="318">
        <v>0.14080000000000001</v>
      </c>
      <c r="J563" s="318">
        <v>0.10150000000000001</v>
      </c>
      <c r="K563" s="317">
        <v>39.280788000000001</v>
      </c>
      <c r="L563" s="321"/>
      <c r="M563" s="399"/>
    </row>
    <row r="564" spans="2:13">
      <c r="B564" s="335">
        <v>23</v>
      </c>
      <c r="C564" s="320"/>
      <c r="D564" s="299" t="s">
        <v>237</v>
      </c>
      <c r="E564" s="309">
        <v>3.77</v>
      </c>
      <c r="F564" s="309">
        <v>4.0289999999999999</v>
      </c>
      <c r="G564" s="317">
        <v>3.357418</v>
      </c>
      <c r="H564" s="309">
        <v>4.899591</v>
      </c>
      <c r="I564" s="318">
        <v>0.14069999999999999</v>
      </c>
      <c r="J564" s="318">
        <v>0.10100000000000001</v>
      </c>
      <c r="K564" s="317">
        <v>39.891089000000001</v>
      </c>
      <c r="L564" s="321"/>
      <c r="M564" s="399"/>
    </row>
    <row r="565" spans="2:13">
      <c r="B565" s="335">
        <v>24</v>
      </c>
      <c r="C565" s="320"/>
      <c r="D565" s="299" t="s">
        <v>238</v>
      </c>
      <c r="E565" s="309">
        <v>3.77</v>
      </c>
      <c r="F565" s="309">
        <v>4.069</v>
      </c>
      <c r="G565" s="317">
        <v>3.3907509999999998</v>
      </c>
      <c r="H565" s="309">
        <v>4.9783369999999998</v>
      </c>
      <c r="I565" s="318">
        <v>0.1406</v>
      </c>
      <c r="J565" s="318">
        <v>0.1004</v>
      </c>
      <c r="K565" s="317">
        <v>40.527887999999997</v>
      </c>
      <c r="L565" s="321"/>
      <c r="M565" s="399"/>
    </row>
    <row r="566" spans="2:13" ht="17.25" thickBot="1">
      <c r="B566" s="336">
        <v>25</v>
      </c>
      <c r="C566" s="323"/>
      <c r="D566" s="293" t="s">
        <v>252</v>
      </c>
      <c r="E566" s="311">
        <v>3.7669999999999999</v>
      </c>
      <c r="F566" s="311">
        <v>4.093</v>
      </c>
      <c r="G566" s="278">
        <v>3.4134660000000001</v>
      </c>
      <c r="H566" s="311">
        <v>5.0197820000000002</v>
      </c>
      <c r="I566" s="279">
        <v>0.14050000000000001</v>
      </c>
      <c r="J566" s="279">
        <v>0.1</v>
      </c>
      <c r="K566" s="278">
        <v>40.93</v>
      </c>
      <c r="L566" s="324"/>
      <c r="M566" s="399"/>
    </row>
    <row r="567" spans="2:13" ht="17.25" thickBot="1">
      <c r="B567" s="339" t="s">
        <v>464</v>
      </c>
      <c r="C567" s="340"/>
      <c r="D567" s="341" t="s">
        <v>465</v>
      </c>
      <c r="E567" s="342">
        <f>AVERAGE(E562:E566)</f>
        <v>3.7671999999999999</v>
      </c>
      <c r="F567" s="342">
        <f t="shared" ref="F567:K567" si="158">AVERAGE(F562:F566)</f>
        <v>4.0267999999999997</v>
      </c>
      <c r="G567" s="342">
        <f t="shared" si="158"/>
        <v>3.3580594000000006</v>
      </c>
      <c r="H567" s="342">
        <f t="shared" si="158"/>
        <v>4.9099722000000003</v>
      </c>
      <c r="I567" s="343">
        <f t="shared" si="158"/>
        <v>0.14068</v>
      </c>
      <c r="J567" s="343">
        <f t="shared" si="158"/>
        <v>0.10066000000000001</v>
      </c>
      <c r="K567" s="342">
        <f t="shared" si="158"/>
        <v>40.006430999999999</v>
      </c>
      <c r="L567" s="344"/>
      <c r="M567" s="399"/>
    </row>
    <row r="568" spans="2:13">
      <c r="B568" s="333"/>
      <c r="C568" s="345"/>
      <c r="D568" s="291" t="s">
        <v>466</v>
      </c>
      <c r="E568" s="346">
        <f>MEDIAN(E538:E542,E544:E548,E550:E554,E556:E560,E562:E566)</f>
        <v>3.7795000000000001</v>
      </c>
      <c r="F568" s="346">
        <f t="shared" ref="F568:K568" si="159">MEDIAN(F538:F542,F544:F548,F550:F554,F556:F560,F562:F566)</f>
        <v>4.1624999999999996</v>
      </c>
      <c r="G568" s="346">
        <f t="shared" si="159"/>
        <v>3.4608724999999998</v>
      </c>
      <c r="H568" s="346">
        <f t="shared" si="159"/>
        <v>5.1353235000000002</v>
      </c>
      <c r="I568" s="347">
        <f t="shared" si="159"/>
        <v>0.14050000000000001</v>
      </c>
      <c r="J568" s="347">
        <f t="shared" si="159"/>
        <v>9.9750000000000005E-2</v>
      </c>
      <c r="K568" s="348">
        <f t="shared" si="159"/>
        <v>41.876324999999994</v>
      </c>
      <c r="L568" s="332"/>
      <c r="M568" s="399"/>
    </row>
    <row r="569" spans="2:13">
      <c r="B569" s="335"/>
      <c r="C569" s="320"/>
      <c r="D569" s="299" t="s">
        <v>467</v>
      </c>
      <c r="E569" s="349">
        <f>AVERAGE(E538:E542,E544:E548,E550:E554,E556:E560,E562:E566)</f>
        <v>3.7875416666666659</v>
      </c>
      <c r="F569" s="349">
        <f t="shared" ref="F569:K569" si="160">AVERAGE(F538:F542,F544:F548,F550:F554,F556:F560,F562:F566)</f>
        <v>4.2482083333333343</v>
      </c>
      <c r="G569" s="349">
        <f t="shared" si="160"/>
        <v>3.5227279583333324</v>
      </c>
      <c r="H569" s="349">
        <f t="shared" si="160"/>
        <v>5.2188915416666672</v>
      </c>
      <c r="I569" s="350">
        <f t="shared" si="160"/>
        <v>0.14046666666666668</v>
      </c>
      <c r="J569" s="350">
        <f t="shared" si="160"/>
        <v>9.9904166666666669E-2</v>
      </c>
      <c r="K569" s="351">
        <f t="shared" si="160"/>
        <v>42.527882541666656</v>
      </c>
      <c r="L569" s="321"/>
      <c r="M569" s="399"/>
    </row>
    <row r="570" spans="2:13">
      <c r="B570" s="335"/>
      <c r="C570" s="320"/>
      <c r="D570" s="299" t="s">
        <v>199</v>
      </c>
      <c r="E570" s="349">
        <f>MAX(E538:E542,E544:E548,E550:E554,E556:E560,E562:E566)</f>
        <v>3.8290000000000002</v>
      </c>
      <c r="F570" s="349">
        <f t="shared" ref="F570:K570" si="161">MAX(F538:F542,F544:F548,F550:F554,F556:F560,F562:F566)</f>
        <v>4.7060000000000004</v>
      </c>
      <c r="G570" s="349">
        <f t="shared" si="161"/>
        <v>3.8651819999999999</v>
      </c>
      <c r="H570" s="349">
        <f t="shared" si="161"/>
        <v>5.82104</v>
      </c>
      <c r="I570" s="350">
        <f t="shared" si="161"/>
        <v>0.14080000000000001</v>
      </c>
      <c r="J570" s="350">
        <f t="shared" si="161"/>
        <v>0.10150000000000001</v>
      </c>
      <c r="K570" s="351">
        <f t="shared" si="161"/>
        <v>47.439515999999998</v>
      </c>
      <c r="L570" s="321"/>
      <c r="M570" s="399"/>
    </row>
    <row r="571" spans="2:13">
      <c r="B571" s="335"/>
      <c r="C571" s="320"/>
      <c r="D571" s="299" t="s">
        <v>200</v>
      </c>
      <c r="E571" s="349">
        <f>MIN(E538:E542,E544:E548,E550:E554,E556:E560,E562:E566)</f>
        <v>3.762</v>
      </c>
      <c r="F571" s="349">
        <f t="shared" ref="F571:K571" si="162">MIN(F538:F542,F544:F548,F550:F554,F556:F560,F562:F566)</f>
        <v>3.956</v>
      </c>
      <c r="G571" s="349">
        <f t="shared" si="162"/>
        <v>3.3035969999999999</v>
      </c>
      <c r="H571" s="349">
        <f t="shared" si="162"/>
        <v>4.8243410000000004</v>
      </c>
      <c r="I571" s="350">
        <f t="shared" si="162"/>
        <v>0.14000000000000001</v>
      </c>
      <c r="J571" s="350">
        <f t="shared" si="162"/>
        <v>9.8699999999999996E-2</v>
      </c>
      <c r="K571" s="351">
        <f t="shared" si="162"/>
        <v>39.280788000000001</v>
      </c>
      <c r="L571" s="321"/>
      <c r="M571" s="399"/>
    </row>
    <row r="572" spans="2:13">
      <c r="B572" s="335"/>
      <c r="C572" s="320"/>
      <c r="D572" s="299" t="s">
        <v>201</v>
      </c>
      <c r="E572" s="349">
        <f>E570-E571</f>
        <v>6.7000000000000171E-2</v>
      </c>
      <c r="F572" s="349">
        <f t="shared" ref="F572:K572" si="163">F570-F571</f>
        <v>0.75000000000000044</v>
      </c>
      <c r="G572" s="349">
        <f t="shared" si="163"/>
        <v>0.561585</v>
      </c>
      <c r="H572" s="349">
        <f t="shared" si="163"/>
        <v>0.99669899999999956</v>
      </c>
      <c r="I572" s="350">
        <f t="shared" si="163"/>
        <v>7.9999999999999516E-4</v>
      </c>
      <c r="J572" s="350">
        <f t="shared" si="163"/>
        <v>2.8000000000000108E-3</v>
      </c>
      <c r="K572" s="349">
        <f t="shared" si="163"/>
        <v>8.1587279999999964</v>
      </c>
      <c r="L572" s="321"/>
      <c r="M572" s="399"/>
    </row>
    <row r="573" spans="2:13" ht="17.25" thickBot="1">
      <c r="B573" s="336"/>
      <c r="C573" s="323"/>
      <c r="D573" s="293" t="s">
        <v>202</v>
      </c>
      <c r="E573" s="352">
        <f>STDEVA(E538:E542,E544:E548,E550:E554,E556:E560,E562:E566)</f>
        <v>2.214375791262075E-2</v>
      </c>
      <c r="F573" s="352">
        <f t="shared" ref="F573:K573" si="164">STDEVA(F538:F542,F544:F548,F550:F554,F556:F560,F562:F566)</f>
        <v>0.23813897644327209</v>
      </c>
      <c r="G573" s="352">
        <f t="shared" si="164"/>
        <v>0.17642280678836603</v>
      </c>
      <c r="H573" s="352">
        <f t="shared" si="164"/>
        <v>0.30164247320151816</v>
      </c>
      <c r="I573" s="353">
        <f t="shared" si="164"/>
        <v>1.970801352499648E-4</v>
      </c>
      <c r="J573" s="353">
        <f t="shared" si="164"/>
        <v>7.2200154562442661E-4</v>
      </c>
      <c r="K573" s="352">
        <f t="shared" si="164"/>
        <v>2.4525974572337352</v>
      </c>
      <c r="L573" s="324"/>
      <c r="M573" s="399"/>
    </row>
    <row r="575" spans="2:13">
      <c r="B575" s="240" t="s">
        <v>486</v>
      </c>
      <c r="C575" s="240"/>
      <c r="E575" s="240"/>
      <c r="F575" s="240"/>
      <c r="G575" s="240"/>
      <c r="H575" s="240"/>
      <c r="I575" s="240"/>
      <c r="J575" s="240"/>
      <c r="K575" s="240"/>
    </row>
    <row r="576" spans="2:13" ht="17.25" thickBot="1">
      <c r="B576" s="240" t="s">
        <v>469</v>
      </c>
      <c r="C576" s="240"/>
      <c r="E576" s="240"/>
      <c r="F576" s="240"/>
      <c r="G576" s="240"/>
      <c r="H576" s="240"/>
      <c r="I576" s="240"/>
      <c r="J576" s="240"/>
      <c r="K576" s="240"/>
    </row>
    <row r="577" spans="2:13" ht="17.25" thickBot="1">
      <c r="B577" s="313" t="s">
        <v>11</v>
      </c>
      <c r="C577" s="250" t="s">
        <v>0</v>
      </c>
      <c r="D577" s="250" t="s">
        <v>1</v>
      </c>
      <c r="E577" s="250" t="s">
        <v>2</v>
      </c>
      <c r="F577" s="250" t="s">
        <v>3</v>
      </c>
      <c r="G577" s="250" t="s">
        <v>192</v>
      </c>
      <c r="H577" s="250" t="s">
        <v>16</v>
      </c>
      <c r="I577" s="250" t="s">
        <v>6</v>
      </c>
      <c r="J577" s="251" t="s">
        <v>7</v>
      </c>
      <c r="K577" s="252" t="s">
        <v>8</v>
      </c>
      <c r="L577" s="254" t="s">
        <v>470</v>
      </c>
      <c r="M577" s="404"/>
    </row>
    <row r="578" spans="2:13">
      <c r="B578" s="314">
        <v>1</v>
      </c>
      <c r="C578" s="271" t="s">
        <v>292</v>
      </c>
      <c r="D578" s="291" t="s">
        <v>213</v>
      </c>
      <c r="E578" s="307">
        <v>3.7389999999999999</v>
      </c>
      <c r="F578" s="307">
        <v>3.7770000000000001</v>
      </c>
      <c r="G578" s="272">
        <v>3.1735180000000001</v>
      </c>
      <c r="H578" s="307">
        <v>4.4844090000000003</v>
      </c>
      <c r="I578" s="273">
        <v>0.14119999999999999</v>
      </c>
      <c r="J578" s="273">
        <v>0.1043</v>
      </c>
      <c r="K578" s="272">
        <v>36.212848000000001</v>
      </c>
      <c r="L578" s="275"/>
      <c r="M578" s="397"/>
    </row>
    <row r="579" spans="2:13">
      <c r="B579" s="315">
        <v>2</v>
      </c>
      <c r="C579" s="316"/>
      <c r="D579" s="299" t="s">
        <v>214</v>
      </c>
      <c r="E579" s="309">
        <v>3.7410000000000001</v>
      </c>
      <c r="F579" s="309">
        <v>3.8180000000000001</v>
      </c>
      <c r="G579" s="317">
        <v>3.2062529999999998</v>
      </c>
      <c r="H579" s="309">
        <v>4.4685839999999999</v>
      </c>
      <c r="I579" s="318">
        <v>0.14130000000000001</v>
      </c>
      <c r="J579" s="318">
        <v>0.10580000000000001</v>
      </c>
      <c r="K579" s="317">
        <v>36.086956999999998</v>
      </c>
      <c r="L579" s="319"/>
      <c r="M579" s="398"/>
    </row>
    <row r="580" spans="2:13">
      <c r="B580" s="315">
        <v>3</v>
      </c>
      <c r="C580" s="320"/>
      <c r="D580" s="299" t="s">
        <v>217</v>
      </c>
      <c r="E580" s="309">
        <v>3.7450000000000001</v>
      </c>
      <c r="F580" s="309">
        <v>3.8220000000000001</v>
      </c>
      <c r="G580" s="317">
        <v>3.2061829999999998</v>
      </c>
      <c r="H580" s="309">
        <v>4.490964</v>
      </c>
      <c r="I580" s="318">
        <v>0.14119999999999999</v>
      </c>
      <c r="J580" s="318">
        <v>0.1053</v>
      </c>
      <c r="K580" s="317">
        <v>36.296295999999998</v>
      </c>
      <c r="L580" s="356"/>
      <c r="M580" s="400"/>
    </row>
    <row r="581" spans="2:13">
      <c r="B581" s="315">
        <v>4</v>
      </c>
      <c r="C581" s="320"/>
      <c r="D581" s="299" t="s">
        <v>218</v>
      </c>
      <c r="E581" s="309">
        <v>3.7440000000000002</v>
      </c>
      <c r="F581" s="309">
        <v>3.8679999999999999</v>
      </c>
      <c r="G581" s="317">
        <v>3.245638</v>
      </c>
      <c r="H581" s="309">
        <v>4.592435</v>
      </c>
      <c r="I581" s="318">
        <v>0.14119999999999999</v>
      </c>
      <c r="J581" s="318">
        <v>0.1042</v>
      </c>
      <c r="K581" s="317">
        <v>37.120921000000003</v>
      </c>
      <c r="L581" s="356"/>
      <c r="M581" s="400"/>
    </row>
    <row r="582" spans="2:13" ht="17.25" thickBot="1">
      <c r="B582" s="322">
        <v>5</v>
      </c>
      <c r="C582" s="323"/>
      <c r="D582" s="354" t="s">
        <v>240</v>
      </c>
      <c r="E582" s="311">
        <v>3.7370000000000001</v>
      </c>
      <c r="F582" s="311">
        <v>3.8690000000000002</v>
      </c>
      <c r="G582" s="278">
        <v>3.2525590000000002</v>
      </c>
      <c r="H582" s="311">
        <v>4.6234339999999996</v>
      </c>
      <c r="I582" s="279">
        <v>0.14119999999999999</v>
      </c>
      <c r="J582" s="279">
        <v>0.10349999999999999</v>
      </c>
      <c r="K582" s="278">
        <v>37.381642999999997</v>
      </c>
      <c r="L582" s="324"/>
      <c r="M582" s="399"/>
    </row>
    <row r="583" spans="2:13" ht="17.25" thickBot="1">
      <c r="B583" s="325"/>
      <c r="C583" s="326"/>
      <c r="D583" s="327" t="s">
        <v>463</v>
      </c>
      <c r="E583" s="328">
        <f>AVERAGE(E578:E582)</f>
        <v>3.7412000000000005</v>
      </c>
      <c r="F583" s="328">
        <f t="shared" ref="F583:K583" si="165">AVERAGE(F578:F582)</f>
        <v>3.8308000000000009</v>
      </c>
      <c r="G583" s="328">
        <f t="shared" si="165"/>
        <v>3.2168301999999995</v>
      </c>
      <c r="H583" s="328">
        <f t="shared" si="165"/>
        <v>4.5319652000000001</v>
      </c>
      <c r="I583" s="329">
        <f t="shared" si="165"/>
        <v>0.14121999999999998</v>
      </c>
      <c r="J583" s="329">
        <f t="shared" si="165"/>
        <v>0.10462</v>
      </c>
      <c r="K583" s="330">
        <f t="shared" si="165"/>
        <v>36.619732999999997</v>
      </c>
      <c r="L583" s="331"/>
      <c r="M583" s="399"/>
    </row>
    <row r="584" spans="2:13">
      <c r="B584" s="314">
        <v>6</v>
      </c>
      <c r="C584" s="271" t="s">
        <v>291</v>
      </c>
      <c r="D584" s="291" t="s">
        <v>241</v>
      </c>
      <c r="E584" s="307">
        <v>3.734</v>
      </c>
      <c r="F584" s="307">
        <v>3.7890000000000001</v>
      </c>
      <c r="G584" s="272">
        <v>3.1878639999999998</v>
      </c>
      <c r="H584" s="307">
        <v>4.4915450000000003</v>
      </c>
      <c r="I584" s="273">
        <v>0.14119999999999999</v>
      </c>
      <c r="J584" s="273">
        <v>0.1041</v>
      </c>
      <c r="K584" s="272">
        <v>36.397694999999999</v>
      </c>
      <c r="L584" s="332"/>
      <c r="M584" s="399"/>
    </row>
    <row r="585" spans="2:13">
      <c r="B585" s="315">
        <v>7</v>
      </c>
      <c r="C585" s="320"/>
      <c r="D585" s="299" t="s">
        <v>242</v>
      </c>
      <c r="E585" s="309">
        <v>3.7429999999999999</v>
      </c>
      <c r="F585" s="309">
        <v>3.786</v>
      </c>
      <c r="G585" s="317">
        <v>3.1776810000000002</v>
      </c>
      <c r="H585" s="309">
        <v>4.4409679999999998</v>
      </c>
      <c r="I585" s="318">
        <v>0.14119999999999999</v>
      </c>
      <c r="J585" s="318">
        <v>0.1056</v>
      </c>
      <c r="K585" s="317">
        <v>35.852272999999997</v>
      </c>
      <c r="L585" s="321"/>
      <c r="M585" s="399"/>
    </row>
    <row r="586" spans="2:13">
      <c r="B586" s="315">
        <v>8</v>
      </c>
      <c r="C586" s="320"/>
      <c r="D586" s="299" t="s">
        <v>222</v>
      </c>
      <c r="E586" s="309">
        <v>3.746</v>
      </c>
      <c r="F586" s="309">
        <v>3.8090000000000002</v>
      </c>
      <c r="G586" s="317">
        <v>3.1944249999999998</v>
      </c>
      <c r="H586" s="309">
        <v>4.481306</v>
      </c>
      <c r="I586" s="318">
        <v>0.14130000000000001</v>
      </c>
      <c r="J586" s="318">
        <v>0.1052</v>
      </c>
      <c r="K586" s="317">
        <v>36.207223999999997</v>
      </c>
      <c r="L586" s="321"/>
      <c r="M586" s="399"/>
    </row>
    <row r="587" spans="2:13">
      <c r="B587" s="315">
        <v>9</v>
      </c>
      <c r="C587" s="320"/>
      <c r="D587" s="299" t="s">
        <v>223</v>
      </c>
      <c r="E587" s="309">
        <v>3.742</v>
      </c>
      <c r="F587" s="309">
        <v>3.8170000000000002</v>
      </c>
      <c r="G587" s="317">
        <v>3.2045560000000002</v>
      </c>
      <c r="H587" s="309">
        <v>4.5323650000000004</v>
      </c>
      <c r="I587" s="318">
        <v>0.14119999999999999</v>
      </c>
      <c r="J587" s="318">
        <v>0.1041</v>
      </c>
      <c r="K587" s="317">
        <v>36.666666999999997</v>
      </c>
      <c r="L587" s="321"/>
      <c r="M587" s="399"/>
    </row>
    <row r="588" spans="2:13" ht="17.25" thickBot="1">
      <c r="B588" s="322">
        <v>10</v>
      </c>
      <c r="C588" s="323"/>
      <c r="D588" s="293" t="s">
        <v>243</v>
      </c>
      <c r="E588" s="311">
        <v>3.7360000000000002</v>
      </c>
      <c r="F588" s="311">
        <v>3.84</v>
      </c>
      <c r="G588" s="278">
        <v>3.2290429999999999</v>
      </c>
      <c r="H588" s="311">
        <v>4.5880679999999998</v>
      </c>
      <c r="I588" s="279">
        <v>0.14119999999999999</v>
      </c>
      <c r="J588" s="279">
        <v>0.1036</v>
      </c>
      <c r="K588" s="278">
        <v>37.065637000000002</v>
      </c>
      <c r="L588" s="324"/>
      <c r="M588" s="399"/>
    </row>
    <row r="589" spans="2:13" ht="17.25" thickBot="1">
      <c r="B589" s="325" t="s">
        <v>464</v>
      </c>
      <c r="C589" s="326"/>
      <c r="D589" s="327" t="s">
        <v>463</v>
      </c>
      <c r="E589" s="328">
        <f>AVERAGE(E584:E588)</f>
        <v>3.7402000000000002</v>
      </c>
      <c r="F589" s="328">
        <f t="shared" ref="F589:K589" si="166">AVERAGE(F584:F588)</f>
        <v>3.8082000000000003</v>
      </c>
      <c r="G589" s="328">
        <f t="shared" si="166"/>
        <v>3.1987138000000002</v>
      </c>
      <c r="H589" s="328">
        <f t="shared" si="166"/>
        <v>4.5068504000000003</v>
      </c>
      <c r="I589" s="329">
        <f t="shared" si="166"/>
        <v>0.14121999999999998</v>
      </c>
      <c r="J589" s="329">
        <f t="shared" si="166"/>
        <v>0.10452000000000002</v>
      </c>
      <c r="K589" s="330">
        <f t="shared" si="166"/>
        <v>36.437899199999997</v>
      </c>
      <c r="L589" s="331"/>
      <c r="M589" s="399"/>
    </row>
    <row r="590" spans="2:13">
      <c r="B590" s="333">
        <v>11</v>
      </c>
      <c r="C590" s="334" t="s">
        <v>291</v>
      </c>
      <c r="D590" s="291" t="s">
        <v>244</v>
      </c>
      <c r="E590" s="307">
        <v>3.7309999999999999</v>
      </c>
      <c r="F590" s="307">
        <v>3.7869999999999999</v>
      </c>
      <c r="G590" s="272">
        <v>3.1887430000000001</v>
      </c>
      <c r="H590" s="307">
        <v>4.4919469999999997</v>
      </c>
      <c r="I590" s="273">
        <v>0.14130000000000001</v>
      </c>
      <c r="J590" s="273">
        <v>0.1041</v>
      </c>
      <c r="K590" s="272">
        <v>36.378481999999998</v>
      </c>
      <c r="L590" s="332"/>
      <c r="M590" s="399"/>
    </row>
    <row r="591" spans="2:13">
      <c r="B591" s="335">
        <v>12</v>
      </c>
      <c r="C591" s="320"/>
      <c r="D591" s="299" t="s">
        <v>245</v>
      </c>
      <c r="E591" s="309">
        <v>3.7389999999999999</v>
      </c>
      <c r="F591" s="309">
        <v>3.7730000000000001</v>
      </c>
      <c r="G591" s="317">
        <v>3.1701579999999998</v>
      </c>
      <c r="H591" s="309">
        <v>4.419041</v>
      </c>
      <c r="I591" s="318">
        <v>0.14130000000000001</v>
      </c>
      <c r="J591" s="318">
        <v>0.1056</v>
      </c>
      <c r="K591" s="317">
        <v>35.729166999999997</v>
      </c>
      <c r="L591" s="321"/>
      <c r="M591" s="399"/>
    </row>
    <row r="592" spans="2:13">
      <c r="B592" s="335">
        <v>13</v>
      </c>
      <c r="C592" s="320"/>
      <c r="D592" s="299" t="s">
        <v>227</v>
      </c>
      <c r="E592" s="309">
        <v>3.738</v>
      </c>
      <c r="F592" s="309">
        <v>3.7719999999999998</v>
      </c>
      <c r="G592" s="317">
        <v>3.1701649999999999</v>
      </c>
      <c r="H592" s="309">
        <v>4.4305570000000003</v>
      </c>
      <c r="I592" s="318">
        <v>0.14130000000000001</v>
      </c>
      <c r="J592" s="318">
        <v>0.10539999999999999</v>
      </c>
      <c r="K592" s="317">
        <v>35.787475999999998</v>
      </c>
      <c r="L592" s="321"/>
      <c r="M592" s="399"/>
    </row>
    <row r="593" spans="2:13">
      <c r="B593" s="335">
        <v>14</v>
      </c>
      <c r="C593" s="320"/>
      <c r="D593" s="299" t="s">
        <v>228</v>
      </c>
      <c r="E593" s="309">
        <v>3.7389999999999999</v>
      </c>
      <c r="F593" s="309">
        <v>3.8039999999999998</v>
      </c>
      <c r="G593" s="317">
        <v>3.1962039999999998</v>
      </c>
      <c r="H593" s="309">
        <v>4.499765</v>
      </c>
      <c r="I593" s="318">
        <v>0.14130000000000001</v>
      </c>
      <c r="J593" s="318">
        <v>0.10440000000000001</v>
      </c>
      <c r="K593" s="317">
        <v>36.436782000000001</v>
      </c>
      <c r="L593" s="321"/>
      <c r="M593" s="399"/>
    </row>
    <row r="594" spans="2:13" ht="17.25" thickBot="1">
      <c r="B594" s="336">
        <v>15</v>
      </c>
      <c r="C594" s="323"/>
      <c r="D594" s="293" t="s">
        <v>246</v>
      </c>
      <c r="E594" s="311">
        <v>3.7330000000000001</v>
      </c>
      <c r="F594" s="311">
        <v>3.8180000000000001</v>
      </c>
      <c r="G594" s="278">
        <v>3.2131240000000001</v>
      </c>
      <c r="H594" s="311">
        <v>4.55105</v>
      </c>
      <c r="I594" s="279">
        <v>0.14119999999999999</v>
      </c>
      <c r="J594" s="279">
        <v>0.1036</v>
      </c>
      <c r="K594" s="278">
        <v>36.853282</v>
      </c>
      <c r="L594" s="324"/>
      <c r="M594" s="399"/>
    </row>
    <row r="595" spans="2:13" ht="17.25" thickBot="1">
      <c r="B595" s="337"/>
      <c r="C595" s="326"/>
      <c r="D595" s="327" t="s">
        <v>463</v>
      </c>
      <c r="E595" s="328">
        <f>AVERAGE(E590:E594)</f>
        <v>3.7359999999999998</v>
      </c>
      <c r="F595" s="328">
        <f t="shared" ref="F595:K595" si="167">AVERAGE(F590:F594)</f>
        <v>3.7907999999999999</v>
      </c>
      <c r="G595" s="328">
        <f t="shared" si="167"/>
        <v>3.1876788</v>
      </c>
      <c r="H595" s="328">
        <f t="shared" si="167"/>
        <v>4.478472</v>
      </c>
      <c r="I595" s="329">
        <f t="shared" si="167"/>
        <v>0.14128000000000002</v>
      </c>
      <c r="J595" s="329">
        <f t="shared" si="167"/>
        <v>0.10462</v>
      </c>
      <c r="K595" s="330">
        <f t="shared" si="167"/>
        <v>36.237037800000003</v>
      </c>
      <c r="L595" s="331"/>
      <c r="M595" s="399"/>
    </row>
    <row r="596" spans="2:13">
      <c r="B596" s="333">
        <v>16</v>
      </c>
      <c r="C596" s="271" t="s">
        <v>205</v>
      </c>
      <c r="D596" s="291" t="s">
        <v>247</v>
      </c>
      <c r="E596" s="307">
        <v>3.7080000000000002</v>
      </c>
      <c r="F596" s="307">
        <v>3.512</v>
      </c>
      <c r="G596" s="272">
        <v>2.97553</v>
      </c>
      <c r="H596" s="307">
        <v>4.2326779999999999</v>
      </c>
      <c r="I596" s="273">
        <v>0.1414</v>
      </c>
      <c r="J596" s="273">
        <v>0.10199999999999999</v>
      </c>
      <c r="K596" s="272">
        <v>34.431373000000001</v>
      </c>
      <c r="L596" s="359"/>
      <c r="M596" s="401"/>
    </row>
    <row r="597" spans="2:13">
      <c r="B597" s="335">
        <v>17</v>
      </c>
      <c r="C597" s="320"/>
      <c r="D597" s="299" t="s">
        <v>248</v>
      </c>
      <c r="E597" s="309">
        <v>3.7149999999999999</v>
      </c>
      <c r="F597" s="309">
        <v>3.508</v>
      </c>
      <c r="G597" s="317">
        <v>2.9665400000000002</v>
      </c>
      <c r="H597" s="309">
        <v>4.1792800000000003</v>
      </c>
      <c r="I597" s="318">
        <v>0.1416</v>
      </c>
      <c r="J597" s="318">
        <v>0.10340000000000001</v>
      </c>
      <c r="K597" s="317">
        <v>33.926499</v>
      </c>
      <c r="L597" s="321"/>
      <c r="M597" s="399"/>
    </row>
    <row r="598" spans="2:13">
      <c r="B598" s="335">
        <v>18</v>
      </c>
      <c r="C598" s="320"/>
      <c r="D598" s="299" t="s">
        <v>232</v>
      </c>
      <c r="E598" s="309">
        <v>3.72</v>
      </c>
      <c r="F598" s="309">
        <v>3.5059999999999998</v>
      </c>
      <c r="G598" s="317">
        <v>2.9608639999999999</v>
      </c>
      <c r="H598" s="309">
        <v>4.1918870000000004</v>
      </c>
      <c r="I598" s="318">
        <v>0.14149999999999999</v>
      </c>
      <c r="J598" s="318">
        <v>0.1032</v>
      </c>
      <c r="K598" s="317">
        <v>33.972867999999998</v>
      </c>
      <c r="L598" s="321"/>
      <c r="M598" s="399"/>
    </row>
    <row r="599" spans="2:13">
      <c r="B599" s="335">
        <v>19</v>
      </c>
      <c r="C599" s="320"/>
      <c r="D599" s="299" t="s">
        <v>233</v>
      </c>
      <c r="E599" s="309">
        <v>3.7130000000000001</v>
      </c>
      <c r="F599" s="309">
        <v>3.4929999999999999</v>
      </c>
      <c r="G599" s="317">
        <v>2.9554469999999999</v>
      </c>
      <c r="H599" s="309">
        <v>4.1919940000000002</v>
      </c>
      <c r="I599" s="318">
        <v>0.14149999999999999</v>
      </c>
      <c r="J599" s="318">
        <v>0.1026</v>
      </c>
      <c r="K599" s="317">
        <v>34.044834000000002</v>
      </c>
      <c r="L599" s="321"/>
      <c r="M599" s="399"/>
    </row>
    <row r="600" spans="2:13" ht="17.25" thickBot="1">
      <c r="B600" s="336">
        <v>20</v>
      </c>
      <c r="C600" s="323"/>
      <c r="D600" s="293" t="s">
        <v>249</v>
      </c>
      <c r="E600" s="311">
        <v>3.7040000000000002</v>
      </c>
      <c r="F600" s="311">
        <v>3.4689999999999999</v>
      </c>
      <c r="G600" s="278">
        <v>2.942272</v>
      </c>
      <c r="H600" s="311">
        <v>4.179297</v>
      </c>
      <c r="I600" s="279">
        <v>0.1414</v>
      </c>
      <c r="J600" s="279">
        <v>0.10199999999999999</v>
      </c>
      <c r="K600" s="278">
        <v>34.009804000000003</v>
      </c>
      <c r="L600" s="324"/>
      <c r="M600" s="399"/>
    </row>
    <row r="601" spans="2:13" ht="17.25" thickBot="1">
      <c r="B601" s="337"/>
      <c r="C601" s="326"/>
      <c r="D601" s="327" t="s">
        <v>463</v>
      </c>
      <c r="E601" s="328">
        <f>AVERAGE(E596:E600)</f>
        <v>3.7120000000000006</v>
      </c>
      <c r="F601" s="328">
        <f t="shared" ref="F601:K601" si="168">AVERAGE(F596:F600)</f>
        <v>3.4975999999999998</v>
      </c>
      <c r="G601" s="328">
        <f t="shared" si="168"/>
        <v>2.9601306000000003</v>
      </c>
      <c r="H601" s="328">
        <f t="shared" si="168"/>
        <v>4.1950272000000002</v>
      </c>
      <c r="I601" s="329">
        <f t="shared" si="168"/>
        <v>0.14147999999999999</v>
      </c>
      <c r="J601" s="329">
        <f t="shared" si="168"/>
        <v>0.10264</v>
      </c>
      <c r="K601" s="328">
        <f t="shared" si="168"/>
        <v>34.077075600000001</v>
      </c>
      <c r="L601" s="331"/>
      <c r="M601" s="399"/>
    </row>
    <row r="602" spans="2:13">
      <c r="B602" s="333">
        <v>21</v>
      </c>
      <c r="C602" s="271" t="s">
        <v>205</v>
      </c>
      <c r="D602" s="291" t="s">
        <v>250</v>
      </c>
      <c r="E602" s="307">
        <v>3.7050000000000001</v>
      </c>
      <c r="F602" s="307">
        <v>3.4849999999999999</v>
      </c>
      <c r="G602" s="272">
        <v>2.9550450000000001</v>
      </c>
      <c r="H602" s="307">
        <v>4.18208</v>
      </c>
      <c r="I602" s="273">
        <v>0.14149999999999999</v>
      </c>
      <c r="J602" s="273">
        <v>0.1023</v>
      </c>
      <c r="K602" s="272">
        <v>34.066471</v>
      </c>
      <c r="L602" s="332"/>
      <c r="M602" s="399"/>
    </row>
    <row r="603" spans="2:13">
      <c r="B603" s="335">
        <v>22</v>
      </c>
      <c r="C603" s="320"/>
      <c r="D603" s="299" t="s">
        <v>251</v>
      </c>
      <c r="E603" s="309">
        <v>3.7090000000000001</v>
      </c>
      <c r="F603" s="309">
        <v>3.48</v>
      </c>
      <c r="G603" s="317">
        <v>2.9476230000000001</v>
      </c>
      <c r="H603" s="309">
        <v>4.1369949999999998</v>
      </c>
      <c r="I603" s="318">
        <v>0.14169999999999999</v>
      </c>
      <c r="J603" s="318">
        <v>0.10390000000000001</v>
      </c>
      <c r="K603" s="317">
        <v>33.493744</v>
      </c>
      <c r="L603" s="321"/>
      <c r="M603" s="399"/>
    </row>
    <row r="604" spans="2:13">
      <c r="B604" s="335">
        <v>23</v>
      </c>
      <c r="C604" s="320"/>
      <c r="D604" s="299" t="s">
        <v>237</v>
      </c>
      <c r="E604" s="309">
        <v>3.7170000000000001</v>
      </c>
      <c r="F604" s="309">
        <v>3.4950000000000001</v>
      </c>
      <c r="G604" s="317">
        <v>2.9539569999999999</v>
      </c>
      <c r="H604" s="309">
        <v>4.157019</v>
      </c>
      <c r="I604" s="318">
        <v>0.1416</v>
      </c>
      <c r="J604" s="318">
        <v>0.1036</v>
      </c>
      <c r="K604" s="317">
        <v>33.735520999999999</v>
      </c>
      <c r="L604" s="321"/>
      <c r="M604" s="399"/>
    </row>
    <row r="605" spans="2:13">
      <c r="B605" s="335">
        <v>24</v>
      </c>
      <c r="C605" s="320"/>
      <c r="D605" s="299" t="s">
        <v>238</v>
      </c>
      <c r="E605" s="309">
        <v>3.7069999999999999</v>
      </c>
      <c r="F605" s="309">
        <v>3.468</v>
      </c>
      <c r="G605" s="317">
        <v>2.9390429999999999</v>
      </c>
      <c r="H605" s="309">
        <v>4.1506629999999998</v>
      </c>
      <c r="I605" s="318">
        <v>0.14149999999999999</v>
      </c>
      <c r="J605" s="318">
        <v>0.10290000000000001</v>
      </c>
      <c r="K605" s="317">
        <v>33.702624</v>
      </c>
      <c r="L605" s="321"/>
      <c r="M605" s="399"/>
    </row>
    <row r="606" spans="2:13" ht="17.25" thickBot="1">
      <c r="B606" s="336">
        <v>25</v>
      </c>
      <c r="C606" s="323"/>
      <c r="D606" s="293" t="s">
        <v>252</v>
      </c>
      <c r="E606" s="311">
        <v>3.7</v>
      </c>
      <c r="F606" s="311">
        <v>3.4350000000000001</v>
      </c>
      <c r="G606" s="278">
        <v>2.9165839999999998</v>
      </c>
      <c r="H606" s="311">
        <v>4.1287950000000002</v>
      </c>
      <c r="I606" s="279">
        <v>0.14149999999999999</v>
      </c>
      <c r="J606" s="279">
        <v>0.10249999999999999</v>
      </c>
      <c r="K606" s="278">
        <v>33.512194999999998</v>
      </c>
      <c r="L606" s="324"/>
      <c r="M606" s="399"/>
    </row>
    <row r="607" spans="2:13" ht="17.25" thickBot="1">
      <c r="B607" s="339" t="s">
        <v>464</v>
      </c>
      <c r="C607" s="340"/>
      <c r="D607" s="341" t="s">
        <v>465</v>
      </c>
      <c r="E607" s="342">
        <f>AVERAGE(E602:E606)</f>
        <v>3.7076000000000002</v>
      </c>
      <c r="F607" s="342">
        <f t="shared" ref="F607:K607" si="169">AVERAGE(F602:F606)</f>
        <v>3.4725999999999999</v>
      </c>
      <c r="G607" s="342">
        <f t="shared" si="169"/>
        <v>2.9424504000000002</v>
      </c>
      <c r="H607" s="342">
        <f t="shared" si="169"/>
        <v>4.1511103999999994</v>
      </c>
      <c r="I607" s="343">
        <f t="shared" si="169"/>
        <v>0.14155999999999999</v>
      </c>
      <c r="J607" s="343">
        <f t="shared" si="169"/>
        <v>0.10303999999999999</v>
      </c>
      <c r="K607" s="342">
        <f t="shared" si="169"/>
        <v>33.702110999999995</v>
      </c>
      <c r="L607" s="344"/>
      <c r="M607" s="399"/>
    </row>
    <row r="608" spans="2:13">
      <c r="B608" s="333"/>
      <c r="C608" s="345"/>
      <c r="D608" s="291" t="s">
        <v>466</v>
      </c>
      <c r="E608" s="346">
        <f>MEDIAN(E578:E582,E584:E588,E590:E594,E596:E600,E602:E606)</f>
        <v>3.734</v>
      </c>
      <c r="F608" s="346">
        <f t="shared" ref="F608:K608" si="170">MEDIAN(F578:F582,F584:F588,F590:F594,F596:F600,F602:F606)</f>
        <v>3.7770000000000001</v>
      </c>
      <c r="G608" s="346">
        <f t="shared" si="170"/>
        <v>3.1735180000000001</v>
      </c>
      <c r="H608" s="346">
        <f t="shared" si="170"/>
        <v>4.4409679999999998</v>
      </c>
      <c r="I608" s="347">
        <f t="shared" si="170"/>
        <v>0.14130000000000001</v>
      </c>
      <c r="J608" s="347">
        <f t="shared" si="170"/>
        <v>0.10390000000000001</v>
      </c>
      <c r="K608" s="348">
        <f t="shared" si="170"/>
        <v>35.852272999999997</v>
      </c>
      <c r="L608" s="332"/>
      <c r="M608" s="399"/>
    </row>
    <row r="609" spans="2:13">
      <c r="B609" s="335"/>
      <c r="C609" s="320"/>
      <c r="D609" s="299" t="s">
        <v>467</v>
      </c>
      <c r="E609" s="349">
        <f>AVERAGE(E578:E582,E584:E588,E590:E594,E596:E600,E602:E606)</f>
        <v>3.7273999999999989</v>
      </c>
      <c r="F609" s="349">
        <f t="shared" ref="F609:K609" si="171">AVERAGE(F578:F582,F584:F588,F590:F594,F596:F600,F602:F606)</f>
        <v>3.6800000000000006</v>
      </c>
      <c r="G609" s="349">
        <f t="shared" si="171"/>
        <v>3.1011607600000004</v>
      </c>
      <c r="H609" s="349">
        <f t="shared" si="171"/>
        <v>4.3726850400000004</v>
      </c>
      <c r="I609" s="350">
        <f t="shared" si="171"/>
        <v>0.14135200000000003</v>
      </c>
      <c r="J609" s="350">
        <f t="shared" si="171"/>
        <v>0.10388799999999999</v>
      </c>
      <c r="K609" s="351">
        <f t="shared" si="171"/>
        <v>35.41477132</v>
      </c>
      <c r="L609" s="321"/>
      <c r="M609" s="399"/>
    </row>
    <row r="610" spans="2:13">
      <c r="B610" s="335"/>
      <c r="C610" s="320"/>
      <c r="D610" s="299" t="s">
        <v>199</v>
      </c>
      <c r="E610" s="349">
        <f>MAX(E578:E582,E584:E588,E590:E594,E596:E600,E602:E606)</f>
        <v>3.746</v>
      </c>
      <c r="F610" s="349">
        <f t="shared" ref="F610:K610" si="172">MAX(F578:F582,F584:F588,F590:F594,F596:F600,F602:F606)</f>
        <v>3.8690000000000002</v>
      </c>
      <c r="G610" s="349">
        <f t="shared" si="172"/>
        <v>3.2525590000000002</v>
      </c>
      <c r="H610" s="349">
        <f t="shared" si="172"/>
        <v>4.6234339999999996</v>
      </c>
      <c r="I610" s="350">
        <f t="shared" si="172"/>
        <v>0.14169999999999999</v>
      </c>
      <c r="J610" s="350">
        <f t="shared" si="172"/>
        <v>0.10580000000000001</v>
      </c>
      <c r="K610" s="351">
        <f t="shared" si="172"/>
        <v>37.381642999999997</v>
      </c>
      <c r="L610" s="321"/>
      <c r="M610" s="399"/>
    </row>
    <row r="611" spans="2:13">
      <c r="B611" s="335"/>
      <c r="C611" s="320"/>
      <c r="D611" s="299" t="s">
        <v>200</v>
      </c>
      <c r="E611" s="349">
        <f>MIN(E578:E582,E584:E588,E590:E594,E596:E600,E602:E606)</f>
        <v>3.7</v>
      </c>
      <c r="F611" s="349">
        <f t="shared" ref="F611:K611" si="173">MIN(F578:F582,F584:F588,F590:F594,F596:F600,F602:F606)</f>
        <v>3.4350000000000001</v>
      </c>
      <c r="G611" s="349">
        <f t="shared" si="173"/>
        <v>2.9165839999999998</v>
      </c>
      <c r="H611" s="349">
        <f t="shared" si="173"/>
        <v>4.1287950000000002</v>
      </c>
      <c r="I611" s="350">
        <f t="shared" si="173"/>
        <v>0.14119999999999999</v>
      </c>
      <c r="J611" s="350">
        <f t="shared" si="173"/>
        <v>0.10199999999999999</v>
      </c>
      <c r="K611" s="351">
        <f t="shared" si="173"/>
        <v>33.493744</v>
      </c>
      <c r="L611" s="321"/>
      <c r="M611" s="399"/>
    </row>
    <row r="612" spans="2:13">
      <c r="B612" s="335"/>
      <c r="C612" s="320"/>
      <c r="D612" s="299" t="s">
        <v>201</v>
      </c>
      <c r="E612" s="349">
        <f>E610-E611</f>
        <v>4.5999999999999819E-2</v>
      </c>
      <c r="F612" s="349">
        <f t="shared" ref="F612:K612" si="174">F610-F611</f>
        <v>0.43400000000000016</v>
      </c>
      <c r="G612" s="349">
        <f t="shared" si="174"/>
        <v>0.33597500000000036</v>
      </c>
      <c r="H612" s="349">
        <f t="shared" si="174"/>
        <v>0.49463899999999938</v>
      </c>
      <c r="I612" s="350">
        <f t="shared" si="174"/>
        <v>5.0000000000000044E-4</v>
      </c>
      <c r="J612" s="350">
        <f t="shared" si="174"/>
        <v>3.8000000000000117E-3</v>
      </c>
      <c r="K612" s="349">
        <f t="shared" si="174"/>
        <v>3.8878989999999973</v>
      </c>
      <c r="L612" s="321"/>
      <c r="M612" s="399"/>
    </row>
    <row r="613" spans="2:13" ht="17.25" thickBot="1">
      <c r="B613" s="336"/>
      <c r="C613" s="323"/>
      <c r="D613" s="293" t="s">
        <v>202</v>
      </c>
      <c r="E613" s="352">
        <f>STDEVA(E578:E582,E584:E588,E590:E594,E596:E600,E602:E606)</f>
        <v>1.5542951242712318E-2</v>
      </c>
      <c r="F613" s="352">
        <f t="shared" ref="F613:K613" si="175">STDEVA(F578:F582,F584:F588,F590:F594,F596:F600,F602:F606)</f>
        <v>0.16477054752999198</v>
      </c>
      <c r="G613" s="352">
        <f t="shared" si="175"/>
        <v>0.12681885507265866</v>
      </c>
      <c r="H613" s="352">
        <f t="shared" si="175"/>
        <v>0.17367433708608185</v>
      </c>
      <c r="I613" s="353">
        <f t="shared" si="175"/>
        <v>1.5577761927397155E-4</v>
      </c>
      <c r="J613" s="353">
        <f t="shared" si="175"/>
        <v>1.1457603007028435E-3</v>
      </c>
      <c r="K613" s="352">
        <f t="shared" si="175"/>
        <v>1.3384533240657763</v>
      </c>
      <c r="L613" s="324"/>
      <c r="M613" s="399"/>
    </row>
    <row r="615" spans="2:13">
      <c r="B615" s="240" t="s">
        <v>487</v>
      </c>
      <c r="C615" s="240"/>
      <c r="E615" s="240"/>
      <c r="F615" s="240"/>
      <c r="G615" s="240"/>
      <c r="H615" s="240"/>
      <c r="I615" s="240"/>
      <c r="J615" s="240"/>
      <c r="K615" s="240"/>
    </row>
    <row r="616" spans="2:13" ht="17.25" thickBot="1">
      <c r="B616" s="240" t="s">
        <v>469</v>
      </c>
      <c r="C616" s="240"/>
      <c r="E616" s="240"/>
      <c r="F616" s="240"/>
      <c r="G616" s="240"/>
      <c r="H616" s="240"/>
      <c r="I616" s="240"/>
      <c r="J616" s="240"/>
      <c r="K616" s="240"/>
    </row>
    <row r="617" spans="2:13" ht="17.25" thickBot="1">
      <c r="B617" s="313" t="s">
        <v>11</v>
      </c>
      <c r="C617" s="250" t="s">
        <v>0</v>
      </c>
      <c r="D617" s="250" t="s">
        <v>1</v>
      </c>
      <c r="E617" s="250" t="s">
        <v>2</v>
      </c>
      <c r="F617" s="250" t="s">
        <v>3</v>
      </c>
      <c r="G617" s="250" t="s">
        <v>192</v>
      </c>
      <c r="H617" s="250" t="s">
        <v>16</v>
      </c>
      <c r="I617" s="250" t="s">
        <v>6</v>
      </c>
      <c r="J617" s="251" t="s">
        <v>7</v>
      </c>
      <c r="K617" s="252" t="s">
        <v>8</v>
      </c>
      <c r="L617" s="254" t="s">
        <v>470</v>
      </c>
      <c r="M617" s="404"/>
    </row>
    <row r="618" spans="2:13">
      <c r="B618" s="314">
        <v>1</v>
      </c>
      <c r="C618" s="271" t="s">
        <v>292</v>
      </c>
      <c r="D618" s="291" t="s">
        <v>213</v>
      </c>
      <c r="E618" s="307">
        <v>3.823</v>
      </c>
      <c r="F618" s="307">
        <v>4.6840000000000002</v>
      </c>
      <c r="G618" s="272">
        <v>3.849126</v>
      </c>
      <c r="H618" s="307">
        <v>5.6053170000000003</v>
      </c>
      <c r="I618" s="273">
        <v>0.1401</v>
      </c>
      <c r="J618" s="273">
        <v>0.10340000000000001</v>
      </c>
      <c r="K618" s="272">
        <v>45.299807000000001</v>
      </c>
      <c r="L618" s="275"/>
      <c r="M618" s="397"/>
    </row>
    <row r="619" spans="2:13">
      <c r="B619" s="315">
        <v>2</v>
      </c>
      <c r="C619" s="316"/>
      <c r="D619" s="299" t="s">
        <v>214</v>
      </c>
      <c r="E619" s="309">
        <v>3.8119999999999998</v>
      </c>
      <c r="F619" s="309">
        <v>4.5919999999999996</v>
      </c>
      <c r="G619" s="317">
        <v>3.7844129999999998</v>
      </c>
      <c r="H619" s="309">
        <v>5.5061450000000001</v>
      </c>
      <c r="I619" s="318">
        <v>0.1401</v>
      </c>
      <c r="J619" s="318">
        <v>0.1031</v>
      </c>
      <c r="K619" s="317">
        <v>44.539282</v>
      </c>
      <c r="L619" s="319"/>
      <c r="M619" s="398"/>
    </row>
    <row r="620" spans="2:13">
      <c r="B620" s="315">
        <v>3</v>
      </c>
      <c r="C620" s="320"/>
      <c r="D620" s="299" t="s">
        <v>217</v>
      </c>
      <c r="E620" s="309">
        <v>3.8</v>
      </c>
      <c r="F620" s="309">
        <v>4.4690000000000003</v>
      </c>
      <c r="G620" s="317">
        <v>3.6946750000000002</v>
      </c>
      <c r="H620" s="309">
        <v>5.3743340000000002</v>
      </c>
      <c r="I620" s="318">
        <v>0.14030000000000001</v>
      </c>
      <c r="J620" s="318">
        <v>0.1027</v>
      </c>
      <c r="K620" s="317">
        <v>43.515093</v>
      </c>
      <c r="L620" s="356"/>
      <c r="M620" s="400"/>
    </row>
    <row r="621" spans="2:13">
      <c r="B621" s="315">
        <v>4</v>
      </c>
      <c r="C621" s="320"/>
      <c r="D621" s="299" t="s">
        <v>218</v>
      </c>
      <c r="E621" s="309">
        <v>3.7909999999999999</v>
      </c>
      <c r="F621" s="309">
        <v>4.407</v>
      </c>
      <c r="G621" s="317">
        <v>3.6520670000000002</v>
      </c>
      <c r="H621" s="309">
        <v>5.3201450000000001</v>
      </c>
      <c r="I621" s="318">
        <v>0.14019999999999999</v>
      </c>
      <c r="J621" s="318">
        <v>0.1024</v>
      </c>
      <c r="K621" s="317">
        <v>43.037109000000001</v>
      </c>
      <c r="L621" s="356"/>
      <c r="M621" s="400"/>
    </row>
    <row r="622" spans="2:13" ht="17.25" thickBot="1">
      <c r="B622" s="322">
        <v>5</v>
      </c>
      <c r="C622" s="323"/>
      <c r="D622" s="354" t="s">
        <v>240</v>
      </c>
      <c r="E622" s="311">
        <v>3.7789999999999999</v>
      </c>
      <c r="F622" s="311">
        <v>4.3</v>
      </c>
      <c r="G622" s="278">
        <v>3.5747119999999999</v>
      </c>
      <c r="H622" s="311">
        <v>5.1737970000000004</v>
      </c>
      <c r="I622" s="279">
        <v>0.14019999999999999</v>
      </c>
      <c r="J622" s="279">
        <v>0.1024</v>
      </c>
      <c r="K622" s="278">
        <v>41.992187000000001</v>
      </c>
      <c r="L622" s="324"/>
      <c r="M622" s="399"/>
    </row>
    <row r="623" spans="2:13" ht="17.25" thickBot="1">
      <c r="B623" s="325"/>
      <c r="C623" s="326"/>
      <c r="D623" s="327" t="s">
        <v>463</v>
      </c>
      <c r="E623" s="328">
        <f>AVERAGE(E618:E622)</f>
        <v>3.8009999999999997</v>
      </c>
      <c r="F623" s="328">
        <f t="shared" ref="F623:K623" si="176">AVERAGE(F618:F622)</f>
        <v>4.4904000000000002</v>
      </c>
      <c r="G623" s="328">
        <f t="shared" si="176"/>
        <v>3.7109985999999999</v>
      </c>
      <c r="H623" s="328">
        <f t="shared" si="176"/>
        <v>5.3959476000000004</v>
      </c>
      <c r="I623" s="329">
        <f t="shared" si="176"/>
        <v>0.14018</v>
      </c>
      <c r="J623" s="329">
        <f t="shared" si="176"/>
        <v>0.1028</v>
      </c>
      <c r="K623" s="330">
        <f t="shared" si="176"/>
        <v>43.676695600000002</v>
      </c>
      <c r="L623" s="331"/>
      <c r="M623" s="399"/>
    </row>
    <row r="624" spans="2:13">
      <c r="B624" s="314">
        <v>6</v>
      </c>
      <c r="C624" s="271" t="s">
        <v>291</v>
      </c>
      <c r="D624" s="291" t="s">
        <v>241</v>
      </c>
      <c r="E624" s="307">
        <v>3.8090000000000002</v>
      </c>
      <c r="F624" s="307">
        <v>4.5579999999999998</v>
      </c>
      <c r="G624" s="272">
        <v>3.7593510000000001</v>
      </c>
      <c r="H624" s="307">
        <v>5.4426769999999998</v>
      </c>
      <c r="I624" s="273">
        <v>0.14019999999999999</v>
      </c>
      <c r="J624" s="273">
        <v>0.10349999999999999</v>
      </c>
      <c r="K624" s="272">
        <v>44.038646999999997</v>
      </c>
      <c r="L624" s="332"/>
      <c r="M624" s="399"/>
    </row>
    <row r="625" spans="2:13">
      <c r="B625" s="315">
        <v>7</v>
      </c>
      <c r="C625" s="320"/>
      <c r="D625" s="299" t="s">
        <v>242</v>
      </c>
      <c r="E625" s="309">
        <v>3.8</v>
      </c>
      <c r="F625" s="309">
        <v>4.4420000000000002</v>
      </c>
      <c r="G625" s="317">
        <v>3.6723530000000002</v>
      </c>
      <c r="H625" s="309">
        <v>5.327369</v>
      </c>
      <c r="I625" s="318">
        <v>0.14019999999999999</v>
      </c>
      <c r="J625" s="318">
        <v>0.1031</v>
      </c>
      <c r="K625" s="317">
        <v>43.084384</v>
      </c>
      <c r="L625" s="321"/>
      <c r="M625" s="399"/>
    </row>
    <row r="626" spans="2:13">
      <c r="B626" s="315">
        <v>8</v>
      </c>
      <c r="C626" s="320"/>
      <c r="D626" s="299" t="s">
        <v>222</v>
      </c>
      <c r="E626" s="309">
        <v>3.7909999999999999</v>
      </c>
      <c r="F626" s="309">
        <v>4.3369999999999997</v>
      </c>
      <c r="G626" s="317">
        <v>3.5940590000000001</v>
      </c>
      <c r="H626" s="309">
        <v>5.207891</v>
      </c>
      <c r="I626" s="318">
        <v>0.14030000000000001</v>
      </c>
      <c r="J626" s="318">
        <v>0.1028</v>
      </c>
      <c r="K626" s="317">
        <v>42.188715999999999</v>
      </c>
      <c r="L626" s="321"/>
      <c r="M626" s="399"/>
    </row>
    <row r="627" spans="2:13">
      <c r="B627" s="315">
        <v>9</v>
      </c>
      <c r="C627" s="320"/>
      <c r="D627" s="299" t="s">
        <v>223</v>
      </c>
      <c r="E627" s="309">
        <v>3.7829999999999999</v>
      </c>
      <c r="F627" s="309">
        <v>4.282</v>
      </c>
      <c r="G627" s="317">
        <v>3.555984</v>
      </c>
      <c r="H627" s="309">
        <v>5.1674059999999997</v>
      </c>
      <c r="I627" s="318">
        <v>0.14019999999999999</v>
      </c>
      <c r="J627" s="318">
        <v>0.1024</v>
      </c>
      <c r="K627" s="317">
        <v>41.816406000000001</v>
      </c>
      <c r="L627" s="321"/>
      <c r="M627" s="399"/>
    </row>
    <row r="628" spans="2:13" ht="17.25" thickBot="1">
      <c r="B628" s="322">
        <v>10</v>
      </c>
      <c r="C628" s="323"/>
      <c r="D628" s="293" t="s">
        <v>243</v>
      </c>
      <c r="E628" s="311">
        <v>3.77</v>
      </c>
      <c r="F628" s="311">
        <v>4.1609999999999996</v>
      </c>
      <c r="G628" s="278">
        <v>3.4674149999999999</v>
      </c>
      <c r="H628" s="311">
        <v>5.0199309999999997</v>
      </c>
      <c r="I628" s="279">
        <v>0.14019999999999999</v>
      </c>
      <c r="J628" s="279">
        <v>0.1024</v>
      </c>
      <c r="K628" s="278">
        <v>40.634765999999999</v>
      </c>
      <c r="L628" s="324"/>
      <c r="M628" s="399"/>
    </row>
    <row r="629" spans="2:13" ht="17.25" thickBot="1">
      <c r="B629" s="325" t="s">
        <v>464</v>
      </c>
      <c r="C629" s="326"/>
      <c r="D629" s="327" t="s">
        <v>463</v>
      </c>
      <c r="E629" s="328">
        <f>AVERAGE(E624:E628)</f>
        <v>3.7906</v>
      </c>
      <c r="F629" s="328">
        <f t="shared" ref="F629:K629" si="177">AVERAGE(F624:F628)</f>
        <v>4.3559999999999999</v>
      </c>
      <c r="G629" s="328">
        <f t="shared" si="177"/>
        <v>3.6098323999999997</v>
      </c>
      <c r="H629" s="328">
        <f t="shared" si="177"/>
        <v>5.2330547999999997</v>
      </c>
      <c r="I629" s="329">
        <f t="shared" si="177"/>
        <v>0.14021999999999998</v>
      </c>
      <c r="J629" s="329">
        <f t="shared" si="177"/>
        <v>0.10284</v>
      </c>
      <c r="K629" s="330">
        <f t="shared" si="177"/>
        <v>42.352583800000005</v>
      </c>
      <c r="L629" s="331"/>
      <c r="M629" s="399"/>
    </row>
    <row r="630" spans="2:13">
      <c r="B630" s="333">
        <v>11</v>
      </c>
      <c r="C630" s="334" t="s">
        <v>291</v>
      </c>
      <c r="D630" s="291" t="s">
        <v>244</v>
      </c>
      <c r="E630" s="307">
        <v>3.823</v>
      </c>
      <c r="F630" s="307">
        <v>4.6840000000000002</v>
      </c>
      <c r="G630" s="272">
        <v>3.849126</v>
      </c>
      <c r="H630" s="307">
        <v>5.6053170000000003</v>
      </c>
      <c r="I630" s="273">
        <v>0.1401</v>
      </c>
      <c r="J630" s="273">
        <v>0.10340000000000001</v>
      </c>
      <c r="K630" s="272">
        <v>45.299807000000001</v>
      </c>
      <c r="L630" s="332"/>
      <c r="M630" s="399"/>
    </row>
    <row r="631" spans="2:13">
      <c r="B631" s="335">
        <v>12</v>
      </c>
      <c r="C631" s="320"/>
      <c r="D631" s="299" t="s">
        <v>245</v>
      </c>
      <c r="E631" s="309">
        <v>3.8119999999999998</v>
      </c>
      <c r="F631" s="309">
        <v>4.5919999999999996</v>
      </c>
      <c r="G631" s="317">
        <v>3.7844129999999998</v>
      </c>
      <c r="H631" s="309">
        <v>5.5061450000000001</v>
      </c>
      <c r="I631" s="318">
        <v>0.1401</v>
      </c>
      <c r="J631" s="318">
        <v>0.1031</v>
      </c>
      <c r="K631" s="317">
        <v>44.539282</v>
      </c>
      <c r="L631" s="321"/>
      <c r="M631" s="399"/>
    </row>
    <row r="632" spans="2:13">
      <c r="B632" s="335">
        <v>13</v>
      </c>
      <c r="C632" s="320"/>
      <c r="D632" s="299" t="s">
        <v>227</v>
      </c>
      <c r="E632" s="309">
        <v>3.7909999999999999</v>
      </c>
      <c r="F632" s="309">
        <v>4.3369999999999997</v>
      </c>
      <c r="G632" s="317">
        <v>3.5940590000000001</v>
      </c>
      <c r="H632" s="309">
        <v>5.207891</v>
      </c>
      <c r="I632" s="318">
        <v>0.14030000000000001</v>
      </c>
      <c r="J632" s="318">
        <v>0.1028</v>
      </c>
      <c r="K632" s="317">
        <v>42.188715999999999</v>
      </c>
      <c r="L632" s="321"/>
      <c r="M632" s="399"/>
    </row>
    <row r="633" spans="2:13">
      <c r="B633" s="335">
        <v>14</v>
      </c>
      <c r="C633" s="320"/>
      <c r="D633" s="299" t="s">
        <v>228</v>
      </c>
      <c r="E633" s="309">
        <v>3.7829999999999999</v>
      </c>
      <c r="F633" s="309">
        <v>4.282</v>
      </c>
      <c r="G633" s="317">
        <v>3.555984</v>
      </c>
      <c r="H633" s="309">
        <v>5.1674059999999997</v>
      </c>
      <c r="I633" s="318">
        <v>0.14019999999999999</v>
      </c>
      <c r="J633" s="318">
        <v>0.1024</v>
      </c>
      <c r="K633" s="317">
        <v>41.816406000000001</v>
      </c>
      <c r="L633" s="321"/>
      <c r="M633" s="399"/>
    </row>
    <row r="634" spans="2:13" ht="17.25" thickBot="1">
      <c r="B634" s="336">
        <v>15</v>
      </c>
      <c r="C634" s="323"/>
      <c r="D634" s="293" t="s">
        <v>246</v>
      </c>
      <c r="E634" s="311">
        <v>3.77</v>
      </c>
      <c r="F634" s="311">
        <v>4.1609999999999996</v>
      </c>
      <c r="G634" s="278">
        <v>3.4674149999999999</v>
      </c>
      <c r="H634" s="311">
        <v>5.0199309999999997</v>
      </c>
      <c r="I634" s="279">
        <v>0.14019999999999999</v>
      </c>
      <c r="J634" s="279">
        <v>0.1024</v>
      </c>
      <c r="K634" s="278">
        <v>40.634765999999999</v>
      </c>
      <c r="L634" s="324"/>
      <c r="M634" s="399"/>
    </row>
    <row r="635" spans="2:13" ht="17.25" thickBot="1">
      <c r="B635" s="337"/>
      <c r="C635" s="326"/>
      <c r="D635" s="327" t="s">
        <v>463</v>
      </c>
      <c r="E635" s="328">
        <f>AVERAGE(E630:E634)</f>
        <v>3.7957999999999998</v>
      </c>
      <c r="F635" s="328">
        <f t="shared" ref="F635:K635" si="178">AVERAGE(F630:F634)</f>
        <v>4.4111999999999991</v>
      </c>
      <c r="G635" s="328">
        <f t="shared" si="178"/>
        <v>3.6501994000000004</v>
      </c>
      <c r="H635" s="328">
        <f t="shared" si="178"/>
        <v>5.3013379999999994</v>
      </c>
      <c r="I635" s="329">
        <f t="shared" si="178"/>
        <v>0.14018</v>
      </c>
      <c r="J635" s="329">
        <f t="shared" si="178"/>
        <v>0.10281999999999999</v>
      </c>
      <c r="K635" s="330">
        <f t="shared" si="178"/>
        <v>42.895795399999997</v>
      </c>
      <c r="L635" s="331"/>
      <c r="M635" s="399"/>
    </row>
    <row r="636" spans="2:13">
      <c r="B636" s="333">
        <v>16</v>
      </c>
      <c r="C636" s="271" t="s">
        <v>205</v>
      </c>
      <c r="D636" s="291" t="s">
        <v>247</v>
      </c>
      <c r="E636" s="307">
        <v>3.823</v>
      </c>
      <c r="F636" s="307">
        <v>4.6840000000000002</v>
      </c>
      <c r="G636" s="272">
        <v>3.849126</v>
      </c>
      <c r="H636" s="307">
        <v>5.6053170000000003</v>
      </c>
      <c r="I636" s="273">
        <v>0.1401</v>
      </c>
      <c r="J636" s="273">
        <v>0.10340000000000001</v>
      </c>
      <c r="K636" s="272">
        <v>45.299807000000001</v>
      </c>
      <c r="L636" s="359"/>
      <c r="M636" s="401"/>
    </row>
    <row r="637" spans="2:13">
      <c r="B637" s="335">
        <v>17</v>
      </c>
      <c r="C637" s="320"/>
      <c r="D637" s="299" t="s">
        <v>248</v>
      </c>
      <c r="E637" s="309">
        <v>3.8119999999999998</v>
      </c>
      <c r="F637" s="309">
        <v>4.5919999999999996</v>
      </c>
      <c r="G637" s="317">
        <v>3.7844129999999998</v>
      </c>
      <c r="H637" s="309">
        <v>5.5061450000000001</v>
      </c>
      <c r="I637" s="318">
        <v>0.1401</v>
      </c>
      <c r="J637" s="318">
        <v>0.1031</v>
      </c>
      <c r="K637" s="317">
        <v>44.539282</v>
      </c>
      <c r="L637" s="321"/>
      <c r="M637" s="399"/>
    </row>
    <row r="638" spans="2:13">
      <c r="B638" s="335">
        <v>18</v>
      </c>
      <c r="C638" s="320"/>
      <c r="D638" s="299" t="s">
        <v>232</v>
      </c>
      <c r="E638" s="309">
        <v>3.8</v>
      </c>
      <c r="F638" s="309">
        <v>4.4690000000000003</v>
      </c>
      <c r="G638" s="317">
        <v>3.6946750000000002</v>
      </c>
      <c r="H638" s="309">
        <v>5.3743340000000002</v>
      </c>
      <c r="I638" s="318">
        <v>0.14030000000000001</v>
      </c>
      <c r="J638" s="318">
        <v>0.1027</v>
      </c>
      <c r="K638" s="317">
        <v>43.515093</v>
      </c>
      <c r="L638" s="321"/>
      <c r="M638" s="399"/>
    </row>
    <row r="639" spans="2:13">
      <c r="B639" s="335">
        <v>19</v>
      </c>
      <c r="C639" s="320"/>
      <c r="D639" s="299" t="s">
        <v>233</v>
      </c>
      <c r="E639" s="309">
        <v>3.7909999999999999</v>
      </c>
      <c r="F639" s="309">
        <v>4.407</v>
      </c>
      <c r="G639" s="317">
        <v>3.6520670000000002</v>
      </c>
      <c r="H639" s="309">
        <v>5.3201450000000001</v>
      </c>
      <c r="I639" s="318">
        <v>0.14019999999999999</v>
      </c>
      <c r="J639" s="318">
        <v>0.1024</v>
      </c>
      <c r="K639" s="317">
        <v>43.037109000000001</v>
      </c>
      <c r="L639" s="321"/>
      <c r="M639" s="399"/>
    </row>
    <row r="640" spans="2:13" ht="17.25" thickBot="1">
      <c r="B640" s="336">
        <v>20</v>
      </c>
      <c r="C640" s="323"/>
      <c r="D640" s="293" t="s">
        <v>249</v>
      </c>
      <c r="E640" s="311">
        <v>3.7789999999999999</v>
      </c>
      <c r="F640" s="311">
        <v>4.3</v>
      </c>
      <c r="G640" s="278">
        <v>3.5747119999999999</v>
      </c>
      <c r="H640" s="311">
        <v>5.1737970000000004</v>
      </c>
      <c r="I640" s="279">
        <v>0.14019999999999999</v>
      </c>
      <c r="J640" s="279">
        <v>0.1024</v>
      </c>
      <c r="K640" s="278">
        <v>41.992187000000001</v>
      </c>
      <c r="L640" s="324"/>
      <c r="M640" s="399"/>
    </row>
    <row r="641" spans="2:13" ht="17.25" thickBot="1">
      <c r="B641" s="337"/>
      <c r="C641" s="326"/>
      <c r="D641" s="327" t="s">
        <v>463</v>
      </c>
      <c r="E641" s="328">
        <f>AVERAGE(E636:E640)</f>
        <v>3.8009999999999997</v>
      </c>
      <c r="F641" s="328">
        <f t="shared" ref="F641:K641" si="179">AVERAGE(F636:F640)</f>
        <v>4.4904000000000002</v>
      </c>
      <c r="G641" s="328">
        <f t="shared" si="179"/>
        <v>3.7109985999999999</v>
      </c>
      <c r="H641" s="328">
        <f t="shared" si="179"/>
        <v>5.3959476000000004</v>
      </c>
      <c r="I641" s="329">
        <f t="shared" si="179"/>
        <v>0.14018</v>
      </c>
      <c r="J641" s="329">
        <f t="shared" si="179"/>
        <v>0.1028</v>
      </c>
      <c r="K641" s="328">
        <f t="shared" si="179"/>
        <v>43.676695600000002</v>
      </c>
      <c r="L641" s="331"/>
      <c r="M641" s="399"/>
    </row>
    <row r="642" spans="2:13">
      <c r="B642" s="333">
        <v>21</v>
      </c>
      <c r="C642" s="271" t="s">
        <v>205</v>
      </c>
      <c r="D642" s="291" t="s">
        <v>250</v>
      </c>
      <c r="E642" s="307">
        <v>3.8090000000000002</v>
      </c>
      <c r="F642" s="307">
        <v>4.5579999999999998</v>
      </c>
      <c r="G642" s="272">
        <v>3.7593510000000001</v>
      </c>
      <c r="H642" s="307">
        <v>5.4426769999999998</v>
      </c>
      <c r="I642" s="273">
        <v>0.14019999999999999</v>
      </c>
      <c r="J642" s="273">
        <v>0.10349999999999999</v>
      </c>
      <c r="K642" s="272">
        <v>44.038646999999997</v>
      </c>
      <c r="L642" s="332"/>
      <c r="M642" s="399"/>
    </row>
    <row r="643" spans="2:13">
      <c r="B643" s="335">
        <v>22</v>
      </c>
      <c r="C643" s="320"/>
      <c r="D643" s="299" t="s">
        <v>251</v>
      </c>
      <c r="E643" s="309">
        <v>3.8</v>
      </c>
      <c r="F643" s="309">
        <v>4.4420000000000002</v>
      </c>
      <c r="G643" s="317">
        <v>3.6723530000000002</v>
      </c>
      <c r="H643" s="309">
        <v>5.327369</v>
      </c>
      <c r="I643" s="318">
        <v>0.14019999999999999</v>
      </c>
      <c r="J643" s="318">
        <v>0.1031</v>
      </c>
      <c r="K643" s="317">
        <v>43.084384</v>
      </c>
      <c r="L643" s="321"/>
      <c r="M643" s="399"/>
    </row>
    <row r="644" spans="2:13">
      <c r="B644" s="335">
        <v>23</v>
      </c>
      <c r="C644" s="320"/>
      <c r="D644" s="299" t="s">
        <v>237</v>
      </c>
      <c r="E644" s="309">
        <v>3.7909999999999999</v>
      </c>
      <c r="F644" s="309">
        <v>4.3369999999999997</v>
      </c>
      <c r="G644" s="317">
        <v>3.5940590000000001</v>
      </c>
      <c r="H644" s="309">
        <v>5.207891</v>
      </c>
      <c r="I644" s="318">
        <v>0.14030000000000001</v>
      </c>
      <c r="J644" s="318">
        <v>0.1028</v>
      </c>
      <c r="K644" s="317">
        <v>42.188715999999999</v>
      </c>
      <c r="L644" s="321"/>
      <c r="M644" s="399"/>
    </row>
    <row r="645" spans="2:13">
      <c r="B645" s="335">
        <v>24</v>
      </c>
      <c r="C645" s="320"/>
      <c r="D645" s="299" t="s">
        <v>238</v>
      </c>
      <c r="E645" s="309">
        <v>3.7829999999999999</v>
      </c>
      <c r="F645" s="309">
        <v>4.282</v>
      </c>
      <c r="G645" s="317">
        <v>3.555984</v>
      </c>
      <c r="H645" s="309">
        <v>5.1674059999999997</v>
      </c>
      <c r="I645" s="318">
        <v>0.14019999999999999</v>
      </c>
      <c r="J645" s="318">
        <v>0.1024</v>
      </c>
      <c r="K645" s="317">
        <v>41.816406000000001</v>
      </c>
      <c r="L645" s="321"/>
      <c r="M645" s="399"/>
    </row>
    <row r="646" spans="2:13" ht="17.25" thickBot="1">
      <c r="B646" s="336">
        <v>25</v>
      </c>
      <c r="C646" s="323"/>
      <c r="D646" s="293" t="s">
        <v>252</v>
      </c>
      <c r="E646" s="311">
        <v>3.77</v>
      </c>
      <c r="F646" s="311">
        <v>4.1609999999999996</v>
      </c>
      <c r="G646" s="278">
        <v>3.4674149999999999</v>
      </c>
      <c r="H646" s="311">
        <v>5.0199309999999997</v>
      </c>
      <c r="I646" s="279">
        <v>0.14019999999999999</v>
      </c>
      <c r="J646" s="279">
        <v>0.1024</v>
      </c>
      <c r="K646" s="278">
        <v>40.634765999999999</v>
      </c>
      <c r="L646" s="324"/>
      <c r="M646" s="399"/>
    </row>
    <row r="647" spans="2:13" ht="17.25" thickBot="1">
      <c r="B647" s="339" t="s">
        <v>464</v>
      </c>
      <c r="C647" s="340"/>
      <c r="D647" s="341" t="s">
        <v>465</v>
      </c>
      <c r="E647" s="342">
        <f>AVERAGE(E642:E646)</f>
        <v>3.7906</v>
      </c>
      <c r="F647" s="342">
        <f t="shared" ref="F647:K647" si="180">AVERAGE(F642:F646)</f>
        <v>4.3559999999999999</v>
      </c>
      <c r="G647" s="342">
        <f t="shared" si="180"/>
        <v>3.6098323999999997</v>
      </c>
      <c r="H647" s="342">
        <f t="shared" si="180"/>
        <v>5.2330547999999997</v>
      </c>
      <c r="I647" s="343">
        <f t="shared" si="180"/>
        <v>0.14021999999999998</v>
      </c>
      <c r="J647" s="343">
        <f t="shared" si="180"/>
        <v>0.10284</v>
      </c>
      <c r="K647" s="342">
        <f t="shared" si="180"/>
        <v>42.352583800000005</v>
      </c>
      <c r="L647" s="344"/>
      <c r="M647" s="399"/>
    </row>
    <row r="648" spans="2:13">
      <c r="B648" s="333"/>
      <c r="C648" s="345"/>
      <c r="D648" s="291" t="s">
        <v>466</v>
      </c>
      <c r="E648" s="346">
        <f>MEDIAN(E618:E622,E624:E628,E630:E634,E636:E640,E642:E646)</f>
        <v>3.7909999999999999</v>
      </c>
      <c r="F648" s="346">
        <f t="shared" ref="F648:K648" si="181">MEDIAN(F618:F622,F624:F628,F630:F634,F636:F640,F642:F646)</f>
        <v>4.407</v>
      </c>
      <c r="G648" s="346">
        <f t="shared" si="181"/>
        <v>3.6520670000000002</v>
      </c>
      <c r="H648" s="346">
        <f t="shared" si="181"/>
        <v>5.3201450000000001</v>
      </c>
      <c r="I648" s="347">
        <f t="shared" si="181"/>
        <v>0.14019999999999999</v>
      </c>
      <c r="J648" s="347">
        <f t="shared" si="181"/>
        <v>0.1028</v>
      </c>
      <c r="K648" s="348">
        <f t="shared" si="181"/>
        <v>43.037109000000001</v>
      </c>
      <c r="L648" s="332"/>
      <c r="M648" s="399"/>
    </row>
    <row r="649" spans="2:13">
      <c r="B649" s="335"/>
      <c r="C649" s="320"/>
      <c r="D649" s="299" t="s">
        <v>467</v>
      </c>
      <c r="E649" s="349">
        <f>AVERAGE(E618:E622,E624:E628,E630:E634,E636:E640,E642:E646)</f>
        <v>3.7957999999999994</v>
      </c>
      <c r="F649" s="349">
        <f t="shared" ref="F649:K649" si="182">AVERAGE(F618:F622,F624:F628,F630:F634,F636:F640,F642:F646)</f>
        <v>4.420799999999999</v>
      </c>
      <c r="G649" s="349">
        <f t="shared" si="182"/>
        <v>3.6583722800000005</v>
      </c>
      <c r="H649" s="349">
        <f t="shared" si="182"/>
        <v>5.3118685600000006</v>
      </c>
      <c r="I649" s="350">
        <f t="shared" si="182"/>
        <v>0.14019600000000002</v>
      </c>
      <c r="J649" s="350">
        <f t="shared" si="182"/>
        <v>0.10281999999999997</v>
      </c>
      <c r="K649" s="351">
        <f t="shared" si="182"/>
        <v>42.990870839999985</v>
      </c>
      <c r="L649" s="321"/>
      <c r="M649" s="399"/>
    </row>
    <row r="650" spans="2:13">
      <c r="B650" s="335"/>
      <c r="C650" s="320"/>
      <c r="D650" s="299" t="s">
        <v>199</v>
      </c>
      <c r="E650" s="349">
        <f>MAX(E618:E622,E624:E628,E630:E634,E636:E640,E642:E646)</f>
        <v>3.823</v>
      </c>
      <c r="F650" s="349">
        <f t="shared" ref="F650:K650" si="183">MAX(F618:F622,F624:F628,F630:F634,F636:F640,F642:F646)</f>
        <v>4.6840000000000002</v>
      </c>
      <c r="G650" s="349">
        <f t="shared" si="183"/>
        <v>3.849126</v>
      </c>
      <c r="H650" s="349">
        <f t="shared" si="183"/>
        <v>5.6053170000000003</v>
      </c>
      <c r="I650" s="350">
        <f t="shared" si="183"/>
        <v>0.14030000000000001</v>
      </c>
      <c r="J650" s="350">
        <f t="shared" si="183"/>
        <v>0.10349999999999999</v>
      </c>
      <c r="K650" s="351">
        <f t="shared" si="183"/>
        <v>45.299807000000001</v>
      </c>
      <c r="L650" s="321"/>
      <c r="M650" s="399"/>
    </row>
    <row r="651" spans="2:13">
      <c r="B651" s="335"/>
      <c r="C651" s="320"/>
      <c r="D651" s="299" t="s">
        <v>200</v>
      </c>
      <c r="E651" s="349">
        <f>MIN(E618:E622,E624:E628,E630:E634,E636:E640,E642:E646)</f>
        <v>3.77</v>
      </c>
      <c r="F651" s="349">
        <f t="shared" ref="F651:K651" si="184">MIN(F618:F622,F624:F628,F630:F634,F636:F640,F642:F646)</f>
        <v>4.1609999999999996</v>
      </c>
      <c r="G651" s="349">
        <f t="shared" si="184"/>
        <v>3.4674149999999999</v>
      </c>
      <c r="H651" s="349">
        <f t="shared" si="184"/>
        <v>5.0199309999999997</v>
      </c>
      <c r="I651" s="350">
        <f t="shared" si="184"/>
        <v>0.1401</v>
      </c>
      <c r="J651" s="350">
        <f t="shared" si="184"/>
        <v>0.1024</v>
      </c>
      <c r="K651" s="351">
        <f t="shared" si="184"/>
        <v>40.634765999999999</v>
      </c>
      <c r="L651" s="321"/>
      <c r="M651" s="399"/>
    </row>
    <row r="652" spans="2:13">
      <c r="B652" s="335"/>
      <c r="C652" s="320"/>
      <c r="D652" s="299" t="s">
        <v>201</v>
      </c>
      <c r="E652" s="349">
        <f>E650-E651</f>
        <v>5.2999999999999936E-2</v>
      </c>
      <c r="F652" s="349">
        <f t="shared" ref="F652:K652" si="185">F650-F651</f>
        <v>0.52300000000000058</v>
      </c>
      <c r="G652" s="349">
        <f t="shared" si="185"/>
        <v>0.38171100000000013</v>
      </c>
      <c r="H652" s="349">
        <f t="shared" si="185"/>
        <v>0.58538600000000063</v>
      </c>
      <c r="I652" s="350">
        <f t="shared" si="185"/>
        <v>2.0000000000000573E-4</v>
      </c>
      <c r="J652" s="350">
        <f t="shared" si="185"/>
        <v>1.0999999999999899E-3</v>
      </c>
      <c r="K652" s="349">
        <f t="shared" si="185"/>
        <v>4.6650410000000022</v>
      </c>
      <c r="L652" s="321"/>
      <c r="M652" s="399"/>
    </row>
    <row r="653" spans="2:13" ht="17.25" thickBot="1">
      <c r="B653" s="336"/>
      <c r="C653" s="323"/>
      <c r="D653" s="293" t="s">
        <v>202</v>
      </c>
      <c r="E653" s="352">
        <f>STDEVA(E618:E622,E624:E628,E630:E634,E636:E640,E642:E646)</f>
        <v>1.6575584454250766E-2</v>
      </c>
      <c r="F653" s="352">
        <f t="shared" ref="F653:K653" si="186">STDEVA(F618:F622,F624:F628,F630:F634,F636:F640,F642:F646)</f>
        <v>0.16455267646967447</v>
      </c>
      <c r="G653" s="352">
        <f t="shared" si="186"/>
        <v>0.1203415545691789</v>
      </c>
      <c r="H653" s="352">
        <f t="shared" si="186"/>
        <v>0.18292319331076284</v>
      </c>
      <c r="I653" s="353">
        <f t="shared" si="186"/>
        <v>6.7577116442379089E-5</v>
      </c>
      <c r="J653" s="353">
        <f t="shared" si="186"/>
        <v>4.1432676315519964E-4</v>
      </c>
      <c r="K653" s="352">
        <f t="shared" si="186"/>
        <v>1.4530174324936909</v>
      </c>
      <c r="L653" s="324"/>
      <c r="M653" s="399"/>
    </row>
    <row r="655" spans="2:13">
      <c r="B655" s="240" t="s">
        <v>488</v>
      </c>
      <c r="C655" s="240"/>
      <c r="E655" s="240"/>
      <c r="F655" s="240"/>
      <c r="G655" s="240"/>
      <c r="H655" s="240"/>
      <c r="I655" s="240"/>
      <c r="J655" s="240"/>
      <c r="K655" s="240"/>
    </row>
    <row r="656" spans="2:13" ht="17.25" thickBot="1">
      <c r="B656" s="240" t="s">
        <v>469</v>
      </c>
      <c r="C656" s="240"/>
      <c r="E656" s="240"/>
      <c r="F656" s="240"/>
      <c r="G656" s="240"/>
      <c r="H656" s="240"/>
      <c r="I656" s="240"/>
      <c r="J656" s="240"/>
      <c r="K656" s="240"/>
    </row>
    <row r="657" spans="2:13" ht="17.25" thickBot="1">
      <c r="B657" s="313" t="s">
        <v>11</v>
      </c>
      <c r="C657" s="250" t="s">
        <v>0</v>
      </c>
      <c r="D657" s="250" t="s">
        <v>1</v>
      </c>
      <c r="E657" s="250" t="s">
        <v>2</v>
      </c>
      <c r="F657" s="250" t="s">
        <v>3</v>
      </c>
      <c r="G657" s="250" t="s">
        <v>192</v>
      </c>
      <c r="H657" s="250" t="s">
        <v>16</v>
      </c>
      <c r="I657" s="250" t="s">
        <v>6</v>
      </c>
      <c r="J657" s="251" t="s">
        <v>7</v>
      </c>
      <c r="K657" s="252" t="s">
        <v>8</v>
      </c>
      <c r="L657" s="254" t="s">
        <v>470</v>
      </c>
      <c r="M657" s="404"/>
    </row>
    <row r="658" spans="2:13">
      <c r="B658" s="314">
        <v>1</v>
      </c>
      <c r="C658" s="271" t="s">
        <v>295</v>
      </c>
      <c r="D658" s="291" t="s">
        <v>213</v>
      </c>
      <c r="E658" s="307">
        <v>3.9470000000000001</v>
      </c>
      <c r="F658" s="307">
        <v>4.5739999999999998</v>
      </c>
      <c r="G658" s="272">
        <v>3.640647</v>
      </c>
      <c r="H658" s="307">
        <v>5.668266</v>
      </c>
      <c r="I658" s="273">
        <v>0.13900000000000001</v>
      </c>
      <c r="J658" s="273">
        <v>9.9599999999999994E-2</v>
      </c>
      <c r="K658" s="272">
        <v>45.923695000000002</v>
      </c>
      <c r="L658" s="275"/>
      <c r="M658" s="397"/>
    </row>
    <row r="659" spans="2:13">
      <c r="B659" s="315">
        <v>2</v>
      </c>
      <c r="C659" s="316"/>
      <c r="D659" s="299" t="s">
        <v>214</v>
      </c>
      <c r="E659" s="309">
        <v>3.9529999999999998</v>
      </c>
      <c r="F659" s="309">
        <v>4.5810000000000004</v>
      </c>
      <c r="G659" s="317">
        <v>3.6406839999999998</v>
      </c>
      <c r="H659" s="309">
        <v>5.6775710000000004</v>
      </c>
      <c r="I659" s="318">
        <v>0.13900000000000001</v>
      </c>
      <c r="J659" s="318">
        <v>9.9500000000000005E-2</v>
      </c>
      <c r="K659" s="317">
        <v>46.040201000000003</v>
      </c>
      <c r="L659" s="319"/>
      <c r="M659" s="398"/>
    </row>
    <row r="660" spans="2:13">
      <c r="B660" s="315">
        <v>3</v>
      </c>
      <c r="C660" s="320"/>
      <c r="D660" s="299" t="s">
        <v>217</v>
      </c>
      <c r="E660" s="309">
        <v>3.9620000000000002</v>
      </c>
      <c r="F660" s="309">
        <v>4.5999999999999996</v>
      </c>
      <c r="G660" s="317">
        <v>3.6474799999999998</v>
      </c>
      <c r="H660" s="309">
        <v>5.6991250000000004</v>
      </c>
      <c r="I660" s="318">
        <v>0.13900000000000001</v>
      </c>
      <c r="J660" s="318">
        <v>9.9599999999999994E-2</v>
      </c>
      <c r="K660" s="317">
        <v>46.184739</v>
      </c>
      <c r="L660" s="356"/>
      <c r="M660" s="400"/>
    </row>
    <row r="661" spans="2:13">
      <c r="B661" s="315">
        <v>4</v>
      </c>
      <c r="C661" s="320"/>
      <c r="D661" s="299" t="s">
        <v>218</v>
      </c>
      <c r="E661" s="309">
        <v>3.9630000000000001</v>
      </c>
      <c r="F661" s="309">
        <v>4.6219999999999999</v>
      </c>
      <c r="G661" s="317">
        <v>3.663999</v>
      </c>
      <c r="H661" s="309">
        <v>5.7425509999999997</v>
      </c>
      <c r="I661" s="318">
        <v>0.13900000000000001</v>
      </c>
      <c r="J661" s="318">
        <v>9.9400000000000002E-2</v>
      </c>
      <c r="K661" s="317">
        <v>46.498994000000003</v>
      </c>
      <c r="L661" s="356"/>
      <c r="M661" s="400"/>
    </row>
    <row r="662" spans="2:13" ht="17.25" thickBot="1">
      <c r="B662" s="322">
        <v>5</v>
      </c>
      <c r="C662" s="323"/>
      <c r="D662" s="354" t="s">
        <v>240</v>
      </c>
      <c r="E662" s="311">
        <v>3.9569999999999999</v>
      </c>
      <c r="F662" s="311">
        <v>4.6710000000000003</v>
      </c>
      <c r="G662" s="278">
        <v>3.7084579999999998</v>
      </c>
      <c r="H662" s="311">
        <v>5.8236350000000003</v>
      </c>
      <c r="I662" s="279">
        <v>0.13880000000000001</v>
      </c>
      <c r="J662" s="279">
        <v>9.9000000000000005E-2</v>
      </c>
      <c r="K662" s="278">
        <v>47.181818</v>
      </c>
      <c r="L662" s="324"/>
      <c r="M662" s="399"/>
    </row>
    <row r="663" spans="2:13" ht="17.25" thickBot="1">
      <c r="B663" s="325"/>
      <c r="C663" s="326"/>
      <c r="D663" s="327" t="s">
        <v>463</v>
      </c>
      <c r="E663" s="328">
        <f>AVERAGE(E658:E662)</f>
        <v>3.9563999999999999</v>
      </c>
      <c r="F663" s="328">
        <f t="shared" ref="F663:K663" si="187">AVERAGE(F658:F662)</f>
        <v>4.6096000000000004</v>
      </c>
      <c r="G663" s="328">
        <f t="shared" si="187"/>
        <v>3.6602535999999999</v>
      </c>
      <c r="H663" s="328">
        <f t="shared" si="187"/>
        <v>5.7222295999999995</v>
      </c>
      <c r="I663" s="329">
        <f t="shared" si="187"/>
        <v>0.13896000000000003</v>
      </c>
      <c r="J663" s="329">
        <f t="shared" si="187"/>
        <v>9.9419999999999994E-2</v>
      </c>
      <c r="K663" s="330">
        <f t="shared" si="187"/>
        <v>46.3658894</v>
      </c>
      <c r="L663" s="331"/>
      <c r="M663" s="399"/>
    </row>
    <row r="664" spans="2:13">
      <c r="B664" s="314">
        <v>6</v>
      </c>
      <c r="C664" s="271" t="s">
        <v>294</v>
      </c>
      <c r="D664" s="291" t="s">
        <v>241</v>
      </c>
      <c r="E664" s="307">
        <v>3.9689999999999999</v>
      </c>
      <c r="F664" s="307">
        <v>4.6289999999999996</v>
      </c>
      <c r="G664" s="272">
        <v>3.6640009999999998</v>
      </c>
      <c r="H664" s="307">
        <v>5.7508309999999998</v>
      </c>
      <c r="I664" s="273">
        <v>0.13900000000000001</v>
      </c>
      <c r="J664" s="273">
        <v>9.9400000000000002E-2</v>
      </c>
      <c r="K664" s="272">
        <v>46.569415999999997</v>
      </c>
      <c r="L664" s="332"/>
      <c r="M664" s="399"/>
    </row>
    <row r="665" spans="2:13">
      <c r="B665" s="315">
        <v>7</v>
      </c>
      <c r="C665" s="320"/>
      <c r="D665" s="299" t="s">
        <v>242</v>
      </c>
      <c r="E665" s="309">
        <v>3.9580000000000002</v>
      </c>
      <c r="F665" s="309">
        <v>4.6210000000000004</v>
      </c>
      <c r="G665" s="317">
        <v>3.667834</v>
      </c>
      <c r="H665" s="309">
        <v>5.7514620000000001</v>
      </c>
      <c r="I665" s="318">
        <v>0.1389</v>
      </c>
      <c r="J665" s="318">
        <v>9.9299999999999999E-2</v>
      </c>
      <c r="K665" s="317">
        <v>46.53575</v>
      </c>
      <c r="L665" s="321"/>
      <c r="M665" s="399"/>
    </row>
    <row r="666" spans="2:13">
      <c r="B666" s="315">
        <v>8</v>
      </c>
      <c r="C666" s="320"/>
      <c r="D666" s="299" t="s">
        <v>222</v>
      </c>
      <c r="E666" s="309">
        <v>3.9620000000000002</v>
      </c>
      <c r="F666" s="309">
        <v>4.6210000000000004</v>
      </c>
      <c r="G666" s="317">
        <v>3.6641309999999998</v>
      </c>
      <c r="H666" s="309">
        <v>5.735798</v>
      </c>
      <c r="I666" s="318">
        <v>0.13900000000000001</v>
      </c>
      <c r="J666" s="318">
        <v>9.9400000000000002E-2</v>
      </c>
      <c r="K666" s="317">
        <v>46.488934</v>
      </c>
      <c r="L666" s="321"/>
      <c r="M666" s="399"/>
    </row>
    <row r="667" spans="2:13">
      <c r="B667" s="315">
        <v>9</v>
      </c>
      <c r="C667" s="320"/>
      <c r="D667" s="299" t="s">
        <v>223</v>
      </c>
      <c r="E667" s="309">
        <v>3.9630000000000001</v>
      </c>
      <c r="F667" s="309">
        <v>4.649</v>
      </c>
      <c r="G667" s="317">
        <v>3.685403</v>
      </c>
      <c r="H667" s="309">
        <v>5.7854130000000001</v>
      </c>
      <c r="I667" s="318">
        <v>0.1389</v>
      </c>
      <c r="J667" s="318">
        <v>9.9199999999999997E-2</v>
      </c>
      <c r="K667" s="317">
        <v>46.864919</v>
      </c>
      <c r="L667" s="321"/>
      <c r="M667" s="399"/>
    </row>
    <row r="668" spans="2:13" ht="17.25" thickBot="1">
      <c r="B668" s="322">
        <v>10</v>
      </c>
      <c r="C668" s="323"/>
      <c r="D668" s="293" t="s">
        <v>243</v>
      </c>
      <c r="E668" s="311">
        <v>3.9609999999999999</v>
      </c>
      <c r="F668" s="311">
        <v>4.6890000000000001</v>
      </c>
      <c r="G668" s="278">
        <v>3.7189890000000001</v>
      </c>
      <c r="H668" s="311">
        <v>5.8552119999999999</v>
      </c>
      <c r="I668" s="279">
        <v>0.13869999999999999</v>
      </c>
      <c r="J668" s="279">
        <v>9.8699999999999996E-2</v>
      </c>
      <c r="K668" s="278">
        <v>47.507598999999999</v>
      </c>
      <c r="L668" s="324"/>
      <c r="M668" s="399"/>
    </row>
    <row r="669" spans="2:13" ht="17.25" thickBot="1">
      <c r="B669" s="325" t="s">
        <v>464</v>
      </c>
      <c r="C669" s="326"/>
      <c r="D669" s="327" t="s">
        <v>463</v>
      </c>
      <c r="E669" s="328">
        <f>AVERAGE(E664:E668)</f>
        <v>3.9625999999999997</v>
      </c>
      <c r="F669" s="328">
        <f t="shared" ref="F669:K669" si="188">AVERAGE(F664:F668)</f>
        <v>4.6417999999999999</v>
      </c>
      <c r="G669" s="328">
        <f t="shared" si="188"/>
        <v>3.6800716000000002</v>
      </c>
      <c r="H669" s="328">
        <f t="shared" si="188"/>
        <v>5.7757432000000009</v>
      </c>
      <c r="I669" s="329">
        <f t="shared" si="188"/>
        <v>0.13890000000000002</v>
      </c>
      <c r="J669" s="329">
        <f t="shared" si="188"/>
        <v>9.9199999999999997E-2</v>
      </c>
      <c r="K669" s="330">
        <f t="shared" si="188"/>
        <v>46.793323600000001</v>
      </c>
      <c r="L669" s="331"/>
      <c r="M669" s="399"/>
    </row>
    <row r="670" spans="2:13">
      <c r="B670" s="333">
        <v>11</v>
      </c>
      <c r="C670" s="334" t="s">
        <v>294</v>
      </c>
      <c r="D670" s="291" t="s">
        <v>244</v>
      </c>
      <c r="E670" s="307">
        <v>3.964</v>
      </c>
      <c r="F670" s="307">
        <v>4.6769999999999996</v>
      </c>
      <c r="G670" s="272">
        <v>3.706664</v>
      </c>
      <c r="H670" s="307">
        <v>5.8163689999999999</v>
      </c>
      <c r="I670" s="273">
        <v>0.13900000000000001</v>
      </c>
      <c r="J670" s="273">
        <v>9.9299999999999999E-2</v>
      </c>
      <c r="K670" s="272">
        <v>47.099697999999997</v>
      </c>
      <c r="L670" s="332"/>
      <c r="M670" s="399"/>
    </row>
    <row r="671" spans="2:13">
      <c r="B671" s="335">
        <v>12</v>
      </c>
      <c r="C671" s="320"/>
      <c r="D671" s="299" t="s">
        <v>245</v>
      </c>
      <c r="E671" s="309">
        <v>3.9649999999999999</v>
      </c>
      <c r="F671" s="309">
        <v>4.6550000000000002</v>
      </c>
      <c r="G671" s="317">
        <v>3.6882980000000001</v>
      </c>
      <c r="H671" s="309">
        <v>5.7916829999999999</v>
      </c>
      <c r="I671" s="318">
        <v>0.1389</v>
      </c>
      <c r="J671" s="318">
        <v>9.9199999999999997E-2</v>
      </c>
      <c r="K671" s="317">
        <v>46.925403000000003</v>
      </c>
      <c r="L671" s="321"/>
      <c r="M671" s="399"/>
    </row>
    <row r="672" spans="2:13">
      <c r="B672" s="335">
        <v>13</v>
      </c>
      <c r="C672" s="320"/>
      <c r="D672" s="299" t="s">
        <v>227</v>
      </c>
      <c r="E672" s="309">
        <v>3.9649999999999999</v>
      </c>
      <c r="F672" s="309">
        <v>4.6459999999999999</v>
      </c>
      <c r="G672" s="317">
        <v>3.6811669999999999</v>
      </c>
      <c r="H672" s="309">
        <v>5.7704519999999997</v>
      </c>
      <c r="I672" s="318">
        <v>0.13900000000000001</v>
      </c>
      <c r="J672" s="318">
        <v>9.9299999999999999E-2</v>
      </c>
      <c r="K672" s="317">
        <v>46.787512999999997</v>
      </c>
      <c r="L672" s="321"/>
      <c r="M672" s="399"/>
    </row>
    <row r="673" spans="2:13">
      <c r="B673" s="335">
        <v>14</v>
      </c>
      <c r="C673" s="320"/>
      <c r="D673" s="299" t="s">
        <v>228</v>
      </c>
      <c r="E673" s="309">
        <v>3.9660000000000002</v>
      </c>
      <c r="F673" s="309">
        <v>4.673</v>
      </c>
      <c r="G673" s="317">
        <v>3.7016260000000001</v>
      </c>
      <c r="H673" s="309">
        <v>5.8249690000000003</v>
      </c>
      <c r="I673" s="318">
        <v>0.1389</v>
      </c>
      <c r="J673" s="318">
        <v>9.8900000000000002E-2</v>
      </c>
      <c r="K673" s="317">
        <v>47.249746999999999</v>
      </c>
      <c r="L673" s="321"/>
      <c r="M673" s="399"/>
    </row>
    <row r="674" spans="2:13" ht="17.25" thickBot="1">
      <c r="B674" s="336">
        <v>15</v>
      </c>
      <c r="C674" s="323"/>
      <c r="D674" s="293" t="s">
        <v>246</v>
      </c>
      <c r="E674" s="311">
        <v>3.9620000000000002</v>
      </c>
      <c r="F674" s="311">
        <v>4.7069999999999999</v>
      </c>
      <c r="G674" s="278">
        <v>3.7323230000000001</v>
      </c>
      <c r="H674" s="311">
        <v>5.8863450000000004</v>
      </c>
      <c r="I674" s="279">
        <v>0.1386</v>
      </c>
      <c r="J674" s="279">
        <v>9.8500000000000004E-2</v>
      </c>
      <c r="K674" s="278">
        <v>47.786802000000002</v>
      </c>
      <c r="L674" s="324"/>
      <c r="M674" s="399"/>
    </row>
    <row r="675" spans="2:13" ht="17.25" thickBot="1">
      <c r="B675" s="337"/>
      <c r="C675" s="326"/>
      <c r="D675" s="327" t="s">
        <v>463</v>
      </c>
      <c r="E675" s="328">
        <f>AVERAGE(E670:E674)</f>
        <v>3.9643999999999999</v>
      </c>
      <c r="F675" s="328">
        <f t="shared" ref="F675:K675" si="189">AVERAGE(F670:F674)</f>
        <v>4.6716000000000006</v>
      </c>
      <c r="G675" s="328">
        <f t="shared" si="189"/>
        <v>3.7020156000000002</v>
      </c>
      <c r="H675" s="328">
        <f t="shared" si="189"/>
        <v>5.8179636000000006</v>
      </c>
      <c r="I675" s="329">
        <f t="shared" si="189"/>
        <v>0.13888000000000003</v>
      </c>
      <c r="J675" s="329">
        <f t="shared" si="189"/>
        <v>9.9039999999999989E-2</v>
      </c>
      <c r="K675" s="330">
        <f t="shared" si="189"/>
        <v>47.169832599999999</v>
      </c>
      <c r="L675" s="331"/>
      <c r="M675" s="399"/>
    </row>
    <row r="676" spans="2:13">
      <c r="B676" s="333">
        <v>16</v>
      </c>
      <c r="C676" s="271" t="s">
        <v>297</v>
      </c>
      <c r="D676" s="291" t="s">
        <v>247</v>
      </c>
      <c r="E676" s="307">
        <v>3.984</v>
      </c>
      <c r="F676" s="307">
        <v>4.0970000000000004</v>
      </c>
      <c r="G676" s="272">
        <v>3.230696</v>
      </c>
      <c r="H676" s="307">
        <v>5.077267</v>
      </c>
      <c r="I676" s="273">
        <v>0.13930000000000001</v>
      </c>
      <c r="J676" s="273">
        <v>9.9699999999999997E-2</v>
      </c>
      <c r="K676" s="272">
        <v>41.09328</v>
      </c>
      <c r="L676" s="359"/>
      <c r="M676" s="401"/>
    </row>
    <row r="677" spans="2:13">
      <c r="B677" s="335">
        <v>17</v>
      </c>
      <c r="C677" s="320"/>
      <c r="D677" s="299" t="s">
        <v>248</v>
      </c>
      <c r="E677" s="309">
        <v>3.9390000000000001</v>
      </c>
      <c r="F677" s="309">
        <v>4.1449999999999996</v>
      </c>
      <c r="G677" s="317">
        <v>3.3058869999999998</v>
      </c>
      <c r="H677" s="309">
        <v>5.1421450000000002</v>
      </c>
      <c r="I677" s="318">
        <v>0.13930000000000001</v>
      </c>
      <c r="J677" s="318">
        <v>9.9599999999999994E-2</v>
      </c>
      <c r="K677" s="317">
        <v>41.616466000000003</v>
      </c>
      <c r="L677" s="321"/>
      <c r="M677" s="399"/>
    </row>
    <row r="678" spans="2:13">
      <c r="B678" s="335">
        <v>18</v>
      </c>
      <c r="C678" s="320"/>
      <c r="D678" s="299" t="s">
        <v>232</v>
      </c>
      <c r="E678" s="309">
        <v>3.9319999999999999</v>
      </c>
      <c r="F678" s="309">
        <v>4.1840000000000002</v>
      </c>
      <c r="G678" s="317">
        <v>3.3429329999999999</v>
      </c>
      <c r="H678" s="309">
        <v>5.1919789999999999</v>
      </c>
      <c r="I678" s="318">
        <v>0.1394</v>
      </c>
      <c r="J678" s="318">
        <v>9.9500000000000005E-2</v>
      </c>
      <c r="K678" s="317">
        <v>42.050251000000003</v>
      </c>
      <c r="L678" s="321"/>
      <c r="M678" s="399"/>
    </row>
    <row r="679" spans="2:13">
      <c r="B679" s="335">
        <v>19</v>
      </c>
      <c r="C679" s="320"/>
      <c r="D679" s="299" t="s">
        <v>233</v>
      </c>
      <c r="E679" s="309">
        <v>3.93</v>
      </c>
      <c r="F679" s="309">
        <v>4.2309999999999999</v>
      </c>
      <c r="G679" s="317">
        <v>3.3822049999999999</v>
      </c>
      <c r="H679" s="309">
        <v>5.252872</v>
      </c>
      <c r="I679" s="318">
        <v>0.13930000000000001</v>
      </c>
      <c r="J679" s="318">
        <v>9.9199999999999997E-2</v>
      </c>
      <c r="K679" s="317">
        <v>42.651209999999999</v>
      </c>
      <c r="L679" s="321"/>
      <c r="M679" s="399"/>
    </row>
    <row r="680" spans="2:13" ht="17.25" thickBot="1">
      <c r="B680" s="336">
        <v>20</v>
      </c>
      <c r="C680" s="323"/>
      <c r="D680" s="293" t="s">
        <v>249</v>
      </c>
      <c r="E680" s="311">
        <v>3.927</v>
      </c>
      <c r="F680" s="311">
        <v>4.2709999999999999</v>
      </c>
      <c r="G680" s="278">
        <v>3.4167890000000001</v>
      </c>
      <c r="H680" s="311">
        <v>5.3257159999999999</v>
      </c>
      <c r="I680" s="279">
        <v>0.1391</v>
      </c>
      <c r="J680" s="279">
        <v>9.8799999999999999E-2</v>
      </c>
      <c r="K680" s="278">
        <v>43.228745000000004</v>
      </c>
      <c r="L680" s="324"/>
      <c r="M680" s="399"/>
    </row>
    <row r="681" spans="2:13" ht="17.25" thickBot="1">
      <c r="B681" s="337"/>
      <c r="C681" s="326"/>
      <c r="D681" s="327" t="s">
        <v>463</v>
      </c>
      <c r="E681" s="328">
        <f>AVERAGE(E676:E680)</f>
        <v>3.9424000000000001</v>
      </c>
      <c r="F681" s="328">
        <f t="shared" ref="F681:K681" si="190">AVERAGE(F676:F680)</f>
        <v>4.1856000000000009</v>
      </c>
      <c r="G681" s="328">
        <f t="shared" si="190"/>
        <v>3.3357020000000004</v>
      </c>
      <c r="H681" s="328">
        <f t="shared" si="190"/>
        <v>5.1979957999999993</v>
      </c>
      <c r="I681" s="329">
        <f t="shared" si="190"/>
        <v>0.13928000000000001</v>
      </c>
      <c r="J681" s="329">
        <f t="shared" si="190"/>
        <v>9.935999999999999E-2</v>
      </c>
      <c r="K681" s="328">
        <f t="shared" si="190"/>
        <v>42.127990400000002</v>
      </c>
      <c r="L681" s="331"/>
      <c r="M681" s="399"/>
    </row>
    <row r="682" spans="2:13">
      <c r="B682" s="333">
        <v>21</v>
      </c>
      <c r="C682" s="271" t="s">
        <v>296</v>
      </c>
      <c r="D682" s="291" t="s">
        <v>250</v>
      </c>
      <c r="E682" s="307">
        <v>3.9260000000000002</v>
      </c>
      <c r="F682" s="307">
        <v>4.0609999999999999</v>
      </c>
      <c r="G682" s="272">
        <v>3.2496170000000002</v>
      </c>
      <c r="H682" s="307">
        <v>5.0253540000000001</v>
      </c>
      <c r="I682" s="273">
        <v>0.1394</v>
      </c>
      <c r="J682" s="273">
        <v>9.9699999999999997E-2</v>
      </c>
      <c r="K682" s="272">
        <v>40.732196999999999</v>
      </c>
      <c r="L682" s="332"/>
      <c r="M682" s="399"/>
    </row>
    <row r="683" spans="2:13">
      <c r="B683" s="335">
        <v>22</v>
      </c>
      <c r="C683" s="320"/>
      <c r="D683" s="299" t="s">
        <v>251</v>
      </c>
      <c r="E683" s="309">
        <v>3.927</v>
      </c>
      <c r="F683" s="309">
        <v>4.1040000000000001</v>
      </c>
      <c r="G683" s="317">
        <v>3.2831899999999998</v>
      </c>
      <c r="H683" s="309">
        <v>5.0845349999999998</v>
      </c>
      <c r="I683" s="318">
        <v>0.1394</v>
      </c>
      <c r="J683" s="318">
        <v>9.9599999999999994E-2</v>
      </c>
      <c r="K683" s="317">
        <v>41.204819000000001</v>
      </c>
      <c r="L683" s="321"/>
      <c r="M683" s="399"/>
    </row>
    <row r="684" spans="2:13">
      <c r="B684" s="335">
        <v>23</v>
      </c>
      <c r="C684" s="320"/>
      <c r="D684" s="299" t="s">
        <v>237</v>
      </c>
      <c r="E684" s="309">
        <v>3.9279999999999999</v>
      </c>
      <c r="F684" s="309">
        <v>4.149</v>
      </c>
      <c r="G684" s="317">
        <v>3.3183440000000002</v>
      </c>
      <c r="H684" s="309">
        <v>5.1543089999999996</v>
      </c>
      <c r="I684" s="318">
        <v>0.13930000000000001</v>
      </c>
      <c r="J684" s="318">
        <v>9.9400000000000002E-2</v>
      </c>
      <c r="K684" s="317">
        <v>41.740442999999999</v>
      </c>
      <c r="L684" s="321"/>
      <c r="M684" s="399"/>
    </row>
    <row r="685" spans="2:13">
      <c r="B685" s="335">
        <v>24</v>
      </c>
      <c r="C685" s="320"/>
      <c r="D685" s="299" t="s">
        <v>238</v>
      </c>
      <c r="E685" s="309">
        <v>3.923</v>
      </c>
      <c r="F685" s="309">
        <v>4.2</v>
      </c>
      <c r="G685" s="317">
        <v>3.3634149999999998</v>
      </c>
      <c r="H685" s="309">
        <v>5.2295829999999999</v>
      </c>
      <c r="I685" s="318">
        <v>0.13930000000000001</v>
      </c>
      <c r="J685" s="318">
        <v>9.9099999999999994E-2</v>
      </c>
      <c r="K685" s="317">
        <v>42.381433000000001</v>
      </c>
      <c r="L685" s="321"/>
      <c r="M685" s="399"/>
    </row>
    <row r="686" spans="2:13" ht="17.25" thickBot="1">
      <c r="B686" s="336">
        <v>25</v>
      </c>
      <c r="C686" s="323"/>
      <c r="D686" s="293" t="s">
        <v>252</v>
      </c>
      <c r="E686" s="311">
        <v>3.9220000000000002</v>
      </c>
      <c r="F686" s="311">
        <v>4.2430000000000003</v>
      </c>
      <c r="G686" s="278">
        <v>3.398717</v>
      </c>
      <c r="H686" s="311">
        <v>5.3051130000000004</v>
      </c>
      <c r="I686" s="279">
        <v>0.1391</v>
      </c>
      <c r="J686" s="279">
        <v>9.8699999999999996E-2</v>
      </c>
      <c r="K686" s="278">
        <v>42.988855000000001</v>
      </c>
      <c r="L686" s="324"/>
      <c r="M686" s="399"/>
    </row>
    <row r="687" spans="2:13" ht="17.25" thickBot="1">
      <c r="B687" s="339" t="s">
        <v>464</v>
      </c>
      <c r="C687" s="340"/>
      <c r="D687" s="341" t="s">
        <v>465</v>
      </c>
      <c r="E687" s="342">
        <f>AVERAGE(E682:E686)</f>
        <v>3.9251999999999994</v>
      </c>
      <c r="F687" s="342">
        <f t="shared" ref="F687:K687" si="191">AVERAGE(F682:F686)</f>
        <v>4.1513999999999998</v>
      </c>
      <c r="G687" s="342">
        <f t="shared" si="191"/>
        <v>3.3226565999999997</v>
      </c>
      <c r="H687" s="342">
        <f t="shared" si="191"/>
        <v>5.1597787999999998</v>
      </c>
      <c r="I687" s="343">
        <f t="shared" si="191"/>
        <v>0.13930000000000001</v>
      </c>
      <c r="J687" s="343">
        <f t="shared" si="191"/>
        <v>9.9299999999999986E-2</v>
      </c>
      <c r="K687" s="342">
        <f t="shared" si="191"/>
        <v>41.809549400000002</v>
      </c>
      <c r="L687" s="344"/>
      <c r="M687" s="399"/>
    </row>
    <row r="688" spans="2:13">
      <c r="B688" s="333"/>
      <c r="C688" s="345"/>
      <c r="D688" s="291" t="s">
        <v>466</v>
      </c>
      <c r="E688" s="346">
        <f>MEDIAN(E658:E662,E664:E668,E670:E674,E676:E680,E682:E686)</f>
        <v>3.9580000000000002</v>
      </c>
      <c r="F688" s="346">
        <f t="shared" ref="F688:K688" si="192">MEDIAN(F658:F662,F664:F668,F670:F674,F676:F680,F682:F686)</f>
        <v>4.5999999999999996</v>
      </c>
      <c r="G688" s="346">
        <f t="shared" si="192"/>
        <v>3.6474799999999998</v>
      </c>
      <c r="H688" s="346">
        <f t="shared" si="192"/>
        <v>5.6991250000000004</v>
      </c>
      <c r="I688" s="347">
        <f t="shared" si="192"/>
        <v>0.13900000000000001</v>
      </c>
      <c r="J688" s="347">
        <f t="shared" si="192"/>
        <v>9.9299999999999999E-2</v>
      </c>
      <c r="K688" s="348">
        <f t="shared" si="192"/>
        <v>46.184739</v>
      </c>
      <c r="L688" s="332"/>
      <c r="M688" s="399"/>
    </row>
    <row r="689" spans="2:13">
      <c r="B689" s="335"/>
      <c r="C689" s="320"/>
      <c r="D689" s="299" t="s">
        <v>467</v>
      </c>
      <c r="E689" s="349">
        <f>AVERAGE(E658:E662,E664:E668,E670:E674,E676:E680,E682:E686)</f>
        <v>3.950200000000001</v>
      </c>
      <c r="F689" s="349">
        <f t="shared" ref="F689:K689" si="193">AVERAGE(F658:F662,F664:F668,F670:F674,F676:F680,F682:F686)</f>
        <v>4.4519999999999991</v>
      </c>
      <c r="G689" s="349">
        <f t="shared" si="193"/>
        <v>3.5401398799999999</v>
      </c>
      <c r="H689" s="349">
        <f t="shared" si="193"/>
        <v>5.5347422000000002</v>
      </c>
      <c r="I689" s="350">
        <f t="shared" si="193"/>
        <v>0.13906400000000002</v>
      </c>
      <c r="J689" s="350">
        <f t="shared" si="193"/>
        <v>9.9263999999999991E-2</v>
      </c>
      <c r="K689" s="351">
        <f t="shared" si="193"/>
        <v>44.853317079999997</v>
      </c>
      <c r="L689" s="321"/>
      <c r="M689" s="399"/>
    </row>
    <row r="690" spans="2:13">
      <c r="B690" s="335"/>
      <c r="C690" s="320"/>
      <c r="D690" s="299" t="s">
        <v>199</v>
      </c>
      <c r="E690" s="349">
        <f>MAX(E658:E662,E664:E668,E670:E674,E676:E680,E682:E686)</f>
        <v>3.984</v>
      </c>
      <c r="F690" s="349">
        <f t="shared" ref="F690:K690" si="194">MAX(F658:F662,F664:F668,F670:F674,F676:F680,F682:F686)</f>
        <v>4.7069999999999999</v>
      </c>
      <c r="G690" s="349">
        <f t="shared" si="194"/>
        <v>3.7323230000000001</v>
      </c>
      <c r="H690" s="349">
        <f t="shared" si="194"/>
        <v>5.8863450000000004</v>
      </c>
      <c r="I690" s="350">
        <f t="shared" si="194"/>
        <v>0.1394</v>
      </c>
      <c r="J690" s="350">
        <f t="shared" si="194"/>
        <v>9.9699999999999997E-2</v>
      </c>
      <c r="K690" s="351">
        <f t="shared" si="194"/>
        <v>47.786802000000002</v>
      </c>
      <c r="L690" s="321"/>
      <c r="M690" s="399"/>
    </row>
    <row r="691" spans="2:13">
      <c r="B691" s="335"/>
      <c r="C691" s="320"/>
      <c r="D691" s="299" t="s">
        <v>200</v>
      </c>
      <c r="E691" s="349">
        <f>MIN(E658:E662,E664:E668,E670:E674,E676:E680,E682:E686)</f>
        <v>3.9220000000000002</v>
      </c>
      <c r="F691" s="349">
        <f t="shared" ref="F691:K691" si="195">MIN(F658:F662,F664:F668,F670:F674,F676:F680,F682:F686)</f>
        <v>4.0609999999999999</v>
      </c>
      <c r="G691" s="349">
        <f t="shared" si="195"/>
        <v>3.230696</v>
      </c>
      <c r="H691" s="349">
        <f t="shared" si="195"/>
        <v>5.0253540000000001</v>
      </c>
      <c r="I691" s="350">
        <f t="shared" si="195"/>
        <v>0.1386</v>
      </c>
      <c r="J691" s="350">
        <f t="shared" si="195"/>
        <v>9.8500000000000004E-2</v>
      </c>
      <c r="K691" s="351">
        <f t="shared" si="195"/>
        <v>40.732196999999999</v>
      </c>
      <c r="L691" s="321"/>
      <c r="M691" s="399"/>
    </row>
    <row r="692" spans="2:13">
      <c r="B692" s="335"/>
      <c r="C692" s="320"/>
      <c r="D692" s="299" t="s">
        <v>201</v>
      </c>
      <c r="E692" s="349">
        <f>E690-E691</f>
        <v>6.1999999999999833E-2</v>
      </c>
      <c r="F692" s="349">
        <f t="shared" ref="F692:K692" si="196">F690-F691</f>
        <v>0.64599999999999991</v>
      </c>
      <c r="G692" s="349">
        <f t="shared" si="196"/>
        <v>0.50162700000000005</v>
      </c>
      <c r="H692" s="349">
        <f t="shared" si="196"/>
        <v>0.86099100000000028</v>
      </c>
      <c r="I692" s="350">
        <f t="shared" si="196"/>
        <v>7.9999999999999516E-4</v>
      </c>
      <c r="J692" s="350">
        <f t="shared" si="196"/>
        <v>1.1999999999999927E-3</v>
      </c>
      <c r="K692" s="349">
        <f t="shared" si="196"/>
        <v>7.0546050000000022</v>
      </c>
      <c r="L692" s="321"/>
      <c r="M692" s="399"/>
    </row>
    <row r="693" spans="2:13" ht="17.25" thickBot="1">
      <c r="B693" s="336"/>
      <c r="C693" s="323"/>
      <c r="D693" s="293" t="s">
        <v>202</v>
      </c>
      <c r="E693" s="352">
        <f>STDEVA(E658:E662,E664:E668,E670:E674,E676:E680,E682:E686)</f>
        <v>1.8161314196206518E-2</v>
      </c>
      <c r="F693" s="352">
        <f t="shared" ref="F693:K693" si="197">STDEVA(F658:F662,F664:F668,F670:F674,F676:F680,F682:F686)</f>
        <v>0.24184481939182953</v>
      </c>
      <c r="G693" s="352">
        <f t="shared" si="197"/>
        <v>0.1812718784692669</v>
      </c>
      <c r="H693" s="352">
        <f t="shared" si="197"/>
        <v>0.30666573051016538</v>
      </c>
      <c r="I693" s="353">
        <f t="shared" si="197"/>
        <v>2.215099696778158E-4</v>
      </c>
      <c r="J693" s="353">
        <f t="shared" si="197"/>
        <v>3.352610922848035E-4</v>
      </c>
      <c r="K693" s="352">
        <f t="shared" si="197"/>
        <v>2.491328942004797</v>
      </c>
      <c r="L693" s="324"/>
      <c r="M693" s="399"/>
    </row>
    <row r="695" spans="2:13">
      <c r="B695" s="240" t="s">
        <v>489</v>
      </c>
      <c r="C695" s="240"/>
      <c r="E695" s="240"/>
      <c r="F695" s="240"/>
      <c r="G695" s="240"/>
      <c r="H695" s="240"/>
      <c r="I695" s="240"/>
      <c r="J695" s="240"/>
      <c r="K695" s="240"/>
    </row>
    <row r="696" spans="2:13" ht="17.25" thickBot="1">
      <c r="B696" s="240" t="s">
        <v>469</v>
      </c>
      <c r="C696" s="240"/>
      <c r="E696" s="240"/>
      <c r="F696" s="240"/>
      <c r="G696" s="240"/>
      <c r="H696" s="240"/>
      <c r="I696" s="240"/>
      <c r="J696" s="240"/>
      <c r="K696" s="240"/>
    </row>
    <row r="697" spans="2:13" ht="17.25" thickBot="1">
      <c r="B697" s="313" t="s">
        <v>11</v>
      </c>
      <c r="C697" s="250" t="s">
        <v>0</v>
      </c>
      <c r="D697" s="250" t="s">
        <v>1</v>
      </c>
      <c r="E697" s="250" t="s">
        <v>2</v>
      </c>
      <c r="F697" s="250" t="s">
        <v>3</v>
      </c>
      <c r="G697" s="250" t="s">
        <v>192</v>
      </c>
      <c r="H697" s="250" t="s">
        <v>16</v>
      </c>
      <c r="I697" s="250" t="s">
        <v>6</v>
      </c>
      <c r="J697" s="251" t="s">
        <v>7</v>
      </c>
      <c r="K697" s="252" t="s">
        <v>8</v>
      </c>
      <c r="L697" s="254" t="s">
        <v>470</v>
      </c>
      <c r="M697" s="404"/>
    </row>
    <row r="698" spans="2:13">
      <c r="B698" s="314">
        <v>1</v>
      </c>
      <c r="C698" s="271" t="s">
        <v>295</v>
      </c>
      <c r="D698" s="291" t="s">
        <v>213</v>
      </c>
      <c r="E698" s="307">
        <v>3.9470000000000001</v>
      </c>
      <c r="F698" s="307">
        <v>4.6849999999999996</v>
      </c>
      <c r="G698" s="272">
        <v>3.728996</v>
      </c>
      <c r="H698" s="307">
        <v>5.8591530000000001</v>
      </c>
      <c r="I698" s="273">
        <v>0.13869999999999999</v>
      </c>
      <c r="J698" s="273">
        <v>9.8699999999999996E-2</v>
      </c>
      <c r="K698" s="272">
        <v>47.467072000000002</v>
      </c>
      <c r="L698" s="275"/>
      <c r="M698" s="397"/>
    </row>
    <row r="699" spans="2:13">
      <c r="B699" s="315">
        <v>2</v>
      </c>
      <c r="C699" s="316"/>
      <c r="D699" s="299" t="s">
        <v>214</v>
      </c>
      <c r="E699" s="309">
        <v>3.9510000000000001</v>
      </c>
      <c r="F699" s="309">
        <v>4.6479999999999997</v>
      </c>
      <c r="G699" s="317">
        <v>3.6958009999999999</v>
      </c>
      <c r="H699" s="309">
        <v>5.7919689999999999</v>
      </c>
      <c r="I699" s="318">
        <v>0.1389</v>
      </c>
      <c r="J699" s="318">
        <v>9.9099999999999994E-2</v>
      </c>
      <c r="K699" s="317">
        <v>46.902118999999999</v>
      </c>
      <c r="L699" s="319"/>
      <c r="M699" s="398"/>
    </row>
    <row r="700" spans="2:13">
      <c r="B700" s="315">
        <v>3</v>
      </c>
      <c r="C700" s="320"/>
      <c r="D700" s="299" t="s">
        <v>217</v>
      </c>
      <c r="E700" s="309">
        <v>3.9540000000000002</v>
      </c>
      <c r="F700" s="309">
        <v>4.6529999999999996</v>
      </c>
      <c r="G700" s="317">
        <v>3.6969699999999999</v>
      </c>
      <c r="H700" s="309">
        <v>5.7974030000000001</v>
      </c>
      <c r="I700" s="318">
        <v>0.13880000000000001</v>
      </c>
      <c r="J700" s="318">
        <v>9.9199999999999997E-2</v>
      </c>
      <c r="K700" s="317">
        <v>46.905242000000001</v>
      </c>
      <c r="L700" s="356"/>
      <c r="M700" s="400"/>
    </row>
    <row r="701" spans="2:13">
      <c r="B701" s="315">
        <v>4</v>
      </c>
      <c r="C701" s="320"/>
      <c r="D701" s="299" t="s">
        <v>218</v>
      </c>
      <c r="E701" s="309">
        <v>3.9540000000000002</v>
      </c>
      <c r="F701" s="309">
        <v>4.702</v>
      </c>
      <c r="G701" s="317">
        <v>3.7359019999999998</v>
      </c>
      <c r="H701" s="309">
        <v>5.855213</v>
      </c>
      <c r="I701" s="318">
        <v>0.1386</v>
      </c>
      <c r="J701" s="318">
        <v>9.9299999999999999E-2</v>
      </c>
      <c r="K701" s="317">
        <v>47.351460000000003</v>
      </c>
      <c r="L701" s="356"/>
      <c r="M701" s="400"/>
    </row>
    <row r="702" spans="2:13" ht="17.25" thickBot="1">
      <c r="B702" s="322">
        <v>5</v>
      </c>
      <c r="C702" s="323"/>
      <c r="D702" s="354" t="s">
        <v>240</v>
      </c>
      <c r="E702" s="311">
        <v>3.9510000000000001</v>
      </c>
      <c r="F702" s="311">
        <v>4.7279999999999998</v>
      </c>
      <c r="G702" s="278">
        <v>3.7594120000000002</v>
      </c>
      <c r="H702" s="311">
        <v>5.8908950000000004</v>
      </c>
      <c r="I702" s="279">
        <v>0.1384</v>
      </c>
      <c r="J702" s="279">
        <v>9.9400000000000002E-2</v>
      </c>
      <c r="K702" s="278">
        <v>47.565392000000003</v>
      </c>
      <c r="L702" s="324"/>
      <c r="M702" s="399"/>
    </row>
    <row r="703" spans="2:13" ht="17.25" thickBot="1">
      <c r="B703" s="325"/>
      <c r="C703" s="326"/>
      <c r="D703" s="327" t="s">
        <v>463</v>
      </c>
      <c r="E703" s="328">
        <f>AVERAGE(E698:E702)</f>
        <v>3.9514000000000005</v>
      </c>
      <c r="F703" s="328">
        <f t="shared" ref="F703:K703" si="198">AVERAGE(F698:F702)</f>
        <v>4.6831999999999994</v>
      </c>
      <c r="G703" s="328">
        <f t="shared" si="198"/>
        <v>3.7234162</v>
      </c>
      <c r="H703" s="328">
        <f t="shared" si="198"/>
        <v>5.8389265999999997</v>
      </c>
      <c r="I703" s="329">
        <f t="shared" si="198"/>
        <v>0.13867999999999997</v>
      </c>
      <c r="J703" s="329">
        <f t="shared" si="198"/>
        <v>9.9139999999999992E-2</v>
      </c>
      <c r="K703" s="330">
        <f t="shared" si="198"/>
        <v>47.238256999999997</v>
      </c>
      <c r="L703" s="331"/>
      <c r="M703" s="399"/>
    </row>
    <row r="704" spans="2:13">
      <c r="B704" s="314">
        <v>6</v>
      </c>
      <c r="C704" s="271" t="s">
        <v>294</v>
      </c>
      <c r="D704" s="291" t="s">
        <v>241</v>
      </c>
      <c r="E704" s="307">
        <v>3.9510000000000001</v>
      </c>
      <c r="F704" s="307">
        <v>4.7080000000000002</v>
      </c>
      <c r="G704" s="272">
        <v>3.743509</v>
      </c>
      <c r="H704" s="307">
        <v>5.8858129999999997</v>
      </c>
      <c r="I704" s="273">
        <v>0.13869999999999999</v>
      </c>
      <c r="J704" s="273">
        <v>9.8799999999999999E-2</v>
      </c>
      <c r="K704" s="272">
        <v>47.651822000000003</v>
      </c>
      <c r="L704" s="332"/>
      <c r="M704" s="399"/>
    </row>
    <row r="705" spans="2:13">
      <c r="B705" s="315">
        <v>7</v>
      </c>
      <c r="C705" s="320"/>
      <c r="D705" s="299" t="s">
        <v>242</v>
      </c>
      <c r="E705" s="309">
        <v>3.9540000000000002</v>
      </c>
      <c r="F705" s="309">
        <v>4.6609999999999996</v>
      </c>
      <c r="G705" s="317">
        <v>3.7033260000000001</v>
      </c>
      <c r="H705" s="309">
        <v>5.8157800000000002</v>
      </c>
      <c r="I705" s="318">
        <v>0.13880000000000001</v>
      </c>
      <c r="J705" s="318">
        <v>9.9000000000000005E-2</v>
      </c>
      <c r="K705" s="317">
        <v>47.080807999999998</v>
      </c>
      <c r="L705" s="321"/>
      <c r="M705" s="399"/>
    </row>
    <row r="706" spans="2:13">
      <c r="B706" s="315">
        <v>8</v>
      </c>
      <c r="C706" s="320"/>
      <c r="D706" s="299" t="s">
        <v>222</v>
      </c>
      <c r="E706" s="309">
        <v>3.956</v>
      </c>
      <c r="F706" s="309">
        <v>4.694</v>
      </c>
      <c r="G706" s="317">
        <v>3.7276600000000002</v>
      </c>
      <c r="H706" s="309">
        <v>5.8456450000000002</v>
      </c>
      <c r="I706" s="318">
        <v>0.13869999999999999</v>
      </c>
      <c r="J706" s="318">
        <v>9.9299999999999999E-2</v>
      </c>
      <c r="K706" s="317">
        <v>47.270896</v>
      </c>
      <c r="L706" s="321"/>
      <c r="M706" s="399"/>
    </row>
    <row r="707" spans="2:13">
      <c r="B707" s="315">
        <v>9</v>
      </c>
      <c r="C707" s="320"/>
      <c r="D707" s="299" t="s">
        <v>223</v>
      </c>
      <c r="E707" s="309">
        <v>3.956</v>
      </c>
      <c r="F707" s="309">
        <v>4.7270000000000003</v>
      </c>
      <c r="G707" s="317">
        <v>3.7538670000000001</v>
      </c>
      <c r="H707" s="309">
        <v>5.8823350000000003</v>
      </c>
      <c r="I707" s="318">
        <v>0.13850000000000001</v>
      </c>
      <c r="J707" s="318">
        <v>9.9299999999999999E-2</v>
      </c>
      <c r="K707" s="317">
        <v>47.603223</v>
      </c>
      <c r="L707" s="321"/>
      <c r="M707" s="399"/>
    </row>
    <row r="708" spans="2:13" ht="17.25" thickBot="1">
      <c r="B708" s="322">
        <v>10</v>
      </c>
      <c r="C708" s="323"/>
      <c r="D708" s="293" t="s">
        <v>243</v>
      </c>
      <c r="E708" s="311">
        <v>3.9540000000000002</v>
      </c>
      <c r="F708" s="311">
        <v>4.7519999999999998</v>
      </c>
      <c r="G708" s="278">
        <v>3.7756289999999999</v>
      </c>
      <c r="H708" s="311">
        <v>5.9130969999999996</v>
      </c>
      <c r="I708" s="279">
        <v>0.1384</v>
      </c>
      <c r="J708" s="279">
        <v>9.9599999999999994E-2</v>
      </c>
      <c r="K708" s="278">
        <v>47.710842999999997</v>
      </c>
      <c r="L708" s="324"/>
      <c r="M708" s="399"/>
    </row>
    <row r="709" spans="2:13" ht="17.25" thickBot="1">
      <c r="B709" s="325" t="s">
        <v>464</v>
      </c>
      <c r="C709" s="326"/>
      <c r="D709" s="327" t="s">
        <v>463</v>
      </c>
      <c r="E709" s="328">
        <f t="shared" ref="E709:K709" si="199">AVERAGE(E704:E708)</f>
        <v>3.9542000000000002</v>
      </c>
      <c r="F709" s="328">
        <f t="shared" si="199"/>
        <v>4.7083999999999993</v>
      </c>
      <c r="G709" s="328">
        <f t="shared" si="199"/>
        <v>3.7407981999999995</v>
      </c>
      <c r="H709" s="328">
        <f t="shared" si="199"/>
        <v>5.8685340000000004</v>
      </c>
      <c r="I709" s="329">
        <f t="shared" si="199"/>
        <v>0.13861999999999999</v>
      </c>
      <c r="J709" s="329">
        <f t="shared" si="199"/>
        <v>9.9199999999999997E-2</v>
      </c>
      <c r="K709" s="330">
        <f t="shared" si="199"/>
        <v>47.463518399999998</v>
      </c>
      <c r="L709" s="331"/>
      <c r="M709" s="399"/>
    </row>
    <row r="710" spans="2:13">
      <c r="B710" s="333">
        <v>11</v>
      </c>
      <c r="C710" s="334" t="s">
        <v>294</v>
      </c>
      <c r="D710" s="291" t="s">
        <v>244</v>
      </c>
      <c r="E710" s="307">
        <v>3.9540000000000002</v>
      </c>
      <c r="F710" s="307">
        <v>4.7160000000000002</v>
      </c>
      <c r="G710" s="272">
        <v>3.7470249999999998</v>
      </c>
      <c r="H710" s="307">
        <v>5.8920729999999999</v>
      </c>
      <c r="I710" s="273">
        <v>0.1386</v>
      </c>
      <c r="J710" s="273">
        <v>9.8799999999999999E-2</v>
      </c>
      <c r="K710" s="272">
        <v>47.732793999999998</v>
      </c>
      <c r="L710" s="332"/>
      <c r="M710" s="399"/>
    </row>
    <row r="711" spans="2:13">
      <c r="B711" s="335">
        <v>12</v>
      </c>
      <c r="C711" s="320"/>
      <c r="D711" s="299" t="s">
        <v>245</v>
      </c>
      <c r="E711" s="309">
        <v>3.9630000000000001</v>
      </c>
      <c r="F711" s="309">
        <v>4.6909999999999998</v>
      </c>
      <c r="G711" s="317">
        <v>3.7186979999999998</v>
      </c>
      <c r="H711" s="309">
        <v>5.8450090000000001</v>
      </c>
      <c r="I711" s="318">
        <v>0.13880000000000001</v>
      </c>
      <c r="J711" s="318">
        <v>9.9099999999999994E-2</v>
      </c>
      <c r="K711" s="317">
        <v>47.336024000000002</v>
      </c>
      <c r="L711" s="321"/>
      <c r="M711" s="399"/>
    </row>
    <row r="712" spans="2:13">
      <c r="B712" s="335">
        <v>13</v>
      </c>
      <c r="C712" s="320"/>
      <c r="D712" s="299" t="s">
        <v>227</v>
      </c>
      <c r="E712" s="309">
        <v>3.9550000000000001</v>
      </c>
      <c r="F712" s="309">
        <v>4.6909999999999998</v>
      </c>
      <c r="G712" s="317">
        <v>3.7262200000000001</v>
      </c>
      <c r="H712" s="309">
        <v>5.8390339999999998</v>
      </c>
      <c r="I712" s="318">
        <v>0.13869999999999999</v>
      </c>
      <c r="J712" s="318">
        <v>9.9199999999999997E-2</v>
      </c>
      <c r="K712" s="317">
        <v>47.288305999999999</v>
      </c>
      <c r="L712" s="321"/>
      <c r="M712" s="399"/>
    </row>
    <row r="713" spans="2:13">
      <c r="B713" s="335">
        <v>14</v>
      </c>
      <c r="C713" s="320"/>
      <c r="D713" s="299" t="s">
        <v>228</v>
      </c>
      <c r="E713" s="309">
        <v>3.956</v>
      </c>
      <c r="F713" s="309">
        <v>4.7370000000000001</v>
      </c>
      <c r="G713" s="317">
        <v>3.7618079999999998</v>
      </c>
      <c r="H713" s="309">
        <v>5.894908</v>
      </c>
      <c r="I713" s="318">
        <v>0.13850000000000001</v>
      </c>
      <c r="J713" s="318">
        <v>9.9400000000000002E-2</v>
      </c>
      <c r="K713" s="317">
        <v>47.655935999999997</v>
      </c>
      <c r="L713" s="321"/>
      <c r="M713" s="399"/>
    </row>
    <row r="714" spans="2:13" ht="17.25" thickBot="1">
      <c r="B714" s="336">
        <v>15</v>
      </c>
      <c r="C714" s="323"/>
      <c r="D714" s="293" t="s">
        <v>246</v>
      </c>
      <c r="E714" s="311">
        <v>3.9529999999999998</v>
      </c>
      <c r="F714" s="311">
        <v>4.7640000000000002</v>
      </c>
      <c r="G714" s="278">
        <v>3.7861210000000001</v>
      </c>
      <c r="H714" s="311">
        <v>5.9386349999999997</v>
      </c>
      <c r="I714" s="279">
        <v>0.13830000000000001</v>
      </c>
      <c r="J714" s="279">
        <v>9.9500000000000005E-2</v>
      </c>
      <c r="K714" s="278">
        <v>47.879396999999997</v>
      </c>
      <c r="L714" s="324"/>
      <c r="M714" s="399"/>
    </row>
    <row r="715" spans="2:13" ht="17.25" thickBot="1">
      <c r="B715" s="337"/>
      <c r="C715" s="326"/>
      <c r="D715" s="327" t="s">
        <v>463</v>
      </c>
      <c r="E715" s="328">
        <f>AVERAGE(E710:E714)</f>
        <v>3.9561999999999999</v>
      </c>
      <c r="F715" s="328">
        <f t="shared" ref="F715:K715" si="200">AVERAGE(F710:F714)</f>
        <v>4.7198000000000002</v>
      </c>
      <c r="G715" s="328">
        <f t="shared" si="200"/>
        <v>3.7479744000000004</v>
      </c>
      <c r="H715" s="328">
        <f t="shared" si="200"/>
        <v>5.8819317999999994</v>
      </c>
      <c r="I715" s="329">
        <f t="shared" si="200"/>
        <v>0.13857999999999998</v>
      </c>
      <c r="J715" s="329">
        <f t="shared" si="200"/>
        <v>9.9199999999999997E-2</v>
      </c>
      <c r="K715" s="330">
        <f t="shared" si="200"/>
        <v>47.578491399999997</v>
      </c>
      <c r="L715" s="331"/>
      <c r="M715" s="399"/>
    </row>
    <row r="716" spans="2:13">
      <c r="B716" s="333">
        <v>16</v>
      </c>
      <c r="C716" s="271" t="s">
        <v>297</v>
      </c>
      <c r="D716" s="291" t="s">
        <v>247</v>
      </c>
      <c r="E716" s="307">
        <v>3.9470000000000001</v>
      </c>
      <c r="F716" s="307">
        <v>4.3970000000000002</v>
      </c>
      <c r="G716" s="272">
        <v>3.499765</v>
      </c>
      <c r="H716" s="307">
        <v>5.4788490000000003</v>
      </c>
      <c r="I716" s="273">
        <v>0.13880000000000001</v>
      </c>
      <c r="J716" s="273">
        <v>9.9000000000000005E-2</v>
      </c>
      <c r="K716" s="272">
        <v>44.414141000000001</v>
      </c>
      <c r="L716" s="359"/>
      <c r="M716" s="401"/>
    </row>
    <row r="717" spans="2:13">
      <c r="B717" s="335">
        <v>17</v>
      </c>
      <c r="C717" s="320"/>
      <c r="D717" s="299" t="s">
        <v>248</v>
      </c>
      <c r="E717" s="309">
        <v>3.9329999999999998</v>
      </c>
      <c r="F717" s="309">
        <v>4.407</v>
      </c>
      <c r="G717" s="317">
        <v>3.5202100000000001</v>
      </c>
      <c r="H717" s="309">
        <v>5.4873370000000001</v>
      </c>
      <c r="I717" s="318">
        <v>0.1391</v>
      </c>
      <c r="J717" s="318">
        <v>9.9299999999999999E-2</v>
      </c>
      <c r="K717" s="317">
        <v>44.380665</v>
      </c>
      <c r="L717" s="321"/>
      <c r="M717" s="399"/>
    </row>
    <row r="718" spans="2:13">
      <c r="B718" s="335">
        <v>18</v>
      </c>
      <c r="C718" s="320"/>
      <c r="D718" s="299" t="s">
        <v>232</v>
      </c>
      <c r="E718" s="309">
        <v>3.9319999999999999</v>
      </c>
      <c r="F718" s="309">
        <v>4.4400000000000004</v>
      </c>
      <c r="G718" s="317">
        <v>3.547472</v>
      </c>
      <c r="H718" s="309">
        <v>5.5201019999999996</v>
      </c>
      <c r="I718" s="318">
        <v>0.1389</v>
      </c>
      <c r="J718" s="318">
        <v>9.9500000000000005E-2</v>
      </c>
      <c r="K718" s="317">
        <v>44.623116000000003</v>
      </c>
      <c r="L718" s="321"/>
      <c r="M718" s="399"/>
    </row>
    <row r="719" spans="2:13">
      <c r="B719" s="335">
        <v>19</v>
      </c>
      <c r="C719" s="320"/>
      <c r="D719" s="299" t="s">
        <v>233</v>
      </c>
      <c r="E719" s="309">
        <v>3.931</v>
      </c>
      <c r="F719" s="309">
        <v>4.4640000000000004</v>
      </c>
      <c r="G719" s="317">
        <v>3.567555</v>
      </c>
      <c r="H719" s="309">
        <v>5.5490539999999999</v>
      </c>
      <c r="I719" s="318">
        <v>0.1386</v>
      </c>
      <c r="J719" s="318">
        <v>9.9599999999999994E-2</v>
      </c>
      <c r="K719" s="317">
        <v>44.819277</v>
      </c>
      <c r="L719" s="321"/>
      <c r="M719" s="399"/>
    </row>
    <row r="720" spans="2:13" ht="17.25" thickBot="1">
      <c r="B720" s="336">
        <v>20</v>
      </c>
      <c r="C720" s="323"/>
      <c r="D720" s="293" t="s">
        <v>249</v>
      </c>
      <c r="E720" s="311">
        <v>3.9260000000000002</v>
      </c>
      <c r="F720" s="311">
        <v>4.4550000000000001</v>
      </c>
      <c r="G720" s="278">
        <v>3.5648960000000001</v>
      </c>
      <c r="H720" s="311">
        <v>5.5432030000000001</v>
      </c>
      <c r="I720" s="279">
        <v>0.13850000000000001</v>
      </c>
      <c r="J720" s="279">
        <v>9.98E-2</v>
      </c>
      <c r="K720" s="278">
        <v>44.639279000000002</v>
      </c>
      <c r="L720" s="324"/>
      <c r="M720" s="399"/>
    </row>
    <row r="721" spans="2:13" ht="17.25" thickBot="1">
      <c r="B721" s="337"/>
      <c r="C721" s="326"/>
      <c r="D721" s="327" t="s">
        <v>463</v>
      </c>
      <c r="E721" s="328">
        <f>AVERAGE(E716:E720)</f>
        <v>3.9337999999999993</v>
      </c>
      <c r="F721" s="328">
        <f t="shared" ref="F721:K721" si="201">AVERAGE(F716:F720)</f>
        <v>4.432599999999999</v>
      </c>
      <c r="G721" s="328">
        <f t="shared" si="201"/>
        <v>3.5399796000000001</v>
      </c>
      <c r="H721" s="328">
        <f t="shared" si="201"/>
        <v>5.5157089999999993</v>
      </c>
      <c r="I721" s="329">
        <f t="shared" si="201"/>
        <v>0.13878000000000004</v>
      </c>
      <c r="J721" s="329">
        <f t="shared" si="201"/>
        <v>9.9440000000000001E-2</v>
      </c>
      <c r="K721" s="328">
        <f t="shared" si="201"/>
        <v>44.575295600000004</v>
      </c>
      <c r="L721" s="331"/>
      <c r="M721" s="399"/>
    </row>
    <row r="722" spans="2:13">
      <c r="B722" s="333">
        <v>21</v>
      </c>
      <c r="C722" s="271" t="s">
        <v>296</v>
      </c>
      <c r="D722" s="291" t="s">
        <v>250</v>
      </c>
      <c r="E722" s="307">
        <v>3.9220000000000002</v>
      </c>
      <c r="F722" s="307">
        <v>4.4390000000000001</v>
      </c>
      <c r="G722" s="272">
        <v>3.5557159999999999</v>
      </c>
      <c r="H722" s="307">
        <v>5.5372890000000003</v>
      </c>
      <c r="I722" s="273">
        <v>0.1389</v>
      </c>
      <c r="J722" s="273">
        <v>9.8900000000000002E-2</v>
      </c>
      <c r="K722" s="272">
        <v>44.883721000000001</v>
      </c>
      <c r="L722" s="332"/>
      <c r="M722" s="399"/>
    </row>
    <row r="723" spans="2:13">
      <c r="B723" s="335">
        <v>22</v>
      </c>
      <c r="C723" s="320"/>
      <c r="D723" s="299" t="s">
        <v>251</v>
      </c>
      <c r="E723" s="309">
        <v>3.9260000000000002</v>
      </c>
      <c r="F723" s="309">
        <v>4.4009999999999998</v>
      </c>
      <c r="G723" s="317">
        <v>3.5216859999999999</v>
      </c>
      <c r="H723" s="309">
        <v>5.4706539999999997</v>
      </c>
      <c r="I723" s="318">
        <v>0.13900000000000001</v>
      </c>
      <c r="J723" s="318">
        <v>9.9199999999999997E-2</v>
      </c>
      <c r="K723" s="317">
        <v>44.364919</v>
      </c>
      <c r="L723" s="321"/>
      <c r="M723" s="399"/>
    </row>
    <row r="724" spans="2:13">
      <c r="B724" s="335">
        <v>23</v>
      </c>
      <c r="C724" s="320"/>
      <c r="D724" s="299" t="s">
        <v>237</v>
      </c>
      <c r="E724" s="309">
        <v>3.9279999999999999</v>
      </c>
      <c r="F724" s="309">
        <v>4.4180000000000001</v>
      </c>
      <c r="G724" s="317">
        <v>3.5334889999999999</v>
      </c>
      <c r="H724" s="309">
        <v>5.4972120000000002</v>
      </c>
      <c r="I724" s="318">
        <v>0.1389</v>
      </c>
      <c r="J724" s="318">
        <v>9.9400000000000002E-2</v>
      </c>
      <c r="K724" s="317">
        <v>44.446680000000001</v>
      </c>
      <c r="L724" s="321"/>
      <c r="M724" s="399"/>
    </row>
    <row r="725" spans="2:13">
      <c r="B725" s="335">
        <v>24</v>
      </c>
      <c r="C725" s="320"/>
      <c r="D725" s="299" t="s">
        <v>238</v>
      </c>
      <c r="E725" s="309">
        <v>3.9249999999999998</v>
      </c>
      <c r="F725" s="309">
        <v>4.4320000000000004</v>
      </c>
      <c r="G725" s="317">
        <v>3.5473949999999999</v>
      </c>
      <c r="H725" s="309">
        <v>5.5137330000000002</v>
      </c>
      <c r="I725" s="318">
        <v>0.13869999999999999</v>
      </c>
      <c r="J725" s="318">
        <v>9.9500000000000005E-2</v>
      </c>
      <c r="K725" s="317">
        <v>44.542713999999997</v>
      </c>
      <c r="L725" s="321"/>
      <c r="M725" s="399"/>
    </row>
    <row r="726" spans="2:13" ht="17.25" thickBot="1">
      <c r="B726" s="336">
        <v>25</v>
      </c>
      <c r="C726" s="323"/>
      <c r="D726" s="293" t="s">
        <v>252</v>
      </c>
      <c r="E726" s="311">
        <v>3.9220000000000002</v>
      </c>
      <c r="F726" s="311">
        <v>4.4390000000000001</v>
      </c>
      <c r="G726" s="278">
        <v>3.5557159999999999</v>
      </c>
      <c r="H726" s="311">
        <v>5.5263200000000001</v>
      </c>
      <c r="I726" s="279">
        <v>0.1386</v>
      </c>
      <c r="J726" s="279">
        <v>9.9599999999999994E-2</v>
      </c>
      <c r="K726" s="278">
        <v>44.568272999999998</v>
      </c>
      <c r="L726" s="324"/>
      <c r="M726" s="399"/>
    </row>
    <row r="727" spans="2:13" ht="17.25" thickBot="1">
      <c r="B727" s="339" t="s">
        <v>464</v>
      </c>
      <c r="C727" s="340"/>
      <c r="D727" s="341" t="s">
        <v>465</v>
      </c>
      <c r="E727" s="342">
        <f>AVERAGE(E722:E726)</f>
        <v>3.9246000000000003</v>
      </c>
      <c r="F727" s="342">
        <f t="shared" ref="F727:K727" si="202">AVERAGE(F722:F726)</f>
        <v>4.4257999999999997</v>
      </c>
      <c r="G727" s="342">
        <f t="shared" si="202"/>
        <v>3.5428003999999995</v>
      </c>
      <c r="H727" s="342">
        <f t="shared" si="202"/>
        <v>5.5090416000000006</v>
      </c>
      <c r="I727" s="343">
        <f t="shared" si="202"/>
        <v>0.13882000000000003</v>
      </c>
      <c r="J727" s="343">
        <f t="shared" si="202"/>
        <v>9.9320000000000006E-2</v>
      </c>
      <c r="K727" s="342">
        <f t="shared" si="202"/>
        <v>44.561261399999992</v>
      </c>
      <c r="L727" s="344"/>
      <c r="M727" s="399"/>
    </row>
    <row r="728" spans="2:13">
      <c r="B728" s="333"/>
      <c r="C728" s="345"/>
      <c r="D728" s="291" t="s">
        <v>466</v>
      </c>
      <c r="E728" s="346">
        <f>MEDIAN(E698:E702,E704:E708,E710:E714,E716:E720,E722:E726)</f>
        <v>3.9510000000000001</v>
      </c>
      <c r="F728" s="346">
        <f t="shared" ref="F728:K728" si="203">MEDIAN(F698:F702,F704:F708,F710:F714,F716:F720,F722:F726)</f>
        <v>4.6609999999999996</v>
      </c>
      <c r="G728" s="346">
        <f t="shared" si="203"/>
        <v>3.7033260000000001</v>
      </c>
      <c r="H728" s="346">
        <f t="shared" si="203"/>
        <v>5.8157800000000002</v>
      </c>
      <c r="I728" s="347">
        <f t="shared" si="203"/>
        <v>0.13869999999999999</v>
      </c>
      <c r="J728" s="347">
        <f t="shared" si="203"/>
        <v>9.9299999999999999E-2</v>
      </c>
      <c r="K728" s="348">
        <f t="shared" si="203"/>
        <v>47.080807999999998</v>
      </c>
      <c r="L728" s="332"/>
      <c r="M728" s="399"/>
    </row>
    <row r="729" spans="2:13">
      <c r="B729" s="335"/>
      <c r="C729" s="320"/>
      <c r="D729" s="299" t="s">
        <v>467</v>
      </c>
      <c r="E729" s="349">
        <f>AVERAGE(E698:E702,E704:E708,E710:E714,E716:E720,E722:E726)</f>
        <v>3.9440400000000007</v>
      </c>
      <c r="F729" s="349">
        <f t="shared" ref="F729:K729" si="204">AVERAGE(F698:F702,F704:F708,F710:F714,F716:F720,F722:F726)</f>
        <v>4.5939599999999992</v>
      </c>
      <c r="G729" s="349">
        <f t="shared" si="204"/>
        <v>3.6589937600000009</v>
      </c>
      <c r="H729" s="349">
        <f t="shared" si="204"/>
        <v>5.7228285999999988</v>
      </c>
      <c r="I729" s="350">
        <f t="shared" si="204"/>
        <v>0.13869599999999999</v>
      </c>
      <c r="J729" s="350">
        <f t="shared" si="204"/>
        <v>9.9260000000000001E-2</v>
      </c>
      <c r="K729" s="351">
        <f t="shared" si="204"/>
        <v>46.283364760000005</v>
      </c>
      <c r="L729" s="321"/>
      <c r="M729" s="399"/>
    </row>
    <row r="730" spans="2:13">
      <c r="B730" s="335"/>
      <c r="C730" s="320"/>
      <c r="D730" s="299" t="s">
        <v>199</v>
      </c>
      <c r="E730" s="349">
        <f>MAX(E698:E702,E704:E708,E710:E714,E716:E720,E722:E726)</f>
        <v>3.9630000000000001</v>
      </c>
      <c r="F730" s="349">
        <f t="shared" ref="F730:K730" si="205">MAX(F698:F702,F704:F708,F710:F714,F716:F720,F722:F726)</f>
        <v>4.7640000000000002</v>
      </c>
      <c r="G730" s="349">
        <f t="shared" si="205"/>
        <v>3.7861210000000001</v>
      </c>
      <c r="H730" s="349">
        <f t="shared" si="205"/>
        <v>5.9386349999999997</v>
      </c>
      <c r="I730" s="350">
        <f t="shared" si="205"/>
        <v>0.1391</v>
      </c>
      <c r="J730" s="350">
        <f t="shared" si="205"/>
        <v>9.98E-2</v>
      </c>
      <c r="K730" s="351">
        <f t="shared" si="205"/>
        <v>47.879396999999997</v>
      </c>
      <c r="L730" s="321"/>
      <c r="M730" s="399"/>
    </row>
    <row r="731" spans="2:13">
      <c r="B731" s="335"/>
      <c r="C731" s="320"/>
      <c r="D731" s="299" t="s">
        <v>200</v>
      </c>
      <c r="E731" s="349">
        <f>MIN(E698:E702,E704:E708,E710:E714,E716:E720,E722:E726)</f>
        <v>3.9220000000000002</v>
      </c>
      <c r="F731" s="349">
        <f t="shared" ref="F731:K731" si="206">MIN(F698:F702,F704:F708,F710:F714,F716:F720,F722:F726)</f>
        <v>4.3970000000000002</v>
      </c>
      <c r="G731" s="349">
        <f t="shared" si="206"/>
        <v>3.499765</v>
      </c>
      <c r="H731" s="349">
        <f t="shared" si="206"/>
        <v>5.4706539999999997</v>
      </c>
      <c r="I731" s="350">
        <f t="shared" si="206"/>
        <v>0.13830000000000001</v>
      </c>
      <c r="J731" s="350">
        <f t="shared" si="206"/>
        <v>9.8699999999999996E-2</v>
      </c>
      <c r="K731" s="351">
        <f t="shared" si="206"/>
        <v>44.364919</v>
      </c>
      <c r="L731" s="321"/>
      <c r="M731" s="399"/>
    </row>
    <row r="732" spans="2:13">
      <c r="B732" s="335"/>
      <c r="C732" s="320"/>
      <c r="D732" s="299" t="s">
        <v>201</v>
      </c>
      <c r="E732" s="349">
        <f>E730-E731</f>
        <v>4.0999999999999925E-2</v>
      </c>
      <c r="F732" s="349">
        <f t="shared" ref="F732:K732" si="207">F730-F731</f>
        <v>0.36699999999999999</v>
      </c>
      <c r="G732" s="349">
        <f t="shared" si="207"/>
        <v>0.28635600000000005</v>
      </c>
      <c r="H732" s="349">
        <f t="shared" si="207"/>
        <v>0.46798099999999998</v>
      </c>
      <c r="I732" s="350">
        <f t="shared" si="207"/>
        <v>7.9999999999999516E-4</v>
      </c>
      <c r="J732" s="350">
        <f t="shared" si="207"/>
        <v>1.1000000000000038E-3</v>
      </c>
      <c r="K732" s="349">
        <f t="shared" si="207"/>
        <v>3.5144779999999969</v>
      </c>
      <c r="L732" s="321"/>
      <c r="M732" s="399"/>
    </row>
    <row r="733" spans="2:13" ht="17.25" thickBot="1">
      <c r="B733" s="336"/>
      <c r="C733" s="323"/>
      <c r="D733" s="293" t="s">
        <v>202</v>
      </c>
      <c r="E733" s="352">
        <f>STDEVA(E698:E702,E704:E708,E710:E714,E716:E720,E722:E726)</f>
        <v>1.3427211177307087E-2</v>
      </c>
      <c r="F733" s="352">
        <f t="shared" ref="F733:K733" si="208">STDEVA(F698:F702,F704:F708,F710:F714,F716:F720,F722:F726)</f>
        <v>0.14049332131220085</v>
      </c>
      <c r="G733" s="352">
        <f t="shared" si="208"/>
        <v>0.10110812960154757</v>
      </c>
      <c r="H733" s="352">
        <f t="shared" si="208"/>
        <v>0.17908204134511455</v>
      </c>
      <c r="I733" s="353">
        <f t="shared" si="208"/>
        <v>1.9891371663780847E-4</v>
      </c>
      <c r="J733" s="353">
        <f t="shared" si="208"/>
        <v>2.8431203515386652E-4</v>
      </c>
      <c r="K733" s="352">
        <f t="shared" si="208"/>
        <v>1.4515843137798401</v>
      </c>
      <c r="L733" s="324"/>
      <c r="M733" s="399"/>
    </row>
    <row r="735" spans="2:13">
      <c r="B735" s="240" t="s">
        <v>490</v>
      </c>
      <c r="C735" s="240"/>
      <c r="E735" s="240"/>
      <c r="F735" s="240"/>
      <c r="G735" s="240"/>
      <c r="H735" s="240"/>
      <c r="I735" s="240"/>
      <c r="J735" s="240"/>
      <c r="K735" s="240"/>
    </row>
    <row r="736" spans="2:13" ht="17.25" thickBot="1">
      <c r="B736" s="240" t="s">
        <v>469</v>
      </c>
      <c r="C736" s="240"/>
      <c r="E736" s="240"/>
      <c r="F736" s="240"/>
      <c r="G736" s="240"/>
      <c r="H736" s="240"/>
      <c r="I736" s="240"/>
      <c r="J736" s="240"/>
      <c r="K736" s="240"/>
    </row>
    <row r="737" spans="2:13" ht="17.25" thickBot="1">
      <c r="B737" s="313" t="s">
        <v>11</v>
      </c>
      <c r="C737" s="250" t="s">
        <v>0</v>
      </c>
      <c r="D737" s="250" t="s">
        <v>1</v>
      </c>
      <c r="E737" s="250" t="s">
        <v>2</v>
      </c>
      <c r="F737" s="250" t="s">
        <v>3</v>
      </c>
      <c r="G737" s="250" t="s">
        <v>192</v>
      </c>
      <c r="H737" s="250" t="s">
        <v>16</v>
      </c>
      <c r="I737" s="250" t="s">
        <v>6</v>
      </c>
      <c r="J737" s="251" t="s">
        <v>7</v>
      </c>
      <c r="K737" s="252" t="s">
        <v>8</v>
      </c>
      <c r="L737" s="254" t="s">
        <v>470</v>
      </c>
      <c r="M737" s="404"/>
    </row>
    <row r="738" spans="2:13">
      <c r="B738" s="314">
        <v>1</v>
      </c>
      <c r="C738" s="271" t="s">
        <v>304</v>
      </c>
      <c r="D738" s="291" t="s">
        <v>213</v>
      </c>
      <c r="E738" s="307">
        <v>4.0179999999999998</v>
      </c>
      <c r="F738" s="307">
        <v>4.5430000000000001</v>
      </c>
      <c r="G738" s="272">
        <v>3.552076</v>
      </c>
      <c r="H738" s="307">
        <v>5.6746869999999996</v>
      </c>
      <c r="I738" s="273">
        <v>0.13819999999999999</v>
      </c>
      <c r="J738" s="273">
        <v>9.9400000000000002E-2</v>
      </c>
      <c r="K738" s="272">
        <v>45.704225000000001</v>
      </c>
      <c r="L738" s="275"/>
      <c r="M738" s="397"/>
    </row>
    <row r="739" spans="2:13">
      <c r="B739" s="315">
        <v>2</v>
      </c>
      <c r="C739" s="316"/>
      <c r="D739" s="299" t="s">
        <v>214</v>
      </c>
      <c r="E739" s="309">
        <v>4.0229999999999997</v>
      </c>
      <c r="F739" s="309">
        <v>4.5529999999999999</v>
      </c>
      <c r="G739" s="317">
        <v>3.5554709999999998</v>
      </c>
      <c r="H739" s="309">
        <v>5.6687669999999999</v>
      </c>
      <c r="I739" s="318">
        <v>0.13819999999999999</v>
      </c>
      <c r="J739" s="318">
        <v>9.9699999999999997E-2</v>
      </c>
      <c r="K739" s="317">
        <v>45.667000999999999</v>
      </c>
      <c r="L739" s="319"/>
      <c r="M739" s="398"/>
    </row>
    <row r="740" spans="2:13">
      <c r="B740" s="315">
        <v>3</v>
      </c>
      <c r="C740" s="320"/>
      <c r="D740" s="299" t="s">
        <v>217</v>
      </c>
      <c r="E740" s="309">
        <v>4.024</v>
      </c>
      <c r="F740" s="309">
        <v>4.5679999999999996</v>
      </c>
      <c r="G740" s="317">
        <v>3.5662980000000002</v>
      </c>
      <c r="H740" s="309">
        <v>5.6811619999999996</v>
      </c>
      <c r="I740" s="318">
        <v>0.13789999999999999</v>
      </c>
      <c r="J740" s="318">
        <v>9.9900000000000003E-2</v>
      </c>
      <c r="K740" s="317">
        <v>45.725726000000002</v>
      </c>
      <c r="L740" s="356"/>
      <c r="M740" s="400"/>
    </row>
    <row r="741" spans="2:13">
      <c r="B741" s="315">
        <v>4</v>
      </c>
      <c r="C741" s="320"/>
      <c r="D741" s="299" t="s">
        <v>218</v>
      </c>
      <c r="E741" s="309">
        <v>4.0250000000000004</v>
      </c>
      <c r="F741" s="309">
        <v>4.4829999999999997</v>
      </c>
      <c r="G741" s="317">
        <v>3.4990679999999998</v>
      </c>
      <c r="H741" s="309">
        <v>5.5641980000000002</v>
      </c>
      <c r="I741" s="318">
        <v>0.13789999999999999</v>
      </c>
      <c r="J741" s="318">
        <v>0.1002</v>
      </c>
      <c r="K741" s="317">
        <v>44.740518999999999</v>
      </c>
      <c r="L741" s="356"/>
      <c r="M741" s="400"/>
    </row>
    <row r="742" spans="2:13" ht="17.25" thickBot="1">
      <c r="B742" s="322">
        <v>5</v>
      </c>
      <c r="C742" s="323"/>
      <c r="D742" s="354" t="s">
        <v>240</v>
      </c>
      <c r="E742" s="311">
        <v>4.0229999999999997</v>
      </c>
      <c r="F742" s="311">
        <v>4.5250000000000004</v>
      </c>
      <c r="G742" s="278">
        <v>3.5336050000000001</v>
      </c>
      <c r="H742" s="311">
        <v>5.6282569999999996</v>
      </c>
      <c r="I742" s="279">
        <v>0.13789999999999999</v>
      </c>
      <c r="J742" s="279">
        <v>9.9900000000000003E-2</v>
      </c>
      <c r="K742" s="278">
        <v>45.295295000000003</v>
      </c>
      <c r="L742" s="324"/>
      <c r="M742" s="399"/>
    </row>
    <row r="743" spans="2:13" ht="17.25" thickBot="1">
      <c r="B743" s="325"/>
      <c r="C743" s="326"/>
      <c r="D743" s="327" t="s">
        <v>463</v>
      </c>
      <c r="E743" s="328">
        <f>AVERAGE(E738:E742)</f>
        <v>4.0226000000000006</v>
      </c>
      <c r="F743" s="328">
        <f t="shared" ref="F743:K743" si="209">AVERAGE(F738:F742)</f>
        <v>4.5343999999999998</v>
      </c>
      <c r="G743" s="328">
        <f t="shared" si="209"/>
        <v>3.5413036</v>
      </c>
      <c r="H743" s="328">
        <f t="shared" si="209"/>
        <v>5.6434141999999996</v>
      </c>
      <c r="I743" s="329">
        <f t="shared" si="209"/>
        <v>0.13802</v>
      </c>
      <c r="J743" s="329">
        <f t="shared" si="209"/>
        <v>9.9819999999999992E-2</v>
      </c>
      <c r="K743" s="330">
        <f t="shared" si="209"/>
        <v>45.426553200000008</v>
      </c>
      <c r="L743" s="331"/>
      <c r="M743" s="399"/>
    </row>
    <row r="744" spans="2:13">
      <c r="B744" s="314">
        <v>6</v>
      </c>
      <c r="C744" s="271" t="s">
        <v>305</v>
      </c>
      <c r="D744" s="291" t="s">
        <v>241</v>
      </c>
      <c r="E744" s="307">
        <v>4.0229999999999997</v>
      </c>
      <c r="F744" s="307">
        <v>4.5410000000000004</v>
      </c>
      <c r="G744" s="272">
        <v>3.5461</v>
      </c>
      <c r="H744" s="307">
        <v>5.6685780000000001</v>
      </c>
      <c r="I744" s="273">
        <v>0.13819999999999999</v>
      </c>
      <c r="J744" s="273">
        <v>9.9500000000000005E-2</v>
      </c>
      <c r="K744" s="272">
        <v>45.638190999999999</v>
      </c>
      <c r="L744" s="332"/>
      <c r="M744" s="399"/>
    </row>
    <row r="745" spans="2:13">
      <c r="B745" s="315">
        <v>7</v>
      </c>
      <c r="C745" s="320"/>
      <c r="D745" s="299" t="s">
        <v>242</v>
      </c>
      <c r="E745" s="309">
        <v>4.0309999999999997</v>
      </c>
      <c r="F745" s="309">
        <v>4.5449999999999999</v>
      </c>
      <c r="G745" s="317">
        <v>3.5421800000000001</v>
      </c>
      <c r="H745" s="309">
        <v>5.6504909999999997</v>
      </c>
      <c r="I745" s="318">
        <v>0.1381</v>
      </c>
      <c r="J745" s="318">
        <v>9.98E-2</v>
      </c>
      <c r="K745" s="317">
        <v>45.541082000000003</v>
      </c>
      <c r="L745" s="321"/>
      <c r="M745" s="399"/>
    </row>
    <row r="746" spans="2:13">
      <c r="B746" s="315">
        <v>8</v>
      </c>
      <c r="C746" s="320"/>
      <c r="D746" s="299" t="s">
        <v>222</v>
      </c>
      <c r="E746" s="309">
        <v>4.0330000000000004</v>
      </c>
      <c r="F746" s="309">
        <v>4.5650000000000004</v>
      </c>
      <c r="G746" s="317">
        <v>3.556003</v>
      </c>
      <c r="H746" s="309">
        <v>5.668717</v>
      </c>
      <c r="I746" s="318">
        <v>0.13789999999999999</v>
      </c>
      <c r="J746" s="318">
        <v>0.10009999999999999</v>
      </c>
      <c r="K746" s="317">
        <v>45.604396000000001</v>
      </c>
      <c r="L746" s="321"/>
      <c r="M746" s="399"/>
    </row>
    <row r="747" spans="2:13">
      <c r="B747" s="315">
        <v>9</v>
      </c>
      <c r="C747" s="320"/>
      <c r="D747" s="299" t="s">
        <v>223</v>
      </c>
      <c r="E747" s="309">
        <v>4.0309999999999997</v>
      </c>
      <c r="F747" s="309">
        <v>4.5780000000000003</v>
      </c>
      <c r="G747" s="317">
        <v>3.5678990000000002</v>
      </c>
      <c r="H747" s="309">
        <v>5.69855</v>
      </c>
      <c r="I747" s="318">
        <v>0.13780000000000001</v>
      </c>
      <c r="J747" s="318">
        <v>0.1002</v>
      </c>
      <c r="K747" s="317">
        <v>45.688623</v>
      </c>
      <c r="L747" s="321"/>
      <c r="M747" s="399"/>
    </row>
    <row r="748" spans="2:13" ht="17.25" thickBot="1">
      <c r="B748" s="322">
        <v>10</v>
      </c>
      <c r="C748" s="323"/>
      <c r="D748" s="293" t="s">
        <v>243</v>
      </c>
      <c r="E748" s="311">
        <v>4.024</v>
      </c>
      <c r="F748" s="311">
        <v>4.548</v>
      </c>
      <c r="G748" s="278">
        <v>3.550684</v>
      </c>
      <c r="H748" s="311">
        <v>5.6564059999999996</v>
      </c>
      <c r="I748" s="279">
        <v>0.13789999999999999</v>
      </c>
      <c r="J748" s="279">
        <v>0.1</v>
      </c>
      <c r="K748" s="278">
        <v>45.48</v>
      </c>
      <c r="L748" s="324"/>
      <c r="M748" s="399"/>
    </row>
    <row r="749" spans="2:13" ht="17.25" thickBot="1">
      <c r="B749" s="325" t="s">
        <v>464</v>
      </c>
      <c r="C749" s="326"/>
      <c r="D749" s="327" t="s">
        <v>463</v>
      </c>
      <c r="E749" s="328">
        <f t="shared" ref="E749" si="210">AVERAGE(E744:E748)</f>
        <v>4.0283999999999995</v>
      </c>
      <c r="F749" s="328">
        <f t="shared" ref="F749" si="211">AVERAGE(F744:F748)</f>
        <v>4.5554000000000006</v>
      </c>
      <c r="G749" s="328">
        <f t="shared" ref="G749" si="212">AVERAGE(G744:G748)</f>
        <v>3.5525731999999999</v>
      </c>
      <c r="H749" s="328">
        <f t="shared" ref="H749" si="213">AVERAGE(H744:H748)</f>
        <v>5.6685484000000006</v>
      </c>
      <c r="I749" s="329">
        <f t="shared" ref="I749" si="214">AVERAGE(I744:I748)</f>
        <v>0.13798000000000002</v>
      </c>
      <c r="J749" s="329">
        <f t="shared" ref="J749" si="215">AVERAGE(J744:J748)</f>
        <v>9.9920000000000009E-2</v>
      </c>
      <c r="K749" s="330">
        <f t="shared" ref="K749" si="216">AVERAGE(K744:K748)</f>
        <v>45.590458400000003</v>
      </c>
      <c r="L749" s="331"/>
      <c r="M749" s="399"/>
    </row>
    <row r="750" spans="2:13">
      <c r="B750" s="333">
        <v>11</v>
      </c>
      <c r="C750" s="334" t="s">
        <v>296</v>
      </c>
      <c r="D750" s="291" t="s">
        <v>244</v>
      </c>
      <c r="E750" s="307">
        <v>3.99</v>
      </c>
      <c r="F750" s="307">
        <v>4.0449999999999999</v>
      </c>
      <c r="G750" s="272">
        <v>3.184895</v>
      </c>
      <c r="H750" s="307">
        <v>5.0399890000000003</v>
      </c>
      <c r="I750" s="273">
        <v>0.1391</v>
      </c>
      <c r="J750" s="273">
        <v>9.9400000000000002E-2</v>
      </c>
      <c r="K750" s="272">
        <v>40.694164999999998</v>
      </c>
      <c r="L750" s="332"/>
      <c r="M750" s="399"/>
    </row>
    <row r="751" spans="2:13">
      <c r="B751" s="335">
        <v>12</v>
      </c>
      <c r="C751" s="320"/>
      <c r="D751" s="299" t="s">
        <v>245</v>
      </c>
      <c r="E751" s="309">
        <v>3.9969999999999999</v>
      </c>
      <c r="F751" s="309">
        <v>4.133</v>
      </c>
      <c r="G751" s="317">
        <v>3.2484839999999999</v>
      </c>
      <c r="H751" s="309">
        <v>5.1397779999999997</v>
      </c>
      <c r="I751" s="318">
        <v>0.13900000000000001</v>
      </c>
      <c r="J751" s="318">
        <v>9.9500000000000005E-2</v>
      </c>
      <c r="K751" s="317">
        <v>41.537688000000003</v>
      </c>
      <c r="L751" s="321"/>
      <c r="M751" s="399"/>
    </row>
    <row r="752" spans="2:13">
      <c r="B752" s="335">
        <v>13</v>
      </c>
      <c r="C752" s="320"/>
      <c r="D752" s="299" t="s">
        <v>227</v>
      </c>
      <c r="E752" s="309">
        <v>3.9969999999999999</v>
      </c>
      <c r="F752" s="309">
        <v>4.1360000000000001</v>
      </c>
      <c r="G752" s="317">
        <v>3.250842</v>
      </c>
      <c r="H752" s="309">
        <v>5.1436840000000004</v>
      </c>
      <c r="I752" s="318">
        <v>0.13880000000000001</v>
      </c>
      <c r="J752" s="318">
        <v>9.9599999999999994E-2</v>
      </c>
      <c r="K752" s="317">
        <v>41.526103999999997</v>
      </c>
      <c r="L752" s="321"/>
      <c r="M752" s="399"/>
    </row>
    <row r="753" spans="2:13">
      <c r="B753" s="335">
        <v>14</v>
      </c>
      <c r="C753" s="320"/>
      <c r="D753" s="299" t="s">
        <v>228</v>
      </c>
      <c r="E753" s="309">
        <v>3.9950000000000001</v>
      </c>
      <c r="F753" s="309">
        <v>4.1379999999999999</v>
      </c>
      <c r="G753" s="317">
        <v>3.2540420000000001</v>
      </c>
      <c r="H753" s="309">
        <v>5.1442920000000001</v>
      </c>
      <c r="I753" s="318">
        <v>0.13880000000000001</v>
      </c>
      <c r="J753" s="318">
        <v>9.9599999999999994E-2</v>
      </c>
      <c r="K753" s="317">
        <v>41.546185000000001</v>
      </c>
      <c r="L753" s="321"/>
      <c r="M753" s="399"/>
    </row>
    <row r="754" spans="2:13" ht="17.25" thickBot="1">
      <c r="B754" s="336">
        <v>15</v>
      </c>
      <c r="C754" s="323"/>
      <c r="D754" s="293" t="s">
        <v>246</v>
      </c>
      <c r="E754" s="311">
        <v>3.9870000000000001</v>
      </c>
      <c r="F754" s="311">
        <v>4.0979999999999999</v>
      </c>
      <c r="G754" s="278">
        <v>3.229053</v>
      </c>
      <c r="H754" s="311">
        <v>5.0932250000000003</v>
      </c>
      <c r="I754" s="279">
        <v>0.1389</v>
      </c>
      <c r="J754" s="279">
        <v>9.9400000000000002E-2</v>
      </c>
      <c r="K754" s="278">
        <v>41.227364000000001</v>
      </c>
      <c r="L754" s="324"/>
      <c r="M754" s="399"/>
    </row>
    <row r="755" spans="2:13" ht="17.25" thickBot="1">
      <c r="B755" s="337"/>
      <c r="C755" s="326"/>
      <c r="D755" s="327" t="s">
        <v>463</v>
      </c>
      <c r="E755" s="328">
        <f>AVERAGE(E750:E754)</f>
        <v>3.9932000000000003</v>
      </c>
      <c r="F755" s="328">
        <f t="shared" ref="F755:K755" si="217">AVERAGE(F750:F754)</f>
        <v>4.1099999999999994</v>
      </c>
      <c r="G755" s="328">
        <f t="shared" si="217"/>
        <v>3.2334632000000001</v>
      </c>
      <c r="H755" s="328">
        <f t="shared" si="217"/>
        <v>5.1121935999999994</v>
      </c>
      <c r="I755" s="329">
        <f t="shared" si="217"/>
        <v>0.13892000000000002</v>
      </c>
      <c r="J755" s="329">
        <f t="shared" si="217"/>
        <v>9.9500000000000005E-2</v>
      </c>
      <c r="K755" s="330">
        <f t="shared" si="217"/>
        <v>41.3063012</v>
      </c>
      <c r="L755" s="331"/>
      <c r="M755" s="399"/>
    </row>
    <row r="756" spans="2:13">
      <c r="B756" s="333">
        <v>16</v>
      </c>
      <c r="C756" s="271" t="s">
        <v>307</v>
      </c>
      <c r="D756" s="291" t="s">
        <v>247</v>
      </c>
      <c r="E756" s="307">
        <v>3.9820000000000002</v>
      </c>
      <c r="F756" s="307">
        <v>3.9860000000000002</v>
      </c>
      <c r="G756" s="272">
        <v>3.144746</v>
      </c>
      <c r="H756" s="307">
        <v>4.961271</v>
      </c>
      <c r="I756" s="273">
        <v>0.1391</v>
      </c>
      <c r="J756" s="273">
        <v>9.9400000000000002E-2</v>
      </c>
      <c r="K756" s="272">
        <v>40.100603999999997</v>
      </c>
      <c r="L756" s="359"/>
      <c r="M756" s="401"/>
    </row>
    <row r="757" spans="2:13">
      <c r="B757" s="335">
        <v>17</v>
      </c>
      <c r="C757" s="320"/>
      <c r="D757" s="299" t="s">
        <v>248</v>
      </c>
      <c r="E757" s="309">
        <v>3.9889999999999999</v>
      </c>
      <c r="F757" s="309">
        <v>3.8919999999999999</v>
      </c>
      <c r="G757" s="317">
        <v>3.0651959999999998</v>
      </c>
      <c r="H757" s="309">
        <v>4.8253940000000002</v>
      </c>
      <c r="I757" s="318">
        <v>0.13900000000000001</v>
      </c>
      <c r="J757" s="318">
        <v>9.9699999999999997E-2</v>
      </c>
      <c r="K757" s="317">
        <v>39.037111000000003</v>
      </c>
      <c r="L757" s="321"/>
      <c r="M757" s="399"/>
    </row>
    <row r="758" spans="2:13">
      <c r="B758" s="335">
        <v>18</v>
      </c>
      <c r="C758" s="320"/>
      <c r="D758" s="299" t="s">
        <v>232</v>
      </c>
      <c r="E758" s="309">
        <v>3.99</v>
      </c>
      <c r="F758" s="309">
        <v>4.0119999999999996</v>
      </c>
      <c r="G758" s="317">
        <v>3.1589119999999999</v>
      </c>
      <c r="H758" s="309">
        <v>4.9869820000000002</v>
      </c>
      <c r="I758" s="318">
        <v>0.13900000000000001</v>
      </c>
      <c r="J758" s="318">
        <v>9.9699999999999997E-2</v>
      </c>
      <c r="K758" s="317">
        <v>40.240721999999998</v>
      </c>
      <c r="L758" s="321"/>
      <c r="M758" s="399"/>
    </row>
    <row r="759" spans="2:13">
      <c r="B759" s="335">
        <v>19</v>
      </c>
      <c r="C759" s="320"/>
      <c r="D759" s="299" t="s">
        <v>233</v>
      </c>
      <c r="E759" s="309">
        <v>3.988</v>
      </c>
      <c r="F759" s="309">
        <v>4.0229999999999997</v>
      </c>
      <c r="G759" s="317">
        <v>3.169162</v>
      </c>
      <c r="H759" s="309">
        <v>5.0049570000000001</v>
      </c>
      <c r="I759" s="318">
        <v>0.1389</v>
      </c>
      <c r="J759" s="318">
        <v>9.9699999999999997E-2</v>
      </c>
      <c r="K759" s="317">
        <v>40.351053</v>
      </c>
      <c r="L759" s="321"/>
      <c r="M759" s="399"/>
    </row>
    <row r="760" spans="2:13" ht="17.25" thickBot="1">
      <c r="B760" s="336">
        <v>20</v>
      </c>
      <c r="C760" s="323"/>
      <c r="D760" s="293" t="s">
        <v>249</v>
      </c>
      <c r="E760" s="311">
        <v>3.9849999999999999</v>
      </c>
      <c r="F760" s="311">
        <v>3.9870000000000001</v>
      </c>
      <c r="G760" s="278">
        <v>3.143167</v>
      </c>
      <c r="H760" s="311">
        <v>4.9533009999999997</v>
      </c>
      <c r="I760" s="279">
        <v>0.1389</v>
      </c>
      <c r="J760" s="279">
        <v>9.9599999999999994E-2</v>
      </c>
      <c r="K760" s="278">
        <v>40.030119999999997</v>
      </c>
      <c r="L760" s="324"/>
      <c r="M760" s="399"/>
    </row>
    <row r="761" spans="2:13" ht="17.25" thickBot="1">
      <c r="B761" s="337"/>
      <c r="C761" s="326"/>
      <c r="D761" s="327" t="s">
        <v>463</v>
      </c>
      <c r="E761" s="328">
        <f>AVERAGE(E756:E760)</f>
        <v>3.9868000000000001</v>
      </c>
      <c r="F761" s="328">
        <f t="shared" ref="F761:K761" si="218">AVERAGE(F756:F760)</f>
        <v>3.9799999999999995</v>
      </c>
      <c r="G761" s="328">
        <f t="shared" si="218"/>
        <v>3.1362365999999997</v>
      </c>
      <c r="H761" s="328">
        <f t="shared" si="218"/>
        <v>4.9463810000000006</v>
      </c>
      <c r="I761" s="329">
        <f t="shared" si="218"/>
        <v>0.13898000000000002</v>
      </c>
      <c r="J761" s="329">
        <f t="shared" si="218"/>
        <v>9.962E-2</v>
      </c>
      <c r="K761" s="328">
        <f t="shared" si="218"/>
        <v>39.951922000000003</v>
      </c>
      <c r="L761" s="331"/>
      <c r="M761" s="399"/>
    </row>
    <row r="762" spans="2:13">
      <c r="B762" s="333">
        <v>21</v>
      </c>
      <c r="C762" s="271" t="s">
        <v>307</v>
      </c>
      <c r="D762" s="291" t="s">
        <v>250</v>
      </c>
      <c r="E762" s="307">
        <v>3.9710000000000001</v>
      </c>
      <c r="F762" s="307">
        <v>3.9039999999999999</v>
      </c>
      <c r="G762" s="272">
        <v>3.088584</v>
      </c>
      <c r="H762" s="307">
        <v>4.8467260000000003</v>
      </c>
      <c r="I762" s="273">
        <v>0.1394</v>
      </c>
      <c r="J762" s="273">
        <v>9.9500000000000005E-2</v>
      </c>
      <c r="K762" s="272">
        <v>39.236181000000002</v>
      </c>
      <c r="L762" s="332"/>
      <c r="M762" s="399"/>
    </row>
    <row r="763" spans="2:13">
      <c r="B763" s="335">
        <v>22</v>
      </c>
      <c r="C763" s="320"/>
      <c r="D763" s="299" t="s">
        <v>251</v>
      </c>
      <c r="E763" s="309">
        <v>3.9780000000000002</v>
      </c>
      <c r="F763" s="309">
        <v>3.9319999999999999</v>
      </c>
      <c r="G763" s="317">
        <v>3.1052620000000002</v>
      </c>
      <c r="H763" s="309">
        <v>4.8709470000000001</v>
      </c>
      <c r="I763" s="318">
        <v>0.13930000000000001</v>
      </c>
      <c r="J763" s="318">
        <v>9.9599999999999994E-2</v>
      </c>
      <c r="K763" s="317">
        <v>39.477912000000003</v>
      </c>
      <c r="L763" s="321"/>
      <c r="M763" s="399"/>
    </row>
    <row r="764" spans="2:13">
      <c r="B764" s="335">
        <v>23</v>
      </c>
      <c r="C764" s="320"/>
      <c r="D764" s="299" t="s">
        <v>237</v>
      </c>
      <c r="E764" s="309">
        <v>3.9790000000000001</v>
      </c>
      <c r="F764" s="309">
        <v>3.9569999999999999</v>
      </c>
      <c r="G764" s="317">
        <v>3.1242200000000002</v>
      </c>
      <c r="H764" s="309">
        <v>4.9164649999999996</v>
      </c>
      <c r="I764" s="318">
        <v>0.1391</v>
      </c>
      <c r="J764" s="318">
        <v>9.9599999999999994E-2</v>
      </c>
      <c r="K764" s="317">
        <v>39.728915999999998</v>
      </c>
      <c r="L764" s="321"/>
      <c r="M764" s="399"/>
    </row>
    <row r="765" spans="2:13">
      <c r="B765" s="335">
        <v>24</v>
      </c>
      <c r="C765" s="320"/>
      <c r="D765" s="299" t="s">
        <v>238</v>
      </c>
      <c r="E765" s="309">
        <v>3.98</v>
      </c>
      <c r="F765" s="309">
        <v>3.9750000000000001</v>
      </c>
      <c r="G765" s="317">
        <v>3.1376430000000002</v>
      </c>
      <c r="H765" s="309">
        <v>4.9352239999999998</v>
      </c>
      <c r="I765" s="318">
        <v>0.1391</v>
      </c>
      <c r="J765" s="318">
        <v>9.9599999999999994E-2</v>
      </c>
      <c r="K765" s="317">
        <v>39.909638999999999</v>
      </c>
      <c r="L765" s="321"/>
      <c r="M765" s="399"/>
    </row>
    <row r="766" spans="2:13" ht="17.25" thickBot="1">
      <c r="B766" s="336">
        <v>25</v>
      </c>
      <c r="C766" s="323"/>
      <c r="D766" s="293" t="s">
        <v>252</v>
      </c>
      <c r="E766" s="311">
        <v>3.9750000000000001</v>
      </c>
      <c r="F766" s="311">
        <v>3.9289999999999998</v>
      </c>
      <c r="G766" s="278">
        <v>3.1052339999999998</v>
      </c>
      <c r="H766" s="311">
        <v>4.8898599999999997</v>
      </c>
      <c r="I766" s="279">
        <v>0.1391</v>
      </c>
      <c r="J766" s="279">
        <v>9.9500000000000005E-2</v>
      </c>
      <c r="K766" s="278">
        <v>39.487437</v>
      </c>
      <c r="L766" s="324"/>
      <c r="M766" s="399"/>
    </row>
    <row r="767" spans="2:13" ht="17.25" thickBot="1">
      <c r="B767" s="339" t="s">
        <v>464</v>
      </c>
      <c r="C767" s="340"/>
      <c r="D767" s="341" t="s">
        <v>465</v>
      </c>
      <c r="E767" s="342">
        <f>AVERAGE(E762:E766)</f>
        <v>3.9766000000000004</v>
      </c>
      <c r="F767" s="342">
        <f t="shared" ref="F767:K767" si="219">AVERAGE(F762:F766)</f>
        <v>3.9394</v>
      </c>
      <c r="G767" s="342">
        <f t="shared" si="219"/>
        <v>3.1121886000000005</v>
      </c>
      <c r="H767" s="342">
        <f t="shared" si="219"/>
        <v>4.8918443999999992</v>
      </c>
      <c r="I767" s="343">
        <f t="shared" si="219"/>
        <v>0.13919999999999999</v>
      </c>
      <c r="J767" s="343">
        <f t="shared" si="219"/>
        <v>9.956000000000001E-2</v>
      </c>
      <c r="K767" s="342">
        <f t="shared" si="219"/>
        <v>39.568016999999998</v>
      </c>
      <c r="L767" s="344"/>
      <c r="M767" s="399"/>
    </row>
    <row r="768" spans="2:13">
      <c r="B768" s="333"/>
      <c r="C768" s="345"/>
      <c r="D768" s="291" t="s">
        <v>466</v>
      </c>
      <c r="E768" s="346">
        <f>MEDIAN(E738:E742,E744:E748,E750:E754,E756:E760,E762:E766)</f>
        <v>3.9950000000000001</v>
      </c>
      <c r="F768" s="346">
        <f t="shared" ref="F768:K768" si="220">MEDIAN(F738:F742,F744:F748,F750:F754,F756:F760,F762:F766)</f>
        <v>4.133</v>
      </c>
      <c r="G768" s="346">
        <f t="shared" si="220"/>
        <v>3.2484839999999999</v>
      </c>
      <c r="H768" s="346">
        <f t="shared" si="220"/>
        <v>5.1397779999999997</v>
      </c>
      <c r="I768" s="347">
        <f t="shared" si="220"/>
        <v>0.1389</v>
      </c>
      <c r="J768" s="347">
        <f t="shared" si="220"/>
        <v>9.9599999999999994E-2</v>
      </c>
      <c r="K768" s="348">
        <f t="shared" si="220"/>
        <v>41.526103999999997</v>
      </c>
      <c r="L768" s="332"/>
      <c r="M768" s="399"/>
    </row>
    <row r="769" spans="2:13">
      <c r="B769" s="335"/>
      <c r="C769" s="320"/>
      <c r="D769" s="299" t="s">
        <v>467</v>
      </c>
      <c r="E769" s="349">
        <f>AVERAGE(E738:E742,E744:E748,E750:E754,E756:E760,E762:E766)</f>
        <v>4.0015200000000002</v>
      </c>
      <c r="F769" s="349">
        <f t="shared" ref="F769:K769" si="221">AVERAGE(F738:F742,F744:F748,F750:F754,F756:F760,F762:F766)</f>
        <v>4.2238399999999992</v>
      </c>
      <c r="G769" s="349">
        <f t="shared" si="221"/>
        <v>3.3151530399999989</v>
      </c>
      <c r="H769" s="349">
        <f t="shared" si="221"/>
        <v>5.2524763200000004</v>
      </c>
      <c r="I769" s="350">
        <f t="shared" si="221"/>
        <v>0.13861999999999999</v>
      </c>
      <c r="J769" s="350">
        <f t="shared" si="221"/>
        <v>9.9683999999999967E-2</v>
      </c>
      <c r="K769" s="351">
        <f t="shared" si="221"/>
        <v>42.368650360000004</v>
      </c>
      <c r="L769" s="321"/>
      <c r="M769" s="399"/>
    </row>
    <row r="770" spans="2:13">
      <c r="B770" s="335"/>
      <c r="C770" s="320"/>
      <c r="D770" s="299" t="s">
        <v>199</v>
      </c>
      <c r="E770" s="349">
        <f>MAX(E738:E742,E744:E748,E750:E754,E756:E760,E762:E766)</f>
        <v>4.0330000000000004</v>
      </c>
      <c r="F770" s="349">
        <f t="shared" ref="F770:K770" si="222">MAX(F738:F742,F744:F748,F750:F754,F756:F760,F762:F766)</f>
        <v>4.5780000000000003</v>
      </c>
      <c r="G770" s="349">
        <f t="shared" si="222"/>
        <v>3.5678990000000002</v>
      </c>
      <c r="H770" s="349">
        <f t="shared" si="222"/>
        <v>5.69855</v>
      </c>
      <c r="I770" s="350">
        <f t="shared" si="222"/>
        <v>0.1394</v>
      </c>
      <c r="J770" s="350">
        <f t="shared" si="222"/>
        <v>0.1002</v>
      </c>
      <c r="K770" s="351">
        <f t="shared" si="222"/>
        <v>45.725726000000002</v>
      </c>
      <c r="L770" s="321"/>
      <c r="M770" s="399"/>
    </row>
    <row r="771" spans="2:13">
      <c r="B771" s="335"/>
      <c r="C771" s="320"/>
      <c r="D771" s="299" t="s">
        <v>200</v>
      </c>
      <c r="E771" s="349">
        <f>MIN(E738:E742,E744:E748,E750:E754,E756:E760,E762:E766)</f>
        <v>3.9710000000000001</v>
      </c>
      <c r="F771" s="349">
        <f t="shared" ref="F771:K771" si="223">MIN(F738:F742,F744:F748,F750:F754,F756:F760,F762:F766)</f>
        <v>3.8919999999999999</v>
      </c>
      <c r="G771" s="349">
        <f t="shared" si="223"/>
        <v>3.0651959999999998</v>
      </c>
      <c r="H771" s="349">
        <f t="shared" si="223"/>
        <v>4.8253940000000002</v>
      </c>
      <c r="I771" s="350">
        <f t="shared" si="223"/>
        <v>0.13780000000000001</v>
      </c>
      <c r="J771" s="350">
        <f t="shared" si="223"/>
        <v>9.9400000000000002E-2</v>
      </c>
      <c r="K771" s="351">
        <f t="shared" si="223"/>
        <v>39.037111000000003</v>
      </c>
      <c r="L771" s="321"/>
      <c r="M771" s="399"/>
    </row>
    <row r="772" spans="2:13">
      <c r="B772" s="335"/>
      <c r="C772" s="320"/>
      <c r="D772" s="299" t="s">
        <v>201</v>
      </c>
      <c r="E772" s="349">
        <f>E770-E771</f>
        <v>6.2000000000000277E-2</v>
      </c>
      <c r="F772" s="349">
        <f t="shared" ref="F772:K772" si="224">F770-F771</f>
        <v>0.68600000000000039</v>
      </c>
      <c r="G772" s="349">
        <f t="shared" si="224"/>
        <v>0.50270300000000034</v>
      </c>
      <c r="H772" s="349">
        <f t="shared" si="224"/>
        <v>0.87315599999999982</v>
      </c>
      <c r="I772" s="350">
        <f t="shared" si="224"/>
        <v>1.5999999999999903E-3</v>
      </c>
      <c r="J772" s="350">
        <f t="shared" si="224"/>
        <v>7.9999999999999516E-4</v>
      </c>
      <c r="K772" s="349">
        <f t="shared" si="224"/>
        <v>6.6886149999999986</v>
      </c>
      <c r="L772" s="321"/>
      <c r="M772" s="399"/>
    </row>
    <row r="773" spans="2:13" ht="17.25" thickBot="1">
      <c r="B773" s="336"/>
      <c r="C773" s="323"/>
      <c r="D773" s="293" t="s">
        <v>202</v>
      </c>
      <c r="E773" s="352">
        <f>STDEVA(E738:E742,E744:E748,E750:E754,E756:E760,E762:E766)</f>
        <v>2.1073522091319481E-2</v>
      </c>
      <c r="F773" s="352">
        <f t="shared" ref="F773:K773" si="225">STDEVA(F738:F742,F744:F748,F750:F754,F756:F760,F762:F766)</f>
        <v>0.27566747480736048</v>
      </c>
      <c r="G773" s="352">
        <f t="shared" si="225"/>
        <v>0.19913169008817591</v>
      </c>
      <c r="H773" s="352">
        <f t="shared" si="225"/>
        <v>0.34707819464864104</v>
      </c>
      <c r="I773" s="353">
        <f t="shared" si="225"/>
        <v>5.4083269131960192E-4</v>
      </c>
      <c r="J773" s="353">
        <f t="shared" si="225"/>
        <v>2.4269322199023101E-4</v>
      </c>
      <c r="K773" s="352">
        <f t="shared" si="225"/>
        <v>2.7031782327523111</v>
      </c>
      <c r="L773" s="324"/>
      <c r="M773" s="399"/>
    </row>
    <row r="775" spans="2:13">
      <c r="B775" s="240" t="s">
        <v>491</v>
      </c>
      <c r="C775" s="240"/>
      <c r="E775" s="240"/>
      <c r="F775" s="240"/>
      <c r="G775" s="240"/>
      <c r="H775" s="240"/>
      <c r="I775" s="240"/>
      <c r="J775" s="240"/>
      <c r="K775" s="240"/>
    </row>
    <row r="776" spans="2:13" ht="17.25" thickBot="1">
      <c r="B776" s="240" t="s">
        <v>469</v>
      </c>
      <c r="C776" s="240"/>
      <c r="E776" s="240"/>
      <c r="F776" s="240"/>
      <c r="G776" s="240"/>
      <c r="H776" s="240"/>
      <c r="I776" s="240"/>
      <c r="J776" s="240"/>
      <c r="K776" s="240"/>
    </row>
    <row r="777" spans="2:13" ht="17.25" thickBot="1">
      <c r="B777" s="313" t="s">
        <v>11</v>
      </c>
      <c r="C777" s="250" t="s">
        <v>0</v>
      </c>
      <c r="D777" s="250" t="s">
        <v>1</v>
      </c>
      <c r="E777" s="250" t="s">
        <v>2</v>
      </c>
      <c r="F777" s="250" t="s">
        <v>3</v>
      </c>
      <c r="G777" s="250" t="s">
        <v>192</v>
      </c>
      <c r="H777" s="250" t="s">
        <v>16</v>
      </c>
      <c r="I777" s="250" t="s">
        <v>6</v>
      </c>
      <c r="J777" s="251" t="s">
        <v>7</v>
      </c>
      <c r="K777" s="252" t="s">
        <v>8</v>
      </c>
      <c r="L777" s="254" t="s">
        <v>470</v>
      </c>
      <c r="M777" s="404"/>
    </row>
    <row r="778" spans="2:13">
      <c r="B778" s="314">
        <v>1</v>
      </c>
      <c r="C778" s="271" t="s">
        <v>304</v>
      </c>
      <c r="D778" s="291" t="s">
        <v>213</v>
      </c>
      <c r="E778" s="307">
        <v>3.8820000000000001</v>
      </c>
      <c r="F778" s="307">
        <v>4.45</v>
      </c>
      <c r="G778" s="272">
        <v>3.6012559999999998</v>
      </c>
      <c r="H778" s="307">
        <v>5.6062770000000004</v>
      </c>
      <c r="I778" s="273">
        <v>0.13880000000000001</v>
      </c>
      <c r="J778" s="273">
        <v>9.7900000000000001E-2</v>
      </c>
      <c r="K778" s="272">
        <v>45.454545000000003</v>
      </c>
      <c r="L778" s="275"/>
      <c r="M778" s="397"/>
    </row>
    <row r="779" spans="2:13">
      <c r="B779" s="315">
        <v>2</v>
      </c>
      <c r="C779" s="316"/>
      <c r="D779" s="299" t="s">
        <v>214</v>
      </c>
      <c r="E779" s="309">
        <v>3.8889999999999998</v>
      </c>
      <c r="F779" s="309">
        <v>4.4409999999999998</v>
      </c>
      <c r="G779" s="317">
        <v>3.587504</v>
      </c>
      <c r="H779" s="309">
        <v>5.6045170000000004</v>
      </c>
      <c r="I779" s="318">
        <v>0.13869999999999999</v>
      </c>
      <c r="J779" s="318">
        <v>9.7799999999999998E-2</v>
      </c>
      <c r="K779" s="317">
        <v>45.408997999999997</v>
      </c>
      <c r="L779" s="319"/>
      <c r="M779" s="398"/>
    </row>
    <row r="780" spans="2:13">
      <c r="B780" s="315">
        <v>3</v>
      </c>
      <c r="C780" s="320"/>
      <c r="D780" s="299" t="s">
        <v>217</v>
      </c>
      <c r="E780" s="309">
        <v>3.8969999999999998</v>
      </c>
      <c r="F780" s="309">
        <v>4.5490000000000004</v>
      </c>
      <c r="G780" s="317">
        <v>3.6672039999999999</v>
      </c>
      <c r="H780" s="309">
        <v>5.7403000000000004</v>
      </c>
      <c r="I780" s="318">
        <v>0.13869999999999999</v>
      </c>
      <c r="J780" s="318">
        <v>9.7600000000000006E-2</v>
      </c>
      <c r="K780" s="317">
        <v>46.608606999999999</v>
      </c>
      <c r="L780" s="356"/>
      <c r="M780" s="400"/>
    </row>
    <row r="781" spans="2:13">
      <c r="B781" s="315">
        <v>4</v>
      </c>
      <c r="C781" s="320"/>
      <c r="D781" s="299" t="s">
        <v>218</v>
      </c>
      <c r="E781" s="309">
        <v>3.895</v>
      </c>
      <c r="F781" s="309">
        <v>4.5250000000000004</v>
      </c>
      <c r="G781" s="317">
        <v>3.6497289999999998</v>
      </c>
      <c r="H781" s="309">
        <v>5.7273379999999996</v>
      </c>
      <c r="I781" s="318">
        <v>0.1386</v>
      </c>
      <c r="J781" s="318">
        <v>9.7600000000000006E-2</v>
      </c>
      <c r="K781" s="317">
        <v>46.362704999999998</v>
      </c>
      <c r="L781" s="356"/>
      <c r="M781" s="400"/>
    </row>
    <row r="782" spans="2:13" ht="17.25" thickBot="1">
      <c r="B782" s="322">
        <v>5</v>
      </c>
      <c r="C782" s="323"/>
      <c r="D782" s="354" t="s">
        <v>240</v>
      </c>
      <c r="E782" s="311">
        <v>3.891</v>
      </c>
      <c r="F782" s="311">
        <v>4.5140000000000002</v>
      </c>
      <c r="G782" s="278">
        <v>3.6446000000000001</v>
      </c>
      <c r="H782" s="311">
        <v>5.7181829999999998</v>
      </c>
      <c r="I782" s="279">
        <v>0.13819999999999999</v>
      </c>
      <c r="J782" s="279">
        <v>9.7500000000000003E-2</v>
      </c>
      <c r="K782" s="278">
        <v>46.297435999999998</v>
      </c>
      <c r="L782" s="324"/>
      <c r="M782" s="399"/>
    </row>
    <row r="783" spans="2:13" ht="17.25" thickBot="1">
      <c r="B783" s="325"/>
      <c r="C783" s="326"/>
      <c r="D783" s="327" t="s">
        <v>463</v>
      </c>
      <c r="E783" s="328">
        <f>AVERAGE(E778:E782)</f>
        <v>3.8908</v>
      </c>
      <c r="F783" s="328">
        <f t="shared" ref="F783:K783" si="226">AVERAGE(F778:F782)</f>
        <v>4.4958000000000009</v>
      </c>
      <c r="G783" s="328">
        <f t="shared" si="226"/>
        <v>3.6300586000000004</v>
      </c>
      <c r="H783" s="328">
        <f t="shared" si="226"/>
        <v>5.6793230000000001</v>
      </c>
      <c r="I783" s="329">
        <f t="shared" si="226"/>
        <v>0.1386</v>
      </c>
      <c r="J783" s="329">
        <f t="shared" si="226"/>
        <v>9.7680000000000017E-2</v>
      </c>
      <c r="K783" s="330">
        <f t="shared" si="226"/>
        <v>46.0264582</v>
      </c>
      <c r="L783" s="331"/>
      <c r="M783" s="399"/>
    </row>
    <row r="784" spans="2:13">
      <c r="B784" s="314">
        <v>6</v>
      </c>
      <c r="C784" s="271" t="s">
        <v>305</v>
      </c>
      <c r="D784" s="291" t="s">
        <v>241</v>
      </c>
      <c r="E784" s="307">
        <v>3.8879999999999999</v>
      </c>
      <c r="F784" s="307">
        <v>4.4850000000000003</v>
      </c>
      <c r="G784" s="272">
        <v>3.6239789999999998</v>
      </c>
      <c r="H784" s="307">
        <v>5.6457499999999996</v>
      </c>
      <c r="I784" s="273">
        <v>0.13869999999999999</v>
      </c>
      <c r="J784" s="273">
        <v>9.8000000000000004E-2</v>
      </c>
      <c r="K784" s="272">
        <v>45.765306000000002</v>
      </c>
      <c r="L784" s="332"/>
      <c r="M784" s="399"/>
    </row>
    <row r="785" spans="2:13">
      <c r="B785" s="315">
        <v>7</v>
      </c>
      <c r="C785" s="320"/>
      <c r="D785" s="299" t="s">
        <v>242</v>
      </c>
      <c r="E785" s="309">
        <v>3.8980000000000001</v>
      </c>
      <c r="F785" s="309">
        <v>4.5069999999999997</v>
      </c>
      <c r="G785" s="317">
        <v>3.6324130000000001</v>
      </c>
      <c r="H785" s="309">
        <v>5.6852539999999996</v>
      </c>
      <c r="I785" s="318">
        <v>0.1386</v>
      </c>
      <c r="J785" s="318">
        <v>9.7900000000000001E-2</v>
      </c>
      <c r="K785" s="317">
        <v>46.036771999999999</v>
      </c>
      <c r="L785" s="321"/>
      <c r="M785" s="399"/>
    </row>
    <row r="786" spans="2:13">
      <c r="B786" s="315">
        <v>8</v>
      </c>
      <c r="C786" s="320"/>
      <c r="D786" s="299" t="s">
        <v>222</v>
      </c>
      <c r="E786" s="309">
        <v>3.9009999999999998</v>
      </c>
      <c r="F786" s="309">
        <v>4.4720000000000004</v>
      </c>
      <c r="G786" s="317">
        <v>3.6014330000000001</v>
      </c>
      <c r="H786" s="309">
        <v>5.6516700000000002</v>
      </c>
      <c r="I786" s="318">
        <v>0.1386</v>
      </c>
      <c r="J786" s="318">
        <v>9.7799999999999998E-2</v>
      </c>
      <c r="K786" s="317">
        <v>45.725971000000001</v>
      </c>
      <c r="L786" s="321"/>
      <c r="M786" s="399"/>
    </row>
    <row r="787" spans="2:13">
      <c r="B787" s="315">
        <v>9</v>
      </c>
      <c r="C787" s="320"/>
      <c r="D787" s="299" t="s">
        <v>223</v>
      </c>
      <c r="E787" s="309">
        <v>3.903</v>
      </c>
      <c r="F787" s="309">
        <v>4.5940000000000003</v>
      </c>
      <c r="G787" s="317">
        <v>3.6977869999999999</v>
      </c>
      <c r="H787" s="309">
        <v>5.8129150000000003</v>
      </c>
      <c r="I787" s="318">
        <v>0.13850000000000001</v>
      </c>
      <c r="J787" s="318">
        <v>9.7600000000000006E-2</v>
      </c>
      <c r="K787" s="317">
        <v>47.069671999999997</v>
      </c>
      <c r="L787" s="321"/>
      <c r="M787" s="399"/>
    </row>
    <row r="788" spans="2:13" ht="17.25" thickBot="1">
      <c r="B788" s="322">
        <v>10</v>
      </c>
      <c r="C788" s="323"/>
      <c r="D788" s="293" t="s">
        <v>243</v>
      </c>
      <c r="E788" s="311">
        <v>3.9</v>
      </c>
      <c r="F788" s="311">
        <v>4.6440000000000001</v>
      </c>
      <c r="G788" s="278">
        <v>3.7409089999999998</v>
      </c>
      <c r="H788" s="311">
        <v>5.874784</v>
      </c>
      <c r="I788" s="279">
        <v>0.13819999999999999</v>
      </c>
      <c r="J788" s="279">
        <v>9.7600000000000006E-2</v>
      </c>
      <c r="K788" s="278">
        <v>47.581966999999999</v>
      </c>
      <c r="L788" s="324"/>
      <c r="M788" s="399"/>
    </row>
    <row r="789" spans="2:13" ht="17.25" thickBot="1">
      <c r="B789" s="325" t="s">
        <v>464</v>
      </c>
      <c r="C789" s="326"/>
      <c r="D789" s="327" t="s">
        <v>463</v>
      </c>
      <c r="E789" s="328">
        <f t="shared" ref="E789" si="227">AVERAGE(E784:E788)</f>
        <v>3.8979999999999997</v>
      </c>
      <c r="F789" s="328">
        <f t="shared" ref="F789" si="228">AVERAGE(F784:F788)</f>
        <v>4.5404000000000009</v>
      </c>
      <c r="G789" s="328">
        <f t="shared" ref="G789" si="229">AVERAGE(G784:G788)</f>
        <v>3.6593041999999998</v>
      </c>
      <c r="H789" s="328">
        <f t="shared" ref="H789" si="230">AVERAGE(H784:H788)</f>
        <v>5.7340745999999996</v>
      </c>
      <c r="I789" s="329">
        <f t="shared" ref="I789" si="231">AVERAGE(I784:I788)</f>
        <v>0.13852</v>
      </c>
      <c r="J789" s="329">
        <f t="shared" ref="J789" si="232">AVERAGE(J784:J788)</f>
        <v>9.7780000000000006E-2</v>
      </c>
      <c r="K789" s="330">
        <f t="shared" ref="K789" si="233">AVERAGE(K784:K788)</f>
        <v>46.435937600000003</v>
      </c>
      <c r="L789" s="331"/>
      <c r="M789" s="399"/>
    </row>
    <row r="790" spans="2:13">
      <c r="B790" s="333">
        <v>11</v>
      </c>
      <c r="C790" s="334" t="s">
        <v>296</v>
      </c>
      <c r="D790" s="291" t="s">
        <v>244</v>
      </c>
      <c r="E790" s="307">
        <v>3.8530000000000002</v>
      </c>
      <c r="F790" s="307">
        <v>3.7360000000000002</v>
      </c>
      <c r="G790" s="272">
        <v>3.0461930000000002</v>
      </c>
      <c r="H790" s="307">
        <v>4.6815410000000002</v>
      </c>
      <c r="I790" s="273">
        <v>0.13969999999999999</v>
      </c>
      <c r="J790" s="273">
        <v>9.8199999999999996E-2</v>
      </c>
      <c r="K790" s="272">
        <v>38.044806999999999</v>
      </c>
      <c r="L790" s="332"/>
      <c r="M790" s="399"/>
    </row>
    <row r="791" spans="2:13">
      <c r="B791" s="335">
        <v>12</v>
      </c>
      <c r="C791" s="320"/>
      <c r="D791" s="299" t="s">
        <v>245</v>
      </c>
      <c r="E791" s="309">
        <v>3.8580000000000001</v>
      </c>
      <c r="F791" s="309">
        <v>3.9049999999999998</v>
      </c>
      <c r="G791" s="317">
        <v>3.179862</v>
      </c>
      <c r="H791" s="309">
        <v>4.9043049999999999</v>
      </c>
      <c r="I791" s="318">
        <v>0.13969999999999999</v>
      </c>
      <c r="J791" s="318">
        <v>9.7900000000000001E-2</v>
      </c>
      <c r="K791" s="317">
        <v>39.887639999999998</v>
      </c>
      <c r="L791" s="321"/>
      <c r="M791" s="399"/>
    </row>
    <row r="792" spans="2:13">
      <c r="B792" s="335">
        <v>13</v>
      </c>
      <c r="C792" s="320"/>
      <c r="D792" s="299" t="s">
        <v>227</v>
      </c>
      <c r="E792" s="309">
        <v>3.859</v>
      </c>
      <c r="F792" s="309">
        <v>3.9660000000000002</v>
      </c>
      <c r="G792" s="317">
        <v>3.2286980000000001</v>
      </c>
      <c r="H792" s="309">
        <v>4.9860300000000004</v>
      </c>
      <c r="I792" s="318">
        <v>0.13969999999999999</v>
      </c>
      <c r="J792" s="318">
        <v>9.7799999999999998E-2</v>
      </c>
      <c r="K792" s="317">
        <v>40.552146999999998</v>
      </c>
      <c r="L792" s="321"/>
      <c r="M792" s="399"/>
    </row>
    <row r="793" spans="2:13">
      <c r="B793" s="335">
        <v>14</v>
      </c>
      <c r="C793" s="320"/>
      <c r="D793" s="299" t="s">
        <v>228</v>
      </c>
      <c r="E793" s="309">
        <v>3.8580000000000001</v>
      </c>
      <c r="F793" s="309">
        <v>3.9780000000000002</v>
      </c>
      <c r="G793" s="317">
        <v>3.2393070000000002</v>
      </c>
      <c r="H793" s="309">
        <v>5.0152580000000002</v>
      </c>
      <c r="I793" s="318">
        <v>0.13950000000000001</v>
      </c>
      <c r="J793" s="318">
        <v>9.74E-2</v>
      </c>
      <c r="K793" s="317">
        <v>40.841889000000002</v>
      </c>
      <c r="L793" s="321"/>
      <c r="M793" s="399"/>
    </row>
    <row r="794" spans="2:13" ht="17.25" thickBot="1">
      <c r="B794" s="336">
        <v>15</v>
      </c>
      <c r="C794" s="323"/>
      <c r="D794" s="293" t="s">
        <v>246</v>
      </c>
      <c r="E794" s="311">
        <v>3.8519999999999999</v>
      </c>
      <c r="F794" s="311">
        <v>3.972</v>
      </c>
      <c r="G794" s="278">
        <v>3.2394590000000001</v>
      </c>
      <c r="H794" s="311">
        <v>5.0302259999999999</v>
      </c>
      <c r="I794" s="279">
        <v>0.1394</v>
      </c>
      <c r="J794" s="279">
        <v>9.7199999999999995E-2</v>
      </c>
      <c r="K794" s="278">
        <v>40.864198000000002</v>
      </c>
      <c r="L794" s="324"/>
      <c r="M794" s="399"/>
    </row>
    <row r="795" spans="2:13" ht="17.25" thickBot="1">
      <c r="B795" s="337"/>
      <c r="C795" s="326"/>
      <c r="D795" s="327" t="s">
        <v>463</v>
      </c>
      <c r="E795" s="328">
        <f>AVERAGE(E790:E794)</f>
        <v>3.8560000000000003</v>
      </c>
      <c r="F795" s="328">
        <f t="shared" ref="F795:K795" si="234">AVERAGE(F790:F794)</f>
        <v>3.9113999999999995</v>
      </c>
      <c r="G795" s="328">
        <f t="shared" si="234"/>
        <v>3.1867038000000001</v>
      </c>
      <c r="H795" s="328">
        <f t="shared" si="234"/>
        <v>4.9234719999999994</v>
      </c>
      <c r="I795" s="329">
        <f t="shared" si="234"/>
        <v>0.1396</v>
      </c>
      <c r="J795" s="329">
        <f t="shared" si="234"/>
        <v>9.7699999999999995E-2</v>
      </c>
      <c r="K795" s="330">
        <f t="shared" si="234"/>
        <v>40.038136199999997</v>
      </c>
      <c r="L795" s="331"/>
      <c r="M795" s="399"/>
    </row>
    <row r="796" spans="2:13">
      <c r="B796" s="333">
        <v>16</v>
      </c>
      <c r="C796" s="271" t="s">
        <v>307</v>
      </c>
      <c r="D796" s="291" t="s">
        <v>247</v>
      </c>
      <c r="E796" s="307">
        <v>3.8530000000000002</v>
      </c>
      <c r="F796" s="307">
        <v>3.891</v>
      </c>
      <c r="G796" s="272">
        <v>3.172574</v>
      </c>
      <c r="H796" s="307">
        <v>4.8754929999999996</v>
      </c>
      <c r="I796" s="273">
        <v>0.13969999999999999</v>
      </c>
      <c r="J796" s="273">
        <v>9.8199999999999996E-2</v>
      </c>
      <c r="K796" s="272">
        <v>39.623218000000001</v>
      </c>
      <c r="L796" s="359"/>
      <c r="M796" s="401"/>
    </row>
    <row r="797" spans="2:13">
      <c r="B797" s="335">
        <v>17</v>
      </c>
      <c r="C797" s="320"/>
      <c r="D797" s="299" t="s">
        <v>248</v>
      </c>
      <c r="E797" s="309">
        <v>3.8559999999999999</v>
      </c>
      <c r="F797" s="309">
        <v>3.8969999999999998</v>
      </c>
      <c r="G797" s="317">
        <v>3.1749939999999999</v>
      </c>
      <c r="H797" s="309">
        <v>4.8954969999999998</v>
      </c>
      <c r="I797" s="318">
        <v>0.1396</v>
      </c>
      <c r="J797" s="318">
        <v>9.8100000000000007E-2</v>
      </c>
      <c r="K797" s="317">
        <v>39.724770999999997</v>
      </c>
      <c r="L797" s="321"/>
      <c r="M797" s="399"/>
    </row>
    <row r="798" spans="2:13">
      <c r="B798" s="335">
        <v>18</v>
      </c>
      <c r="C798" s="320"/>
      <c r="D798" s="299" t="s">
        <v>232</v>
      </c>
      <c r="E798" s="309">
        <v>3.8559999999999999</v>
      </c>
      <c r="F798" s="309">
        <v>3.907</v>
      </c>
      <c r="G798" s="317">
        <v>3.183141</v>
      </c>
      <c r="H798" s="309">
        <v>4.9074790000000004</v>
      </c>
      <c r="I798" s="318">
        <v>0.13969999999999999</v>
      </c>
      <c r="J798" s="318">
        <v>9.8000000000000004E-2</v>
      </c>
      <c r="K798" s="317">
        <v>39.867347000000002</v>
      </c>
      <c r="L798" s="321"/>
      <c r="M798" s="399"/>
    </row>
    <row r="799" spans="2:13">
      <c r="B799" s="335">
        <v>19</v>
      </c>
      <c r="C799" s="320"/>
      <c r="D799" s="299" t="s">
        <v>233</v>
      </c>
      <c r="E799" s="309">
        <v>3.8540000000000001</v>
      </c>
      <c r="F799" s="309">
        <v>3.9049999999999998</v>
      </c>
      <c r="G799" s="317">
        <v>3.183163</v>
      </c>
      <c r="H799" s="309">
        <v>4.9141519999999996</v>
      </c>
      <c r="I799" s="318">
        <v>0.1396</v>
      </c>
      <c r="J799" s="318">
        <v>9.7799999999999998E-2</v>
      </c>
      <c r="K799" s="317">
        <v>39.928424999999997</v>
      </c>
      <c r="L799" s="321"/>
      <c r="M799" s="399"/>
    </row>
    <row r="800" spans="2:13" ht="17.25" thickBot="1">
      <c r="B800" s="336">
        <v>20</v>
      </c>
      <c r="C800" s="323"/>
      <c r="D800" s="293" t="s">
        <v>249</v>
      </c>
      <c r="E800" s="311">
        <v>3.8479999999999999</v>
      </c>
      <c r="F800" s="311">
        <v>3.87</v>
      </c>
      <c r="G800" s="278">
        <v>3.159551</v>
      </c>
      <c r="H800" s="311">
        <v>4.8900449999999998</v>
      </c>
      <c r="I800" s="279">
        <v>0.13930000000000001</v>
      </c>
      <c r="J800" s="279">
        <v>9.74E-2</v>
      </c>
      <c r="K800" s="278">
        <v>39.733060000000002</v>
      </c>
      <c r="L800" s="324"/>
      <c r="M800" s="399"/>
    </row>
    <row r="801" spans="2:13" ht="17.25" thickBot="1">
      <c r="B801" s="337"/>
      <c r="C801" s="326"/>
      <c r="D801" s="327" t="s">
        <v>463</v>
      </c>
      <c r="E801" s="328">
        <f>AVERAGE(E796:E800)</f>
        <v>3.8533999999999997</v>
      </c>
      <c r="F801" s="328">
        <f t="shared" ref="F801:K801" si="235">AVERAGE(F796:F800)</f>
        <v>3.8939999999999997</v>
      </c>
      <c r="G801" s="328">
        <f t="shared" si="235"/>
        <v>3.1746846</v>
      </c>
      <c r="H801" s="328">
        <f t="shared" si="235"/>
        <v>4.8965332000000004</v>
      </c>
      <c r="I801" s="329">
        <f t="shared" si="235"/>
        <v>0.13957999999999998</v>
      </c>
      <c r="J801" s="329">
        <f t="shared" si="235"/>
        <v>9.7900000000000001E-2</v>
      </c>
      <c r="K801" s="328">
        <f t="shared" si="235"/>
        <v>39.775364199999999</v>
      </c>
      <c r="L801" s="331"/>
      <c r="M801" s="399"/>
    </row>
    <row r="802" spans="2:13">
      <c r="B802" s="333">
        <v>21</v>
      </c>
      <c r="C802" s="271" t="s">
        <v>307</v>
      </c>
      <c r="D802" s="291" t="s">
        <v>250</v>
      </c>
      <c r="E802" s="307">
        <v>3.8450000000000002</v>
      </c>
      <c r="F802" s="307">
        <v>3.8530000000000002</v>
      </c>
      <c r="G802" s="272">
        <v>3.148126</v>
      </c>
      <c r="H802" s="307">
        <v>4.8177770000000004</v>
      </c>
      <c r="I802" s="273">
        <v>0.13980000000000001</v>
      </c>
      <c r="J802" s="273">
        <v>9.8299999999999998E-2</v>
      </c>
      <c r="K802" s="272">
        <v>39.196337999999997</v>
      </c>
      <c r="L802" s="332"/>
      <c r="M802" s="399"/>
    </row>
    <row r="803" spans="2:13">
      <c r="B803" s="335">
        <v>22</v>
      </c>
      <c r="C803" s="320"/>
      <c r="D803" s="299" t="s">
        <v>251</v>
      </c>
      <c r="E803" s="309">
        <v>3.85</v>
      </c>
      <c r="F803" s="309">
        <v>3.8620000000000001</v>
      </c>
      <c r="G803" s="317">
        <v>3.1513819999999999</v>
      </c>
      <c r="H803" s="309">
        <v>4.8375240000000002</v>
      </c>
      <c r="I803" s="318">
        <v>0.13980000000000001</v>
      </c>
      <c r="J803" s="318">
        <v>9.8199999999999996E-2</v>
      </c>
      <c r="K803" s="317">
        <v>39.327902000000002</v>
      </c>
      <c r="L803" s="321"/>
      <c r="M803" s="399"/>
    </row>
    <row r="804" spans="2:13">
      <c r="B804" s="335">
        <v>23</v>
      </c>
      <c r="C804" s="320"/>
      <c r="D804" s="299" t="s">
        <v>237</v>
      </c>
      <c r="E804" s="309">
        <v>3.8530000000000002</v>
      </c>
      <c r="F804" s="309">
        <v>3.8679999999999999</v>
      </c>
      <c r="G804" s="317">
        <v>3.1538200000000001</v>
      </c>
      <c r="H804" s="309">
        <v>4.8436360000000001</v>
      </c>
      <c r="I804" s="318">
        <v>0.13980000000000001</v>
      </c>
      <c r="J804" s="318">
        <v>9.8100000000000007E-2</v>
      </c>
      <c r="K804" s="317">
        <v>39.429153999999997</v>
      </c>
      <c r="L804" s="321"/>
      <c r="M804" s="399"/>
    </row>
    <row r="805" spans="2:13">
      <c r="B805" s="335">
        <v>24</v>
      </c>
      <c r="C805" s="320"/>
      <c r="D805" s="299" t="s">
        <v>238</v>
      </c>
      <c r="E805" s="309">
        <v>3.85</v>
      </c>
      <c r="F805" s="309">
        <v>3.863</v>
      </c>
      <c r="G805" s="317">
        <v>3.1521979999999998</v>
      </c>
      <c r="H805" s="309">
        <v>4.8609929999999997</v>
      </c>
      <c r="I805" s="318">
        <v>0.13969999999999999</v>
      </c>
      <c r="J805" s="318">
        <v>9.7600000000000006E-2</v>
      </c>
      <c r="K805" s="317">
        <v>39.579917999999999</v>
      </c>
      <c r="L805" s="321"/>
      <c r="M805" s="399"/>
    </row>
    <row r="806" spans="2:13" ht="17.25" thickBot="1">
      <c r="B806" s="336">
        <v>25</v>
      </c>
      <c r="C806" s="323"/>
      <c r="D806" s="293" t="s">
        <v>252</v>
      </c>
      <c r="E806" s="311">
        <v>3.8439999999999999</v>
      </c>
      <c r="F806" s="311">
        <v>3.8730000000000002</v>
      </c>
      <c r="G806" s="278">
        <v>3.1652909999999999</v>
      </c>
      <c r="H806" s="311">
        <v>4.898307</v>
      </c>
      <c r="I806" s="279">
        <v>0.13950000000000001</v>
      </c>
      <c r="J806" s="279">
        <v>9.74E-2</v>
      </c>
      <c r="K806" s="278">
        <v>39.763860000000001</v>
      </c>
      <c r="L806" s="324"/>
      <c r="M806" s="399"/>
    </row>
    <row r="807" spans="2:13" ht="17.25" thickBot="1">
      <c r="B807" s="339" t="s">
        <v>464</v>
      </c>
      <c r="C807" s="340"/>
      <c r="D807" s="341" t="s">
        <v>465</v>
      </c>
      <c r="E807" s="342">
        <f>AVERAGE(E802:E806)</f>
        <v>3.8484000000000003</v>
      </c>
      <c r="F807" s="342">
        <f t="shared" ref="F807:K807" si="236">AVERAGE(F802:F806)</f>
        <v>3.8637999999999999</v>
      </c>
      <c r="G807" s="342">
        <f t="shared" si="236"/>
        <v>3.1541633999999998</v>
      </c>
      <c r="H807" s="342">
        <f t="shared" si="236"/>
        <v>4.8516474000000001</v>
      </c>
      <c r="I807" s="343">
        <f t="shared" si="236"/>
        <v>0.13971999999999998</v>
      </c>
      <c r="J807" s="343">
        <f t="shared" si="236"/>
        <v>9.7920000000000007E-2</v>
      </c>
      <c r="K807" s="342">
        <f t="shared" si="236"/>
        <v>39.459434399999999</v>
      </c>
      <c r="L807" s="344"/>
      <c r="M807" s="399"/>
    </row>
    <row r="808" spans="2:13">
      <c r="B808" s="333"/>
      <c r="C808" s="345"/>
      <c r="D808" s="291" t="s">
        <v>466</v>
      </c>
      <c r="E808" s="346">
        <f>MEDIAN(E778:E782,E784:E788,E790:E794,E796:E800,E802:E806)</f>
        <v>3.8580000000000001</v>
      </c>
      <c r="F808" s="346">
        <f t="shared" ref="F808:K808" si="237">MEDIAN(F778:F782,F784:F788,F790:F794,F796:F800,F802:F806)</f>
        <v>3.9660000000000002</v>
      </c>
      <c r="G808" s="346">
        <f t="shared" si="237"/>
        <v>3.2286980000000001</v>
      </c>
      <c r="H808" s="346">
        <f t="shared" si="237"/>
        <v>4.9860300000000004</v>
      </c>
      <c r="I808" s="347">
        <f t="shared" si="237"/>
        <v>0.13950000000000001</v>
      </c>
      <c r="J808" s="347">
        <f t="shared" si="237"/>
        <v>9.7799999999999998E-2</v>
      </c>
      <c r="K808" s="348">
        <f t="shared" si="237"/>
        <v>40.552146999999998</v>
      </c>
      <c r="L808" s="332"/>
      <c r="M808" s="399"/>
    </row>
    <row r="809" spans="2:13">
      <c r="B809" s="335"/>
      <c r="C809" s="320"/>
      <c r="D809" s="299" t="s">
        <v>467</v>
      </c>
      <c r="E809" s="349">
        <f>AVERAGE(E778:E782,E784:E788,E790:E794,E796:E800,E802:E806)</f>
        <v>3.8693199999999983</v>
      </c>
      <c r="F809" s="349">
        <f t="shared" ref="F809:K809" si="238">AVERAGE(F778:F782,F784:F788,F790:F794,F796:F800,F802:F806)</f>
        <v>4.1410799999999997</v>
      </c>
      <c r="G809" s="349">
        <f t="shared" si="238"/>
        <v>3.3609829199999997</v>
      </c>
      <c r="H809" s="349">
        <f t="shared" si="238"/>
        <v>5.2170100399999999</v>
      </c>
      <c r="I809" s="350">
        <f t="shared" si="238"/>
        <v>0.13920400000000002</v>
      </c>
      <c r="J809" s="350">
        <f t="shared" si="238"/>
        <v>9.7796000000000008E-2</v>
      </c>
      <c r="K809" s="351">
        <f t="shared" si="238"/>
        <v>42.347066120000001</v>
      </c>
      <c r="L809" s="321"/>
      <c r="M809" s="399"/>
    </row>
    <row r="810" spans="2:13">
      <c r="B810" s="335"/>
      <c r="C810" s="320"/>
      <c r="D810" s="299" t="s">
        <v>199</v>
      </c>
      <c r="E810" s="349">
        <f>MAX(E778:E782,E784:E788,E790:E794,E796:E800,E802:E806)</f>
        <v>3.903</v>
      </c>
      <c r="F810" s="349">
        <f t="shared" ref="F810:K810" si="239">MAX(F778:F782,F784:F788,F790:F794,F796:F800,F802:F806)</f>
        <v>4.6440000000000001</v>
      </c>
      <c r="G810" s="349">
        <f t="shared" si="239"/>
        <v>3.7409089999999998</v>
      </c>
      <c r="H810" s="349">
        <f t="shared" si="239"/>
        <v>5.874784</v>
      </c>
      <c r="I810" s="350">
        <f t="shared" si="239"/>
        <v>0.13980000000000001</v>
      </c>
      <c r="J810" s="350">
        <f t="shared" si="239"/>
        <v>9.8299999999999998E-2</v>
      </c>
      <c r="K810" s="351">
        <f t="shared" si="239"/>
        <v>47.581966999999999</v>
      </c>
      <c r="L810" s="321"/>
      <c r="M810" s="399"/>
    </row>
    <row r="811" spans="2:13">
      <c r="B811" s="335"/>
      <c r="C811" s="320"/>
      <c r="D811" s="299" t="s">
        <v>200</v>
      </c>
      <c r="E811" s="349">
        <f>MIN(E778:E782,E784:E788,E790:E794,E796:E800,E802:E806)</f>
        <v>3.8439999999999999</v>
      </c>
      <c r="F811" s="349">
        <f t="shared" ref="F811:K811" si="240">MIN(F778:F782,F784:F788,F790:F794,F796:F800,F802:F806)</f>
        <v>3.7360000000000002</v>
      </c>
      <c r="G811" s="349">
        <f t="shared" si="240"/>
        <v>3.0461930000000002</v>
      </c>
      <c r="H811" s="349">
        <f t="shared" si="240"/>
        <v>4.6815410000000002</v>
      </c>
      <c r="I811" s="350">
        <f t="shared" si="240"/>
        <v>0.13819999999999999</v>
      </c>
      <c r="J811" s="350">
        <f t="shared" si="240"/>
        <v>9.7199999999999995E-2</v>
      </c>
      <c r="K811" s="351">
        <f t="shared" si="240"/>
        <v>38.044806999999999</v>
      </c>
      <c r="L811" s="321"/>
      <c r="M811" s="399"/>
    </row>
    <row r="812" spans="2:13">
      <c r="B812" s="335"/>
      <c r="C812" s="320"/>
      <c r="D812" s="299" t="s">
        <v>201</v>
      </c>
      <c r="E812" s="349">
        <f>E810-E811</f>
        <v>5.9000000000000163E-2</v>
      </c>
      <c r="F812" s="349">
        <f t="shared" ref="F812:K812" si="241">F810-F811</f>
        <v>0.90799999999999992</v>
      </c>
      <c r="G812" s="349">
        <f t="shared" si="241"/>
        <v>0.69471599999999967</v>
      </c>
      <c r="H812" s="349">
        <f t="shared" si="241"/>
        <v>1.1932429999999998</v>
      </c>
      <c r="I812" s="350">
        <f t="shared" si="241"/>
        <v>1.6000000000000181E-3</v>
      </c>
      <c r="J812" s="350">
        <f t="shared" si="241"/>
        <v>1.1000000000000038E-3</v>
      </c>
      <c r="K812" s="349">
        <f t="shared" si="241"/>
        <v>9.5371600000000001</v>
      </c>
      <c r="L812" s="321"/>
      <c r="M812" s="399"/>
    </row>
    <row r="813" spans="2:13" ht="17.25" thickBot="1">
      <c r="B813" s="336"/>
      <c r="C813" s="323"/>
      <c r="D813" s="293" t="s">
        <v>202</v>
      </c>
      <c r="E813" s="352">
        <f>STDEVA(E778:E782,E784:E788,E790:E794,E796:E800,E802:E806)</f>
        <v>2.1582631906234193E-2</v>
      </c>
      <c r="F813" s="352">
        <f t="shared" ref="F813:K813" si="242">STDEVA(F778:F782,F784:F788,F790:F794,F796:F800,F802:F806)</f>
        <v>0.31979341248166249</v>
      </c>
      <c r="G813" s="352">
        <f t="shared" si="242"/>
        <v>0.24083113512893906</v>
      </c>
      <c r="H813" s="352">
        <f t="shared" si="242"/>
        <v>0.41662952682814025</v>
      </c>
      <c r="I813" s="353">
        <f t="shared" si="242"/>
        <v>5.6308673103409943E-4</v>
      </c>
      <c r="J813" s="353">
        <f t="shared" si="242"/>
        <v>2.9927690633703473E-4</v>
      </c>
      <c r="K813" s="352">
        <f t="shared" si="242"/>
        <v>3.3078479903664122</v>
      </c>
      <c r="L813" s="324"/>
      <c r="M813" s="399"/>
    </row>
    <row r="815" spans="2:13">
      <c r="B815" s="240" t="s">
        <v>492</v>
      </c>
      <c r="C815" s="240"/>
      <c r="E815" s="240"/>
      <c r="F815" s="240"/>
      <c r="G815" s="240"/>
      <c r="H815" s="240"/>
      <c r="I815" s="240"/>
      <c r="J815" s="240"/>
      <c r="K815" s="240"/>
    </row>
    <row r="816" spans="2:13" ht="17.25" thickBot="1">
      <c r="B816" s="240" t="s">
        <v>460</v>
      </c>
      <c r="C816" s="240"/>
      <c r="E816" s="240"/>
      <c r="F816" s="240"/>
      <c r="G816" s="240"/>
      <c r="H816" s="240"/>
      <c r="I816" s="240"/>
      <c r="J816" s="240"/>
      <c r="K816" s="240"/>
    </row>
    <row r="817" spans="2:13" ht="17.25" thickBot="1">
      <c r="B817" s="313" t="s">
        <v>11</v>
      </c>
      <c r="C817" s="250" t="s">
        <v>0</v>
      </c>
      <c r="D817" s="250" t="s">
        <v>1</v>
      </c>
      <c r="E817" s="250" t="s">
        <v>2</v>
      </c>
      <c r="F817" s="250" t="s">
        <v>3</v>
      </c>
      <c r="G817" s="250" t="s">
        <v>192</v>
      </c>
      <c r="H817" s="250" t="s">
        <v>16</v>
      </c>
      <c r="I817" s="250" t="s">
        <v>6</v>
      </c>
      <c r="J817" s="251" t="s">
        <v>7</v>
      </c>
      <c r="K817" s="252" t="s">
        <v>8</v>
      </c>
      <c r="L817" s="254" t="s">
        <v>461</v>
      </c>
      <c r="M817" s="404"/>
    </row>
    <row r="818" spans="2:13">
      <c r="B818" s="314">
        <v>1</v>
      </c>
      <c r="C818" s="271" t="s">
        <v>315</v>
      </c>
      <c r="D818" s="291" t="s">
        <v>213</v>
      </c>
      <c r="E818" s="307">
        <v>3.839</v>
      </c>
      <c r="F818" s="307">
        <v>4.8540000000000001</v>
      </c>
      <c r="G818" s="272">
        <v>3.9722010000000001</v>
      </c>
      <c r="H818" s="360">
        <v>6.1335050000000004</v>
      </c>
      <c r="I818" s="273">
        <v>0.13869999999999999</v>
      </c>
      <c r="J818" s="273">
        <v>9.7600000000000006E-2</v>
      </c>
      <c r="K818" s="272">
        <v>49.733606999999999</v>
      </c>
      <c r="L818" s="275"/>
      <c r="M818" s="397"/>
    </row>
    <row r="819" spans="2:13">
      <c r="B819" s="315">
        <v>2</v>
      </c>
      <c r="C819" s="316"/>
      <c r="D819" s="299" t="s">
        <v>214</v>
      </c>
      <c r="E819" s="309">
        <v>3.8460000000000001</v>
      </c>
      <c r="F819" s="309">
        <v>4.8710000000000004</v>
      </c>
      <c r="G819" s="317">
        <v>3.9788570000000001</v>
      </c>
      <c r="H819" s="361">
        <v>6.1503940000000004</v>
      </c>
      <c r="I819" s="318">
        <v>0.13880000000000001</v>
      </c>
      <c r="J819" s="318">
        <v>9.7799999999999998E-2</v>
      </c>
      <c r="K819" s="317">
        <v>49.805726</v>
      </c>
      <c r="L819" s="319"/>
      <c r="M819" s="398"/>
    </row>
    <row r="820" spans="2:13">
      <c r="B820" s="315">
        <v>3</v>
      </c>
      <c r="C820" s="320"/>
      <c r="D820" s="299" t="s">
        <v>217</v>
      </c>
      <c r="E820" s="309">
        <v>3.8519999999999999</v>
      </c>
      <c r="F820" s="309">
        <v>4.8609999999999998</v>
      </c>
      <c r="G820" s="317">
        <v>3.9645039999999998</v>
      </c>
      <c r="H820" s="361">
        <v>6.1266429999999996</v>
      </c>
      <c r="I820" s="318">
        <v>0.1386</v>
      </c>
      <c r="J820" s="318">
        <v>9.7799999999999998E-2</v>
      </c>
      <c r="K820" s="317">
        <v>49.703476000000002</v>
      </c>
      <c r="L820" s="356"/>
      <c r="M820" s="400"/>
    </row>
    <row r="821" spans="2:13">
      <c r="B821" s="315">
        <v>4</v>
      </c>
      <c r="C821" s="320"/>
      <c r="D821" s="299" t="s">
        <v>218</v>
      </c>
      <c r="E821" s="309">
        <v>3.8540000000000001</v>
      </c>
      <c r="F821" s="309">
        <v>4.9290000000000003</v>
      </c>
      <c r="G821" s="317">
        <v>4.0178770000000004</v>
      </c>
      <c r="H821" s="361">
        <v>6.2119280000000003</v>
      </c>
      <c r="I821" s="318">
        <v>0.1384</v>
      </c>
      <c r="J821" s="318">
        <v>9.7900000000000001E-2</v>
      </c>
      <c r="K821" s="317">
        <v>50.347293000000001</v>
      </c>
      <c r="L821" s="356"/>
      <c r="M821" s="400"/>
    </row>
    <row r="822" spans="2:13" ht="17.25" thickBot="1">
      <c r="B822" s="322">
        <v>5</v>
      </c>
      <c r="C822" s="323"/>
      <c r="D822" s="354" t="s">
        <v>240</v>
      </c>
      <c r="E822" s="311">
        <v>3.8519999999999999</v>
      </c>
      <c r="F822" s="311">
        <v>4.92</v>
      </c>
      <c r="G822" s="278">
        <v>4.0126229999999996</v>
      </c>
      <c r="H822" s="362">
        <v>6.2288540000000001</v>
      </c>
      <c r="I822" s="279">
        <v>0.13850000000000001</v>
      </c>
      <c r="J822" s="279">
        <v>9.7699999999999995E-2</v>
      </c>
      <c r="K822" s="278">
        <v>50.358240000000002</v>
      </c>
      <c r="L822" s="324"/>
      <c r="M822" s="399"/>
    </row>
    <row r="823" spans="2:13" ht="17.25" thickBot="1">
      <c r="B823" s="325"/>
      <c r="C823" s="326"/>
      <c r="D823" s="327" t="s">
        <v>463</v>
      </c>
      <c r="E823" s="328">
        <f>AVERAGE(E818:E822)</f>
        <v>3.8486000000000002</v>
      </c>
      <c r="F823" s="328">
        <f t="shared" ref="F823:K823" si="243">AVERAGE(F818:F822)</f>
        <v>4.8870000000000005</v>
      </c>
      <c r="G823" s="328">
        <f t="shared" si="243"/>
        <v>3.9892123999999995</v>
      </c>
      <c r="H823" s="363">
        <f t="shared" si="243"/>
        <v>6.1702648</v>
      </c>
      <c r="I823" s="329">
        <f t="shared" si="243"/>
        <v>0.1386</v>
      </c>
      <c r="J823" s="329">
        <f t="shared" si="243"/>
        <v>9.776E-2</v>
      </c>
      <c r="K823" s="330">
        <f t="shared" si="243"/>
        <v>49.989668399999999</v>
      </c>
      <c r="L823" s="331"/>
      <c r="M823" s="399"/>
    </row>
    <row r="824" spans="2:13">
      <c r="B824" s="314">
        <v>6</v>
      </c>
      <c r="C824" s="271" t="s">
        <v>315</v>
      </c>
      <c r="D824" s="291" t="s">
        <v>241</v>
      </c>
      <c r="E824" s="307">
        <v>3.8410000000000002</v>
      </c>
      <c r="F824" s="307">
        <v>4.8730000000000002</v>
      </c>
      <c r="G824" s="272">
        <v>3.9856720000000001</v>
      </c>
      <c r="H824" s="360">
        <v>6.1506129999999999</v>
      </c>
      <c r="I824" s="273">
        <v>0.1386</v>
      </c>
      <c r="J824" s="273">
        <v>9.7799999999999998E-2</v>
      </c>
      <c r="K824" s="272">
        <v>49.826175999999997</v>
      </c>
      <c r="L824" s="332"/>
      <c r="M824" s="399"/>
    </row>
    <row r="825" spans="2:13">
      <c r="B825" s="315">
        <v>7</v>
      </c>
      <c r="C825" s="320"/>
      <c r="D825" s="299" t="s">
        <v>242</v>
      </c>
      <c r="E825" s="309">
        <v>3.85</v>
      </c>
      <c r="F825" s="309">
        <v>4.8330000000000002</v>
      </c>
      <c r="G825" s="317">
        <v>3.9437150000000001</v>
      </c>
      <c r="H825" s="361">
        <v>6.0890919999999999</v>
      </c>
      <c r="I825" s="318">
        <v>0.13850000000000001</v>
      </c>
      <c r="J825" s="318">
        <v>9.7900000000000001E-2</v>
      </c>
      <c r="K825" s="317">
        <v>49.366700999999999</v>
      </c>
      <c r="L825" s="321"/>
      <c r="M825" s="399"/>
    </row>
    <row r="826" spans="2:13">
      <c r="B826" s="315">
        <v>8</v>
      </c>
      <c r="C826" s="320"/>
      <c r="D826" s="299" t="s">
        <v>222</v>
      </c>
      <c r="E826" s="309">
        <v>3.8530000000000002</v>
      </c>
      <c r="F826" s="309">
        <v>4.9169999999999998</v>
      </c>
      <c r="G826" s="317">
        <v>4.0091349999999997</v>
      </c>
      <c r="H826" s="361">
        <v>6.1972170000000002</v>
      </c>
      <c r="I826" s="318">
        <v>0.1384</v>
      </c>
      <c r="J826" s="318">
        <v>9.8100000000000007E-2</v>
      </c>
      <c r="K826" s="317">
        <v>50.122323999999999</v>
      </c>
      <c r="L826" s="321"/>
      <c r="M826" s="399"/>
    </row>
    <row r="827" spans="2:13">
      <c r="B827" s="315">
        <v>9</v>
      </c>
      <c r="C827" s="320"/>
      <c r="D827" s="299" t="s">
        <v>223</v>
      </c>
      <c r="E827" s="309">
        <v>3.8559999999999999</v>
      </c>
      <c r="F827" s="309">
        <v>4.9379999999999997</v>
      </c>
      <c r="G827" s="317">
        <v>4.0231250000000003</v>
      </c>
      <c r="H827" s="361">
        <v>6.2322660000000001</v>
      </c>
      <c r="I827" s="318">
        <v>0.13830000000000001</v>
      </c>
      <c r="J827" s="318">
        <v>9.8000000000000004E-2</v>
      </c>
      <c r="K827" s="317">
        <v>50.387754999999999</v>
      </c>
      <c r="L827" s="321"/>
      <c r="M827" s="399"/>
    </row>
    <row r="828" spans="2:13" ht="17.25" thickBot="1">
      <c r="B828" s="322">
        <v>10</v>
      </c>
      <c r="C828" s="323"/>
      <c r="D828" s="293" t="s">
        <v>243</v>
      </c>
      <c r="E828" s="311">
        <v>3.8559999999999999</v>
      </c>
      <c r="F828" s="311">
        <v>4.9429999999999996</v>
      </c>
      <c r="G828" s="278">
        <v>4.0271990000000004</v>
      </c>
      <c r="H828" s="362">
        <v>6.2262820000000003</v>
      </c>
      <c r="I828" s="279">
        <v>0.1384</v>
      </c>
      <c r="J828" s="279">
        <v>9.8000000000000004E-2</v>
      </c>
      <c r="K828" s="278">
        <v>50.438775999999997</v>
      </c>
      <c r="L828" s="324"/>
      <c r="M828" s="399"/>
    </row>
    <row r="829" spans="2:13" ht="17.25" thickBot="1">
      <c r="B829" s="325" t="s">
        <v>464</v>
      </c>
      <c r="C829" s="326"/>
      <c r="D829" s="327" t="s">
        <v>463</v>
      </c>
      <c r="E829" s="328">
        <f t="shared" ref="E829:K829" si="244">AVERAGE(E824:E828)</f>
        <v>3.8512</v>
      </c>
      <c r="F829" s="328">
        <f t="shared" si="244"/>
        <v>4.9007999999999994</v>
      </c>
      <c r="G829" s="328">
        <f t="shared" si="244"/>
        <v>3.9977691999999996</v>
      </c>
      <c r="H829" s="328">
        <f t="shared" si="244"/>
        <v>6.179094000000001</v>
      </c>
      <c r="I829" s="329">
        <f t="shared" si="244"/>
        <v>0.13843999999999998</v>
      </c>
      <c r="J829" s="329">
        <f t="shared" si="244"/>
        <v>9.7960000000000005E-2</v>
      </c>
      <c r="K829" s="330">
        <f t="shared" si="244"/>
        <v>50.028346399999997</v>
      </c>
      <c r="L829" s="331"/>
      <c r="M829" s="399"/>
    </row>
    <row r="830" spans="2:13">
      <c r="B830" s="333">
        <v>11</v>
      </c>
      <c r="C830" s="334" t="s">
        <v>296</v>
      </c>
      <c r="D830" s="291" t="s">
        <v>244</v>
      </c>
      <c r="E830" s="307">
        <v>3.8159999999999998</v>
      </c>
      <c r="F830" s="307">
        <v>4.569</v>
      </c>
      <c r="G830" s="272">
        <v>3.761511</v>
      </c>
      <c r="H830" s="307">
        <v>5.7444009999999999</v>
      </c>
      <c r="I830" s="273">
        <v>0.13880000000000001</v>
      </c>
      <c r="J830" s="273">
        <v>9.8000000000000004E-2</v>
      </c>
      <c r="K830" s="272">
        <v>46.622449000000003</v>
      </c>
      <c r="L830" s="332"/>
      <c r="M830" s="399"/>
    </row>
    <row r="831" spans="2:13">
      <c r="B831" s="335">
        <v>12</v>
      </c>
      <c r="C831" s="320"/>
      <c r="D831" s="299" t="s">
        <v>245</v>
      </c>
      <c r="E831" s="309">
        <v>3.8239999999999998</v>
      </c>
      <c r="F831" s="309">
        <v>4.5890000000000004</v>
      </c>
      <c r="G831" s="317">
        <v>3.7700719999999999</v>
      </c>
      <c r="H831" s="309">
        <v>5.769895</v>
      </c>
      <c r="I831" s="318">
        <v>0.13869999999999999</v>
      </c>
      <c r="J831" s="318">
        <v>9.8100000000000007E-2</v>
      </c>
      <c r="K831" s="317">
        <v>46.778796999999997</v>
      </c>
      <c r="L831" s="321"/>
      <c r="M831" s="399"/>
    </row>
    <row r="832" spans="2:13">
      <c r="B832" s="335">
        <v>13</v>
      </c>
      <c r="C832" s="320"/>
      <c r="D832" s="299" t="s">
        <v>227</v>
      </c>
      <c r="E832" s="309">
        <v>3.9239999999999999</v>
      </c>
      <c r="F832" s="309">
        <v>4.601</v>
      </c>
      <c r="G832" s="317">
        <v>3.683602</v>
      </c>
      <c r="H832" s="309">
        <v>5.7837350000000001</v>
      </c>
      <c r="I832" s="318">
        <v>0.13869999999999999</v>
      </c>
      <c r="J832" s="318">
        <v>9.8100000000000007E-2</v>
      </c>
      <c r="K832" s="317">
        <v>46.901121000000003</v>
      </c>
      <c r="L832" s="321"/>
      <c r="M832" s="399"/>
    </row>
    <row r="833" spans="2:13">
      <c r="B833" s="335">
        <v>14</v>
      </c>
      <c r="C833" s="320"/>
      <c r="D833" s="299" t="s">
        <v>228</v>
      </c>
      <c r="E833" s="309">
        <v>3.831</v>
      </c>
      <c r="F833" s="309">
        <v>4.6379999999999999</v>
      </c>
      <c r="G833" s="317">
        <v>3.803366</v>
      </c>
      <c r="H833" s="309">
        <v>5.8403729999999996</v>
      </c>
      <c r="I833" s="318">
        <v>0.1386</v>
      </c>
      <c r="J833" s="318">
        <v>9.8100000000000007E-2</v>
      </c>
      <c r="K833" s="317">
        <v>47.278286999999999</v>
      </c>
      <c r="L833" s="321"/>
      <c r="M833" s="399"/>
    </row>
    <row r="834" spans="2:13" ht="17.25" thickBot="1">
      <c r="B834" s="336">
        <v>15</v>
      </c>
      <c r="C834" s="323"/>
      <c r="D834" s="293" t="s">
        <v>246</v>
      </c>
      <c r="E834" s="311">
        <v>3.83</v>
      </c>
      <c r="F834" s="311">
        <v>4.6210000000000004</v>
      </c>
      <c r="G834" s="278">
        <v>3.7904140000000002</v>
      </c>
      <c r="H834" s="311">
        <v>5.8215329999999996</v>
      </c>
      <c r="I834" s="279">
        <v>0.1386</v>
      </c>
      <c r="J834" s="279">
        <v>9.7900000000000001E-2</v>
      </c>
      <c r="K834" s="278">
        <v>47.201225999999998</v>
      </c>
      <c r="L834" s="324"/>
      <c r="M834" s="399"/>
    </row>
    <row r="835" spans="2:13" ht="17.25" thickBot="1">
      <c r="B835" s="337"/>
      <c r="C835" s="326"/>
      <c r="D835" s="327" t="s">
        <v>463</v>
      </c>
      <c r="E835" s="328">
        <f>AVERAGE(E830:E834)</f>
        <v>3.8450000000000002</v>
      </c>
      <c r="F835" s="328">
        <f t="shared" ref="F835:K835" si="245">AVERAGE(F830:F834)</f>
        <v>4.6036000000000001</v>
      </c>
      <c r="G835" s="328">
        <f t="shared" si="245"/>
        <v>3.7617929999999999</v>
      </c>
      <c r="H835" s="328">
        <f t="shared" si="245"/>
        <v>5.7919874</v>
      </c>
      <c r="I835" s="329">
        <f t="shared" si="245"/>
        <v>0.13868</v>
      </c>
      <c r="J835" s="329">
        <f t="shared" si="245"/>
        <v>9.8040000000000002E-2</v>
      </c>
      <c r="K835" s="330">
        <f t="shared" si="245"/>
        <v>46.956375999999999</v>
      </c>
      <c r="L835" s="331"/>
      <c r="M835" s="399"/>
    </row>
    <row r="836" spans="2:13">
      <c r="B836" s="333">
        <v>16</v>
      </c>
      <c r="C836" s="271" t="s">
        <v>304</v>
      </c>
      <c r="D836" s="291" t="s">
        <v>247</v>
      </c>
      <c r="E836" s="307">
        <v>3.8079999999999998</v>
      </c>
      <c r="F836" s="307">
        <v>4.484</v>
      </c>
      <c r="G836" s="272">
        <v>3.6992880000000001</v>
      </c>
      <c r="H836" s="307">
        <v>5.6170080000000002</v>
      </c>
      <c r="I836" s="273">
        <v>0.13819999999999999</v>
      </c>
      <c r="J836" s="273">
        <v>9.9099999999999994E-2</v>
      </c>
      <c r="K836" s="272">
        <v>45.247225</v>
      </c>
      <c r="L836" s="359"/>
      <c r="M836" s="401"/>
    </row>
    <row r="837" spans="2:13">
      <c r="B837" s="335">
        <v>17</v>
      </c>
      <c r="C837" s="320"/>
      <c r="D837" s="299" t="s">
        <v>248</v>
      </c>
      <c r="E837" s="309">
        <v>3.8180000000000001</v>
      </c>
      <c r="F837" s="309">
        <v>4.4770000000000003</v>
      </c>
      <c r="G837" s="317">
        <v>3.6838389999999999</v>
      </c>
      <c r="H837" s="309">
        <v>5.5978659999999998</v>
      </c>
      <c r="I837" s="318">
        <v>0.13819999999999999</v>
      </c>
      <c r="J837" s="318">
        <v>9.9299999999999999E-2</v>
      </c>
      <c r="K837" s="317">
        <v>45.085599000000002</v>
      </c>
      <c r="L837" s="321"/>
      <c r="M837" s="399"/>
    </row>
    <row r="838" spans="2:13">
      <c r="B838" s="335">
        <v>18</v>
      </c>
      <c r="C838" s="320"/>
      <c r="D838" s="299" t="s">
        <v>232</v>
      </c>
      <c r="E838" s="309">
        <v>3.8210000000000002</v>
      </c>
      <c r="F838" s="309">
        <v>4.5389999999999997</v>
      </c>
      <c r="G838" s="317">
        <v>3.7319230000000001</v>
      </c>
      <c r="H838" s="309">
        <v>5.6629940000000003</v>
      </c>
      <c r="I838" s="318">
        <v>0.13800000000000001</v>
      </c>
      <c r="J838" s="318">
        <v>9.9599999999999994E-2</v>
      </c>
      <c r="K838" s="317">
        <v>45.572288999999998</v>
      </c>
      <c r="L838" s="321"/>
      <c r="M838" s="399"/>
    </row>
    <row r="839" spans="2:13">
      <c r="B839" s="335">
        <v>19</v>
      </c>
      <c r="C839" s="320"/>
      <c r="D839" s="299" t="s">
        <v>233</v>
      </c>
      <c r="E839" s="309">
        <v>3.8239999999999998</v>
      </c>
      <c r="F839" s="309">
        <v>4.4989999999999997</v>
      </c>
      <c r="G839" s="317">
        <v>3.6961330000000001</v>
      </c>
      <c r="H839" s="309">
        <v>5.6069469999999999</v>
      </c>
      <c r="I839" s="318">
        <v>0.13789999999999999</v>
      </c>
      <c r="J839" s="318">
        <v>9.98E-2</v>
      </c>
      <c r="K839" s="317">
        <v>45.080159999999999</v>
      </c>
      <c r="L839" s="321"/>
      <c r="M839" s="399"/>
    </row>
    <row r="840" spans="2:13" ht="17.25" thickBot="1">
      <c r="B840" s="336">
        <v>20</v>
      </c>
      <c r="C840" s="323"/>
      <c r="D840" s="293" t="s">
        <v>249</v>
      </c>
      <c r="E840" s="311">
        <v>3.82</v>
      </c>
      <c r="F840" s="311">
        <v>4.5439999999999996</v>
      </c>
      <c r="G840" s="278">
        <v>3.737012</v>
      </c>
      <c r="H840" s="311">
        <v>5.6741039999999998</v>
      </c>
      <c r="I840" s="279">
        <v>0.13800000000000001</v>
      </c>
      <c r="J840" s="279">
        <v>9.9500000000000005E-2</v>
      </c>
      <c r="K840" s="278">
        <v>45.668342000000003</v>
      </c>
      <c r="L840" s="324"/>
      <c r="M840" s="399"/>
    </row>
    <row r="841" spans="2:13" ht="17.25" thickBot="1">
      <c r="B841" s="337"/>
      <c r="C841" s="326"/>
      <c r="D841" s="327" t="s">
        <v>463</v>
      </c>
      <c r="E841" s="328">
        <f>AVERAGE(E836:E840)</f>
        <v>3.8181999999999996</v>
      </c>
      <c r="F841" s="328">
        <f t="shared" ref="F841:K841" si="246">AVERAGE(F836:F840)</f>
        <v>4.5085999999999995</v>
      </c>
      <c r="G841" s="328">
        <f t="shared" si="246"/>
        <v>3.7096390000000001</v>
      </c>
      <c r="H841" s="328">
        <f t="shared" si="246"/>
        <v>5.6317837999999991</v>
      </c>
      <c r="I841" s="329">
        <f t="shared" si="246"/>
        <v>0.13806000000000002</v>
      </c>
      <c r="J841" s="329">
        <f t="shared" si="246"/>
        <v>9.9459999999999993E-2</v>
      </c>
      <c r="K841" s="328">
        <f t="shared" si="246"/>
        <v>45.330722999999999</v>
      </c>
      <c r="L841" s="331"/>
      <c r="M841" s="399"/>
    </row>
    <row r="842" spans="2:13">
      <c r="B842" s="333">
        <v>21</v>
      </c>
      <c r="C842" s="271" t="s">
        <v>304</v>
      </c>
      <c r="D842" s="291" t="s">
        <v>250</v>
      </c>
      <c r="E842" s="307">
        <v>3.802</v>
      </c>
      <c r="F842" s="307">
        <v>4.4459999999999997</v>
      </c>
      <c r="G842" s="272">
        <v>3.673727</v>
      </c>
      <c r="H842" s="307">
        <v>5.5585490000000002</v>
      </c>
      <c r="I842" s="273">
        <v>0.13819999999999999</v>
      </c>
      <c r="J842" s="273">
        <v>9.9099999999999994E-2</v>
      </c>
      <c r="K842" s="272">
        <v>44.863773999999999</v>
      </c>
      <c r="L842" s="332"/>
      <c r="M842" s="399"/>
    </row>
    <row r="843" spans="2:13">
      <c r="B843" s="335">
        <v>22</v>
      </c>
      <c r="C843" s="320"/>
      <c r="D843" s="299" t="s">
        <v>251</v>
      </c>
      <c r="E843" s="309">
        <v>3.8090000000000002</v>
      </c>
      <c r="F843" s="309">
        <v>4.4770000000000003</v>
      </c>
      <c r="G843" s="317">
        <v>3.6925439999999998</v>
      </c>
      <c r="H843" s="309">
        <v>5.5837149999999998</v>
      </c>
      <c r="I843" s="318">
        <v>0.13819999999999999</v>
      </c>
      <c r="J843" s="318">
        <v>9.9400000000000002E-2</v>
      </c>
      <c r="K843" s="317">
        <v>45.040241000000002</v>
      </c>
      <c r="L843" s="321"/>
      <c r="M843" s="399"/>
    </row>
    <row r="844" spans="2:13">
      <c r="B844" s="335">
        <v>23</v>
      </c>
      <c r="C844" s="320"/>
      <c r="D844" s="299" t="s">
        <v>237</v>
      </c>
      <c r="E844" s="309">
        <v>3.8140000000000001</v>
      </c>
      <c r="F844" s="309">
        <v>4.4989999999999997</v>
      </c>
      <c r="G844" s="317">
        <v>3.7058239999999998</v>
      </c>
      <c r="H844" s="309">
        <v>5.6173270000000004</v>
      </c>
      <c r="I844" s="318">
        <v>0.1381</v>
      </c>
      <c r="J844" s="318">
        <v>9.9599999999999994E-2</v>
      </c>
      <c r="K844" s="317">
        <v>45.170682999999997</v>
      </c>
      <c r="L844" s="321"/>
      <c r="M844" s="399"/>
    </row>
    <row r="845" spans="2:13">
      <c r="B845" s="335">
        <v>24</v>
      </c>
      <c r="C845" s="320"/>
      <c r="D845" s="299" t="s">
        <v>238</v>
      </c>
      <c r="E845" s="309">
        <v>3.8140000000000001</v>
      </c>
      <c r="F845" s="309">
        <v>4.5289999999999999</v>
      </c>
      <c r="G845" s="317">
        <v>3.7305350000000002</v>
      </c>
      <c r="H845" s="309">
        <v>5.6458539999999999</v>
      </c>
      <c r="I845" s="318">
        <v>0.13800000000000001</v>
      </c>
      <c r="J845" s="318">
        <v>9.98E-2</v>
      </c>
      <c r="K845" s="317">
        <v>45.380761999999997</v>
      </c>
      <c r="L845" s="321"/>
      <c r="M845" s="399"/>
    </row>
    <row r="846" spans="2:13" ht="17.25" thickBot="1">
      <c r="B846" s="336">
        <v>25</v>
      </c>
      <c r="C846" s="323"/>
      <c r="D846" s="293" t="s">
        <v>252</v>
      </c>
      <c r="E846" s="311">
        <v>3.8140000000000001</v>
      </c>
      <c r="F846" s="311">
        <v>4.5229999999999997</v>
      </c>
      <c r="G846" s="278">
        <v>3.7255929999999999</v>
      </c>
      <c r="H846" s="311">
        <v>5.6475289999999996</v>
      </c>
      <c r="I846" s="279">
        <v>0.13800000000000001</v>
      </c>
      <c r="J846" s="279">
        <v>9.9599999999999994E-2</v>
      </c>
      <c r="K846" s="278">
        <v>45.411647000000002</v>
      </c>
      <c r="L846" s="324"/>
      <c r="M846" s="399"/>
    </row>
    <row r="847" spans="2:13" ht="17.25" thickBot="1">
      <c r="B847" s="339" t="s">
        <v>464</v>
      </c>
      <c r="C847" s="340"/>
      <c r="D847" s="341" t="s">
        <v>465</v>
      </c>
      <c r="E847" s="342">
        <f>AVERAGE(E842:E846)</f>
        <v>3.8106</v>
      </c>
      <c r="F847" s="342">
        <f t="shared" ref="F847:K847" si="247">AVERAGE(F842:F846)</f>
        <v>4.4947999999999997</v>
      </c>
      <c r="G847" s="342">
        <f t="shared" si="247"/>
        <v>3.7056445999999994</v>
      </c>
      <c r="H847" s="342">
        <f t="shared" si="247"/>
        <v>5.6105947999999994</v>
      </c>
      <c r="I847" s="343">
        <f t="shared" si="247"/>
        <v>0.1381</v>
      </c>
      <c r="J847" s="343">
        <f t="shared" si="247"/>
        <v>9.9500000000000005E-2</v>
      </c>
      <c r="K847" s="342">
        <f t="shared" si="247"/>
        <v>45.173421400000009</v>
      </c>
      <c r="L847" s="344"/>
      <c r="M847" s="399"/>
    </row>
    <row r="848" spans="2:13">
      <c r="B848" s="333"/>
      <c r="C848" s="345"/>
      <c r="D848" s="291" t="s">
        <v>466</v>
      </c>
      <c r="E848" s="346">
        <f>MEDIAN(E818:E822,E824:E828,E830:E834,E836:E840,E842:E846)</f>
        <v>3.83</v>
      </c>
      <c r="F848" s="346">
        <f t="shared" ref="F848:K848" si="248">MEDIAN(F818:F822,F824:F828,F830:F834,F836:F840,F842:F846)</f>
        <v>4.601</v>
      </c>
      <c r="G848" s="346">
        <f t="shared" si="248"/>
        <v>3.7700719999999999</v>
      </c>
      <c r="H848" s="346">
        <f t="shared" si="248"/>
        <v>5.7837350000000001</v>
      </c>
      <c r="I848" s="347">
        <f t="shared" si="248"/>
        <v>0.1384</v>
      </c>
      <c r="J848" s="347">
        <f t="shared" si="248"/>
        <v>9.8100000000000007E-2</v>
      </c>
      <c r="K848" s="348">
        <f t="shared" si="248"/>
        <v>46.901121000000003</v>
      </c>
      <c r="L848" s="332"/>
      <c r="M848" s="399"/>
    </row>
    <row r="849" spans="2:13">
      <c r="B849" s="335"/>
      <c r="C849" s="320"/>
      <c r="D849" s="299" t="s">
        <v>467</v>
      </c>
      <c r="E849" s="349">
        <f>AVERAGE(E818:E822,E824:E828,E830:E834,E836:E840,E842:E846)</f>
        <v>3.8347199999999999</v>
      </c>
      <c r="F849" s="349">
        <f t="shared" ref="F849:K849" si="249">AVERAGE(F818:F822,F824:F828,F830:F834,F836:F840,F842:F846)</f>
        <v>4.67896</v>
      </c>
      <c r="G849" s="349">
        <f t="shared" si="249"/>
        <v>3.8328116400000001</v>
      </c>
      <c r="H849" s="349">
        <f t="shared" si="249"/>
        <v>5.8767449599999999</v>
      </c>
      <c r="I849" s="350">
        <f t="shared" si="249"/>
        <v>0.138376</v>
      </c>
      <c r="J849" s="350">
        <f t="shared" si="249"/>
        <v>9.854400000000002E-2</v>
      </c>
      <c r="K849" s="351">
        <f t="shared" si="249"/>
        <v>47.495707039999999</v>
      </c>
      <c r="L849" s="321"/>
      <c r="M849" s="399"/>
    </row>
    <row r="850" spans="2:13">
      <c r="B850" s="335"/>
      <c r="C850" s="320"/>
      <c r="D850" s="299" t="s">
        <v>199</v>
      </c>
      <c r="E850" s="349">
        <f>MAX(E818:E822,E824:E828,E830:E834,E836:E840,E842:E846)</f>
        <v>3.9239999999999999</v>
      </c>
      <c r="F850" s="349">
        <f t="shared" ref="F850:K850" si="250">MAX(F818:F822,F824:F828,F830:F834,F836:F840,F842:F846)</f>
        <v>4.9429999999999996</v>
      </c>
      <c r="G850" s="349">
        <f t="shared" si="250"/>
        <v>4.0271990000000004</v>
      </c>
      <c r="H850" s="349">
        <f t="shared" si="250"/>
        <v>6.2322660000000001</v>
      </c>
      <c r="I850" s="350">
        <f t="shared" si="250"/>
        <v>0.13880000000000001</v>
      </c>
      <c r="J850" s="350">
        <f t="shared" si="250"/>
        <v>9.98E-2</v>
      </c>
      <c r="K850" s="351">
        <f t="shared" si="250"/>
        <v>50.438775999999997</v>
      </c>
      <c r="L850" s="321"/>
      <c r="M850" s="399"/>
    </row>
    <row r="851" spans="2:13">
      <c r="B851" s="335"/>
      <c r="C851" s="320"/>
      <c r="D851" s="299" t="s">
        <v>200</v>
      </c>
      <c r="E851" s="349">
        <f>MIN(E818:E822,E824:E828,E830:E834,E836:E840,E842:E846)</f>
        <v>3.802</v>
      </c>
      <c r="F851" s="349">
        <f t="shared" ref="F851:K851" si="251">MIN(F818:F822,F824:F828,F830:F834,F836:F840,F842:F846)</f>
        <v>4.4459999999999997</v>
      </c>
      <c r="G851" s="349">
        <f t="shared" si="251"/>
        <v>3.673727</v>
      </c>
      <c r="H851" s="349">
        <f t="shared" si="251"/>
        <v>5.5585490000000002</v>
      </c>
      <c r="I851" s="350">
        <f t="shared" si="251"/>
        <v>0.13789999999999999</v>
      </c>
      <c r="J851" s="350">
        <f t="shared" si="251"/>
        <v>9.7600000000000006E-2</v>
      </c>
      <c r="K851" s="351">
        <f t="shared" si="251"/>
        <v>44.863773999999999</v>
      </c>
      <c r="L851" s="321"/>
      <c r="M851" s="399"/>
    </row>
    <row r="852" spans="2:13">
      <c r="B852" s="335"/>
      <c r="C852" s="320"/>
      <c r="D852" s="299" t="s">
        <v>201</v>
      </c>
      <c r="E852" s="349">
        <f>E850-E851</f>
        <v>0.12199999999999989</v>
      </c>
      <c r="F852" s="349">
        <f t="shared" ref="F852:K852" si="252">F850-F851</f>
        <v>0.49699999999999989</v>
      </c>
      <c r="G852" s="349">
        <f t="shared" si="252"/>
        <v>0.35347200000000045</v>
      </c>
      <c r="H852" s="349">
        <f t="shared" si="252"/>
        <v>0.6737169999999999</v>
      </c>
      <c r="I852" s="350">
        <f t="shared" si="252"/>
        <v>9.000000000000119E-4</v>
      </c>
      <c r="J852" s="350">
        <f t="shared" si="252"/>
        <v>2.1999999999999936E-3</v>
      </c>
      <c r="K852" s="349">
        <f t="shared" si="252"/>
        <v>5.5750019999999978</v>
      </c>
      <c r="L852" s="321"/>
      <c r="M852" s="399"/>
    </row>
    <row r="853" spans="2:13" ht="17.25" thickBot="1">
      <c r="B853" s="336"/>
      <c r="C853" s="323"/>
      <c r="D853" s="293" t="s">
        <v>202</v>
      </c>
      <c r="E853" s="352">
        <f>STDEVA(E818:E822,E824:E828,E830:E834,E836:E840,E842:E846)</f>
        <v>2.5522081942244954E-2</v>
      </c>
      <c r="F853" s="352">
        <f t="shared" ref="F853:K853" si="253">STDEVA(F818:F822,F824:F828,F830:F834,F836:F840,F842:F846)</f>
        <v>0.18604199346742481</v>
      </c>
      <c r="G853" s="352">
        <f t="shared" si="253"/>
        <v>0.13852137040299356</v>
      </c>
      <c r="H853" s="352">
        <f t="shared" si="253"/>
        <v>0.25964347682117883</v>
      </c>
      <c r="I853" s="353">
        <f t="shared" si="253"/>
        <v>2.8178005607210608E-4</v>
      </c>
      <c r="J853" s="353">
        <f t="shared" si="253"/>
        <v>8.0419732238632216E-4</v>
      </c>
      <c r="K853" s="352">
        <f t="shared" si="253"/>
        <v>2.2087055499844523</v>
      </c>
      <c r="L853" s="324"/>
      <c r="M853" s="399"/>
    </row>
    <row r="855" spans="2:13">
      <c r="B855" s="240" t="s">
        <v>493</v>
      </c>
      <c r="C855" s="240"/>
      <c r="E855" s="240"/>
      <c r="F855" s="240"/>
      <c r="G855" s="240"/>
      <c r="H855" s="240"/>
      <c r="I855" s="240"/>
      <c r="J855" s="240"/>
      <c r="K855" s="240"/>
    </row>
    <row r="856" spans="2:13" ht="17.25" thickBot="1">
      <c r="B856" s="240" t="s">
        <v>469</v>
      </c>
      <c r="C856" s="240"/>
      <c r="E856" s="240"/>
      <c r="F856" s="240"/>
      <c r="G856" s="240"/>
      <c r="H856" s="240"/>
      <c r="I856" s="240"/>
      <c r="J856" s="240"/>
      <c r="K856" s="240"/>
    </row>
    <row r="857" spans="2:13" ht="17.25" thickBot="1">
      <c r="B857" s="313" t="s">
        <v>11</v>
      </c>
      <c r="C857" s="250" t="s">
        <v>0</v>
      </c>
      <c r="D857" s="250" t="s">
        <v>1</v>
      </c>
      <c r="E857" s="250" t="s">
        <v>2</v>
      </c>
      <c r="F857" s="250" t="s">
        <v>3</v>
      </c>
      <c r="G857" s="250" t="s">
        <v>192</v>
      </c>
      <c r="H857" s="250" t="s">
        <v>16</v>
      </c>
      <c r="I857" s="250" t="s">
        <v>6</v>
      </c>
      <c r="J857" s="251" t="s">
        <v>7</v>
      </c>
      <c r="K857" s="252" t="s">
        <v>8</v>
      </c>
      <c r="L857" s="254" t="s">
        <v>470</v>
      </c>
      <c r="M857" s="404"/>
    </row>
    <row r="858" spans="2:13">
      <c r="B858" s="314">
        <v>1</v>
      </c>
      <c r="C858" s="271" t="s">
        <v>315</v>
      </c>
      <c r="D858" s="291" t="s">
        <v>213</v>
      </c>
      <c r="E858" s="307">
        <v>3.847</v>
      </c>
      <c r="F858" s="307">
        <v>4.9000000000000004</v>
      </c>
      <c r="G858" s="272">
        <v>4.0015049999999999</v>
      </c>
      <c r="H858" s="307">
        <v>6.139672</v>
      </c>
      <c r="I858" s="273">
        <v>0.13900000000000001</v>
      </c>
      <c r="J858" s="273">
        <v>9.8199999999999996E-2</v>
      </c>
      <c r="K858" s="272">
        <v>49.898167000000001</v>
      </c>
      <c r="L858" s="275"/>
      <c r="M858" s="397"/>
    </row>
    <row r="859" spans="2:13">
      <c r="B859" s="315">
        <v>2</v>
      </c>
      <c r="C859" s="316"/>
      <c r="D859" s="299" t="s">
        <v>214</v>
      </c>
      <c r="E859" s="309">
        <v>3.859</v>
      </c>
      <c r="F859" s="309">
        <v>4.9119999999999999</v>
      </c>
      <c r="G859" s="317">
        <v>3.998831</v>
      </c>
      <c r="H859" s="309">
        <v>6.140733</v>
      </c>
      <c r="I859" s="318">
        <v>0.13919999999999999</v>
      </c>
      <c r="J859" s="318">
        <v>9.8599999999999993E-2</v>
      </c>
      <c r="K859" s="317">
        <v>49.817444000000002</v>
      </c>
      <c r="L859" s="319"/>
      <c r="M859" s="398"/>
    </row>
    <row r="860" spans="2:13">
      <c r="B860" s="315">
        <v>3</v>
      </c>
      <c r="C860" s="320"/>
      <c r="D860" s="299" t="s">
        <v>217</v>
      </c>
      <c r="E860" s="309">
        <v>3.871</v>
      </c>
      <c r="F860" s="309">
        <v>5.0019999999999998</v>
      </c>
      <c r="G860" s="317">
        <v>4.0594760000000001</v>
      </c>
      <c r="H860" s="309">
        <v>6.251036</v>
      </c>
      <c r="I860" s="318">
        <v>0.1391</v>
      </c>
      <c r="J860" s="318">
        <v>9.8599999999999993E-2</v>
      </c>
      <c r="K860" s="317">
        <v>50.730223000000002</v>
      </c>
      <c r="L860" s="356"/>
      <c r="M860" s="400"/>
    </row>
    <row r="861" spans="2:13">
      <c r="B861" s="315">
        <v>4</v>
      </c>
      <c r="C861" s="320"/>
      <c r="D861" s="299" t="s">
        <v>218</v>
      </c>
      <c r="E861" s="309">
        <v>3.8849999999999998</v>
      </c>
      <c r="F861" s="309">
        <v>5.09</v>
      </c>
      <c r="G861" s="317">
        <v>4.116009</v>
      </c>
      <c r="H861" s="309">
        <v>6.3772200000000003</v>
      </c>
      <c r="I861" s="318">
        <v>0.13880000000000001</v>
      </c>
      <c r="J861" s="318">
        <v>9.8400000000000001E-2</v>
      </c>
      <c r="K861" s="317">
        <v>51.727642000000003</v>
      </c>
      <c r="L861" s="356"/>
      <c r="M861" s="400"/>
    </row>
    <row r="862" spans="2:13" ht="17.25" thickBot="1">
      <c r="B862" s="322">
        <v>5</v>
      </c>
      <c r="C862" s="323"/>
      <c r="D862" s="354" t="s">
        <v>240</v>
      </c>
      <c r="E862" s="311">
        <v>3.891</v>
      </c>
      <c r="F862" s="311">
        <v>5.1470000000000002</v>
      </c>
      <c r="G862" s="278">
        <v>4.1556829999999998</v>
      </c>
      <c r="H862" s="311">
        <v>6.4601930000000003</v>
      </c>
      <c r="I862" s="279">
        <v>0.13869999999999999</v>
      </c>
      <c r="J862" s="279">
        <v>9.8299999999999998E-2</v>
      </c>
      <c r="K862" s="278">
        <v>52.360121999999997</v>
      </c>
      <c r="L862" s="324"/>
      <c r="M862" s="399"/>
    </row>
    <row r="863" spans="2:13" ht="17.25" thickBot="1">
      <c r="B863" s="325"/>
      <c r="C863" s="326"/>
      <c r="D863" s="327" t="s">
        <v>463</v>
      </c>
      <c r="E863" s="328">
        <f>AVERAGE(E858:E862)</f>
        <v>3.8706000000000005</v>
      </c>
      <c r="F863" s="328">
        <f t="shared" ref="F863:K863" si="254">AVERAGE(F858:F862)</f>
        <v>5.0102000000000002</v>
      </c>
      <c r="G863" s="328">
        <f t="shared" si="254"/>
        <v>4.0663007999999996</v>
      </c>
      <c r="H863" s="328">
        <f t="shared" si="254"/>
        <v>6.2737708000000003</v>
      </c>
      <c r="I863" s="329">
        <f t="shared" si="254"/>
        <v>0.13896000000000003</v>
      </c>
      <c r="J863" s="329">
        <f t="shared" si="254"/>
        <v>9.8419999999999994E-2</v>
      </c>
      <c r="K863" s="330">
        <f t="shared" si="254"/>
        <v>50.906719599999995</v>
      </c>
      <c r="L863" s="331"/>
      <c r="M863" s="399"/>
    </row>
    <row r="864" spans="2:13">
      <c r="B864" s="314">
        <v>6</v>
      </c>
      <c r="C864" s="271" t="s">
        <v>315</v>
      </c>
      <c r="D864" s="291" t="s">
        <v>241</v>
      </c>
      <c r="E864" s="307">
        <v>3.8479999999999999</v>
      </c>
      <c r="F864" s="307">
        <v>4.88</v>
      </c>
      <c r="G864" s="272">
        <v>3.984137</v>
      </c>
      <c r="H864" s="307">
        <v>6.1216699999999999</v>
      </c>
      <c r="I864" s="273">
        <v>0.1389</v>
      </c>
      <c r="J864" s="273">
        <v>9.8199999999999996E-2</v>
      </c>
      <c r="K864" s="272">
        <v>49.694501000000002</v>
      </c>
      <c r="L864" s="332"/>
      <c r="M864" s="399"/>
    </row>
    <row r="865" spans="2:13">
      <c r="B865" s="315">
        <v>7</v>
      </c>
      <c r="C865" s="320"/>
      <c r="D865" s="299" t="s">
        <v>242</v>
      </c>
      <c r="E865" s="309">
        <v>3.86</v>
      </c>
      <c r="F865" s="309">
        <v>4.883</v>
      </c>
      <c r="G865" s="317">
        <v>3.9741930000000001</v>
      </c>
      <c r="H865" s="309">
        <v>6.0903710000000002</v>
      </c>
      <c r="I865" s="318">
        <v>0.1391</v>
      </c>
      <c r="J865" s="318">
        <v>9.8599999999999993E-2</v>
      </c>
      <c r="K865" s="317">
        <v>49.523327000000002</v>
      </c>
      <c r="L865" s="321"/>
      <c r="M865" s="399"/>
    </row>
    <row r="866" spans="2:13">
      <c r="B866" s="315">
        <v>8</v>
      </c>
      <c r="C866" s="320"/>
      <c r="D866" s="299" t="s">
        <v>222</v>
      </c>
      <c r="E866" s="309">
        <v>3.8719999999999999</v>
      </c>
      <c r="F866" s="309">
        <v>4.9710000000000001</v>
      </c>
      <c r="G866" s="317">
        <v>4.0332759999999999</v>
      </c>
      <c r="H866" s="309">
        <v>6.2148269999999997</v>
      </c>
      <c r="I866" s="318">
        <v>0.13900000000000001</v>
      </c>
      <c r="J866" s="318">
        <v>9.8699999999999996E-2</v>
      </c>
      <c r="K866" s="317">
        <v>50.364742</v>
      </c>
      <c r="L866" s="321"/>
      <c r="M866" s="399"/>
    </row>
    <row r="867" spans="2:13">
      <c r="B867" s="315">
        <v>9</v>
      </c>
      <c r="C867" s="320"/>
      <c r="D867" s="299" t="s">
        <v>223</v>
      </c>
      <c r="E867" s="309">
        <v>3.8849999999999998</v>
      </c>
      <c r="F867" s="309">
        <v>5.093</v>
      </c>
      <c r="G867" s="317">
        <v>4.1184339999999997</v>
      </c>
      <c r="H867" s="309">
        <v>6.3836630000000003</v>
      </c>
      <c r="I867" s="318">
        <v>0.13869999999999999</v>
      </c>
      <c r="J867" s="318">
        <v>9.8599999999999993E-2</v>
      </c>
      <c r="K867" s="317">
        <v>51.653143999999998</v>
      </c>
      <c r="L867" s="321"/>
      <c r="M867" s="399"/>
    </row>
    <row r="868" spans="2:13" ht="17.25" thickBot="1">
      <c r="B868" s="322">
        <v>10</v>
      </c>
      <c r="C868" s="323"/>
      <c r="D868" s="293" t="s">
        <v>243</v>
      </c>
      <c r="E868" s="311">
        <v>3.891</v>
      </c>
      <c r="F868" s="311">
        <v>5.165</v>
      </c>
      <c r="G868" s="278">
        <v>4.1702159999999999</v>
      </c>
      <c r="H868" s="311">
        <v>6.478091</v>
      </c>
      <c r="I868" s="279">
        <v>0.1386</v>
      </c>
      <c r="J868" s="279">
        <v>9.8500000000000004E-2</v>
      </c>
      <c r="K868" s="278">
        <v>52.436548000000002</v>
      </c>
      <c r="L868" s="324"/>
      <c r="M868" s="399"/>
    </row>
    <row r="869" spans="2:13" ht="17.25" thickBot="1">
      <c r="B869" s="325" t="s">
        <v>464</v>
      </c>
      <c r="C869" s="326"/>
      <c r="D869" s="327" t="s">
        <v>463</v>
      </c>
      <c r="E869" s="328">
        <f t="shared" ref="E869:K869" si="255">AVERAGE(E864:E868)</f>
        <v>3.8712000000000004</v>
      </c>
      <c r="F869" s="328">
        <f t="shared" si="255"/>
        <v>4.9983999999999993</v>
      </c>
      <c r="G869" s="328">
        <f t="shared" si="255"/>
        <v>4.0560512000000006</v>
      </c>
      <c r="H869" s="328">
        <f t="shared" si="255"/>
        <v>6.257724399999999</v>
      </c>
      <c r="I869" s="329">
        <f t="shared" si="255"/>
        <v>0.13886000000000004</v>
      </c>
      <c r="J869" s="329">
        <f t="shared" si="255"/>
        <v>9.852000000000001E-2</v>
      </c>
      <c r="K869" s="330">
        <f t="shared" si="255"/>
        <v>50.734452399999995</v>
      </c>
      <c r="L869" s="331"/>
      <c r="M869" s="399"/>
    </row>
    <row r="870" spans="2:13">
      <c r="B870" s="333">
        <v>11</v>
      </c>
      <c r="C870" s="334" t="s">
        <v>296</v>
      </c>
      <c r="D870" s="291" t="s">
        <v>244</v>
      </c>
      <c r="E870" s="307">
        <v>3.8010000000000002</v>
      </c>
      <c r="F870" s="307">
        <v>4.26</v>
      </c>
      <c r="G870" s="272">
        <v>3.5209609999999998</v>
      </c>
      <c r="H870" s="307">
        <v>5.3200339999999997</v>
      </c>
      <c r="I870" s="273">
        <v>0.13930000000000001</v>
      </c>
      <c r="J870" s="273">
        <v>9.8699999999999996E-2</v>
      </c>
      <c r="K870" s="272">
        <v>43.161093999999999</v>
      </c>
      <c r="L870" s="332"/>
      <c r="M870" s="399"/>
    </row>
    <row r="871" spans="2:13">
      <c r="B871" s="335">
        <v>12</v>
      </c>
      <c r="C871" s="320"/>
      <c r="D871" s="299" t="s">
        <v>245</v>
      </c>
      <c r="E871" s="309">
        <v>3.8090000000000002</v>
      </c>
      <c r="F871" s="309">
        <v>4.2670000000000003</v>
      </c>
      <c r="G871" s="317">
        <v>3.5193400000000001</v>
      </c>
      <c r="H871" s="309">
        <v>5.2950660000000003</v>
      </c>
      <c r="I871" s="318">
        <v>0.13950000000000001</v>
      </c>
      <c r="J871" s="318">
        <v>9.9299999999999999E-2</v>
      </c>
      <c r="K871" s="317">
        <v>42.970796</v>
      </c>
      <c r="L871" s="321"/>
      <c r="M871" s="399"/>
    </row>
    <row r="872" spans="2:13">
      <c r="B872" s="335">
        <v>13</v>
      </c>
      <c r="C872" s="320"/>
      <c r="D872" s="299" t="s">
        <v>227</v>
      </c>
      <c r="E872" s="309">
        <v>3.8140000000000001</v>
      </c>
      <c r="F872" s="309">
        <v>4.2960000000000003</v>
      </c>
      <c r="G872" s="317">
        <v>3.5386129999999998</v>
      </c>
      <c r="H872" s="309">
        <v>5.3386940000000003</v>
      </c>
      <c r="I872" s="318">
        <v>0.1394</v>
      </c>
      <c r="J872" s="318">
        <v>9.9199999999999997E-2</v>
      </c>
      <c r="K872" s="317">
        <v>43.306452</v>
      </c>
      <c r="L872" s="321"/>
      <c r="M872" s="399"/>
    </row>
    <row r="873" spans="2:13">
      <c r="B873" s="335">
        <v>14</v>
      </c>
      <c r="C873" s="320"/>
      <c r="D873" s="299" t="s">
        <v>228</v>
      </c>
      <c r="E873" s="309">
        <v>3.82</v>
      </c>
      <c r="F873" s="309">
        <v>4.37</v>
      </c>
      <c r="G873" s="317">
        <v>3.5939130000000001</v>
      </c>
      <c r="H873" s="309">
        <v>5.4442029999999999</v>
      </c>
      <c r="I873" s="318">
        <v>0.13919999999999999</v>
      </c>
      <c r="J873" s="318">
        <v>9.9099999999999994E-2</v>
      </c>
      <c r="K873" s="317">
        <v>44.096871999999998</v>
      </c>
      <c r="L873" s="321"/>
      <c r="M873" s="399"/>
    </row>
    <row r="874" spans="2:13" ht="17.25" thickBot="1">
      <c r="B874" s="336">
        <v>15</v>
      </c>
      <c r="C874" s="323"/>
      <c r="D874" s="293" t="s">
        <v>246</v>
      </c>
      <c r="E874" s="311">
        <v>3.82</v>
      </c>
      <c r="F874" s="311">
        <v>4.4219999999999997</v>
      </c>
      <c r="G874" s="278">
        <v>3.6366779999999999</v>
      </c>
      <c r="H874" s="311">
        <v>5.5282460000000002</v>
      </c>
      <c r="I874" s="279">
        <v>0.1389</v>
      </c>
      <c r="J874" s="279">
        <v>9.9000000000000005E-2</v>
      </c>
      <c r="K874" s="278">
        <v>44.666666999999997</v>
      </c>
      <c r="L874" s="324"/>
      <c r="M874" s="399"/>
    </row>
    <row r="875" spans="2:13" ht="17.25" thickBot="1">
      <c r="B875" s="337"/>
      <c r="C875" s="326"/>
      <c r="D875" s="327" t="s">
        <v>463</v>
      </c>
      <c r="E875" s="328">
        <f>AVERAGE(E870:E874)</f>
        <v>3.8128000000000002</v>
      </c>
      <c r="F875" s="328">
        <f t="shared" ref="F875:K875" si="256">AVERAGE(F870:F874)</f>
        <v>4.3230000000000004</v>
      </c>
      <c r="G875" s="328">
        <f t="shared" si="256"/>
        <v>3.5619010000000002</v>
      </c>
      <c r="H875" s="328">
        <f t="shared" si="256"/>
        <v>5.3852485999999997</v>
      </c>
      <c r="I875" s="329">
        <f t="shared" si="256"/>
        <v>0.13925999999999999</v>
      </c>
      <c r="J875" s="329">
        <f t="shared" si="256"/>
        <v>9.9059999999999995E-2</v>
      </c>
      <c r="K875" s="330">
        <f t="shared" si="256"/>
        <v>43.640376199999999</v>
      </c>
      <c r="L875" s="331"/>
      <c r="M875" s="399"/>
    </row>
    <row r="876" spans="2:13">
      <c r="B876" s="333">
        <v>16</v>
      </c>
      <c r="C876" s="271" t="s">
        <v>304</v>
      </c>
      <c r="D876" s="291" t="s">
        <v>247</v>
      </c>
      <c r="E876" s="307">
        <v>3.7919999999999998</v>
      </c>
      <c r="F876" s="307">
        <v>4.2089999999999996</v>
      </c>
      <c r="G876" s="272">
        <v>3.4870649999999999</v>
      </c>
      <c r="H876" s="307">
        <v>5.2543340000000001</v>
      </c>
      <c r="I876" s="273">
        <v>0.1389</v>
      </c>
      <c r="J876" s="273">
        <v>9.9199999999999997E-2</v>
      </c>
      <c r="K876" s="272">
        <v>42.429434999999998</v>
      </c>
      <c r="L876" s="359"/>
      <c r="M876" s="401"/>
    </row>
    <row r="877" spans="2:13">
      <c r="B877" s="335">
        <v>17</v>
      </c>
      <c r="C877" s="320"/>
      <c r="D877" s="299" t="s">
        <v>248</v>
      </c>
      <c r="E877" s="309">
        <v>3.802</v>
      </c>
      <c r="F877" s="309">
        <v>4.1870000000000003</v>
      </c>
      <c r="G877" s="317">
        <v>3.4597150000000001</v>
      </c>
      <c r="H877" s="309">
        <v>5.2180720000000003</v>
      </c>
      <c r="I877" s="318">
        <v>0.1391</v>
      </c>
      <c r="J877" s="318">
        <v>9.9400000000000002E-2</v>
      </c>
      <c r="K877" s="317">
        <v>42.122736000000003</v>
      </c>
      <c r="L877" s="321"/>
      <c r="M877" s="399"/>
    </row>
    <row r="878" spans="2:13">
      <c r="B878" s="335">
        <v>18</v>
      </c>
      <c r="C878" s="320"/>
      <c r="D878" s="299" t="s">
        <v>232</v>
      </c>
      <c r="E878" s="309">
        <v>3.8069999999999999</v>
      </c>
      <c r="F878" s="309">
        <v>4.2590000000000003</v>
      </c>
      <c r="G878" s="317">
        <v>3.5145870000000001</v>
      </c>
      <c r="H878" s="309">
        <v>5.2942939999999998</v>
      </c>
      <c r="I878" s="318">
        <v>0.13900000000000001</v>
      </c>
      <c r="J878" s="318">
        <v>9.9599999999999994E-2</v>
      </c>
      <c r="K878" s="317">
        <v>42.761043999999998</v>
      </c>
      <c r="L878" s="321"/>
      <c r="M878" s="399"/>
    </row>
    <row r="879" spans="2:13">
      <c r="B879" s="335">
        <v>19</v>
      </c>
      <c r="C879" s="320"/>
      <c r="D879" s="299" t="s">
        <v>233</v>
      </c>
      <c r="E879" s="309">
        <v>3.8119999999999998</v>
      </c>
      <c r="F879" s="309">
        <v>4.2679999999999998</v>
      </c>
      <c r="G879" s="317">
        <v>3.5173939999999999</v>
      </c>
      <c r="H879" s="309">
        <v>5.3015150000000002</v>
      </c>
      <c r="I879" s="318">
        <v>0.13869999999999999</v>
      </c>
      <c r="J879" s="318">
        <v>9.98E-2</v>
      </c>
      <c r="K879" s="317">
        <v>42.765531000000003</v>
      </c>
      <c r="L879" s="321"/>
      <c r="M879" s="399"/>
    </row>
    <row r="880" spans="2:13" ht="17.25" thickBot="1">
      <c r="B880" s="336">
        <v>20</v>
      </c>
      <c r="C880" s="323"/>
      <c r="D880" s="293" t="s">
        <v>249</v>
      </c>
      <c r="E880" s="311">
        <v>3.8109999999999999</v>
      </c>
      <c r="F880" s="311">
        <v>4.359</v>
      </c>
      <c r="G880" s="278">
        <v>3.5933329999999999</v>
      </c>
      <c r="H880" s="311">
        <v>5.4079519999999999</v>
      </c>
      <c r="I880" s="279">
        <v>0.1384</v>
      </c>
      <c r="J880" s="279">
        <v>0.1</v>
      </c>
      <c r="K880" s="278">
        <v>43.59</v>
      </c>
      <c r="L880" s="324"/>
      <c r="M880" s="399"/>
    </row>
    <row r="881" spans="2:13" ht="17.25" thickBot="1">
      <c r="B881" s="337"/>
      <c r="C881" s="326"/>
      <c r="D881" s="327" t="s">
        <v>463</v>
      </c>
      <c r="E881" s="328">
        <f>AVERAGE(E876:E880)</f>
        <v>3.8048000000000002</v>
      </c>
      <c r="F881" s="328">
        <f t="shared" ref="F881:K881" si="257">AVERAGE(F876:F880)</f>
        <v>4.2564000000000011</v>
      </c>
      <c r="G881" s="328">
        <f t="shared" si="257"/>
        <v>3.5144188000000001</v>
      </c>
      <c r="H881" s="328">
        <f t="shared" si="257"/>
        <v>5.2952334000000008</v>
      </c>
      <c r="I881" s="329">
        <f t="shared" si="257"/>
        <v>0.13882</v>
      </c>
      <c r="J881" s="329">
        <f t="shared" si="257"/>
        <v>9.9599999999999994E-2</v>
      </c>
      <c r="K881" s="328">
        <f t="shared" si="257"/>
        <v>42.733749199999998</v>
      </c>
      <c r="L881" s="331"/>
      <c r="M881" s="399"/>
    </row>
    <row r="882" spans="2:13">
      <c r="B882" s="333">
        <v>21</v>
      </c>
      <c r="C882" s="271" t="s">
        <v>304</v>
      </c>
      <c r="D882" s="291" t="s">
        <v>250</v>
      </c>
      <c r="E882" s="307">
        <v>3.7879999999999998</v>
      </c>
      <c r="F882" s="307">
        <v>4.1879999999999997</v>
      </c>
      <c r="G882" s="272">
        <v>3.4733309999999999</v>
      </c>
      <c r="H882" s="307">
        <v>5.2310939999999997</v>
      </c>
      <c r="I882" s="273">
        <v>0.13900000000000001</v>
      </c>
      <c r="J882" s="273">
        <v>9.9199999999999997E-2</v>
      </c>
      <c r="K882" s="272">
        <v>42.217742000000001</v>
      </c>
      <c r="L882" s="332"/>
      <c r="M882" s="399"/>
    </row>
    <row r="883" spans="2:13">
      <c r="B883" s="335">
        <v>22</v>
      </c>
      <c r="C883" s="320"/>
      <c r="D883" s="299" t="s">
        <v>251</v>
      </c>
      <c r="E883" s="309">
        <v>3.7949999999999999</v>
      </c>
      <c r="F883" s="309">
        <v>4.1890000000000001</v>
      </c>
      <c r="G883" s="317">
        <v>3.4677519999999999</v>
      </c>
      <c r="H883" s="309">
        <v>5.2165150000000002</v>
      </c>
      <c r="I883" s="318">
        <v>0.13919999999999999</v>
      </c>
      <c r="J883" s="318">
        <v>9.9400000000000002E-2</v>
      </c>
      <c r="K883" s="317">
        <v>42.142856999999999</v>
      </c>
      <c r="L883" s="321"/>
      <c r="M883" s="399"/>
    </row>
    <row r="884" spans="2:13">
      <c r="B884" s="335">
        <v>23</v>
      </c>
      <c r="C884" s="320"/>
      <c r="D884" s="299" t="s">
        <v>237</v>
      </c>
      <c r="E884" s="309">
        <v>3.802</v>
      </c>
      <c r="F884" s="309">
        <v>4.2279999999999998</v>
      </c>
      <c r="G884" s="317">
        <v>3.4935939999999999</v>
      </c>
      <c r="H884" s="309">
        <v>5.2514859999999999</v>
      </c>
      <c r="I884" s="318">
        <v>0.13900000000000001</v>
      </c>
      <c r="J884" s="318">
        <v>9.9599999999999994E-2</v>
      </c>
      <c r="K884" s="317">
        <v>42.449798999999999</v>
      </c>
      <c r="L884" s="321"/>
      <c r="M884" s="399"/>
    </row>
    <row r="885" spans="2:13">
      <c r="B885" s="335">
        <v>24</v>
      </c>
      <c r="C885" s="320"/>
      <c r="D885" s="299" t="s">
        <v>238</v>
      </c>
      <c r="E885" s="309">
        <v>3.8039999999999998</v>
      </c>
      <c r="F885" s="309">
        <v>4.274</v>
      </c>
      <c r="G885" s="317">
        <v>3.5297459999999998</v>
      </c>
      <c r="H885" s="309">
        <v>5.3103600000000002</v>
      </c>
      <c r="I885" s="318">
        <v>0.13869999999999999</v>
      </c>
      <c r="J885" s="318">
        <v>9.98E-2</v>
      </c>
      <c r="K885" s="317">
        <v>42.825651000000001</v>
      </c>
      <c r="L885" s="321"/>
      <c r="M885" s="399"/>
    </row>
    <row r="886" spans="2:13" ht="17.25" thickBot="1">
      <c r="B886" s="336">
        <v>25</v>
      </c>
      <c r="C886" s="323"/>
      <c r="D886" s="293" t="s">
        <v>252</v>
      </c>
      <c r="E886" s="311">
        <v>3.8039999999999998</v>
      </c>
      <c r="F886" s="311">
        <v>4.3220000000000001</v>
      </c>
      <c r="G886" s="278">
        <v>3.569388</v>
      </c>
      <c r="H886" s="311">
        <v>5.3719390000000002</v>
      </c>
      <c r="I886" s="279">
        <v>0.13850000000000001</v>
      </c>
      <c r="J886" s="279">
        <v>0.1</v>
      </c>
      <c r="K886" s="278">
        <v>43.22</v>
      </c>
      <c r="L886" s="324"/>
      <c r="M886" s="399"/>
    </row>
    <row r="887" spans="2:13" ht="17.25" thickBot="1">
      <c r="B887" s="339" t="s">
        <v>464</v>
      </c>
      <c r="C887" s="340"/>
      <c r="D887" s="341" t="s">
        <v>465</v>
      </c>
      <c r="E887" s="342">
        <f>AVERAGE(E882:E886)</f>
        <v>3.7985999999999995</v>
      </c>
      <c r="F887" s="342">
        <f t="shared" ref="F887:K887" si="258">AVERAGE(F882:F886)</f>
        <v>4.2401999999999997</v>
      </c>
      <c r="G887" s="342">
        <f t="shared" si="258"/>
        <v>3.5067621999999998</v>
      </c>
      <c r="H887" s="342">
        <f t="shared" si="258"/>
        <v>5.2762788</v>
      </c>
      <c r="I887" s="343">
        <f t="shared" si="258"/>
        <v>0.13888000000000003</v>
      </c>
      <c r="J887" s="343">
        <f t="shared" si="258"/>
        <v>9.9599999999999994E-2</v>
      </c>
      <c r="K887" s="342">
        <f t="shared" si="258"/>
        <v>42.571209800000005</v>
      </c>
      <c r="L887" s="344"/>
      <c r="M887" s="399"/>
    </row>
    <row r="888" spans="2:13">
      <c r="B888" s="333"/>
      <c r="C888" s="345"/>
      <c r="D888" s="291" t="s">
        <v>466</v>
      </c>
      <c r="E888" s="346">
        <f>MEDIAN(E858:E862,E864:E868,E870:E874,E876:E880,E882:E886)</f>
        <v>3.8140000000000001</v>
      </c>
      <c r="F888" s="346">
        <f t="shared" ref="F888:K888" si="259">MEDIAN(F858:F862,F864:F868,F870:F874,F876:F880,F882:F886)</f>
        <v>4.359</v>
      </c>
      <c r="G888" s="346">
        <f t="shared" si="259"/>
        <v>3.5933329999999999</v>
      </c>
      <c r="H888" s="346">
        <f t="shared" si="259"/>
        <v>5.4079519999999999</v>
      </c>
      <c r="I888" s="347">
        <f t="shared" si="259"/>
        <v>0.13900000000000001</v>
      </c>
      <c r="J888" s="347">
        <f t="shared" si="259"/>
        <v>9.9099999999999994E-2</v>
      </c>
      <c r="K888" s="348">
        <f t="shared" si="259"/>
        <v>43.59</v>
      </c>
      <c r="L888" s="332"/>
      <c r="M888" s="399"/>
    </row>
    <row r="889" spans="2:13">
      <c r="B889" s="335"/>
      <c r="C889" s="320"/>
      <c r="D889" s="299" t="s">
        <v>467</v>
      </c>
      <c r="E889" s="349">
        <f>AVERAGE(E858:E862,E864:E868,E870:E874,E876:E880,E882:E886)</f>
        <v>3.8316000000000003</v>
      </c>
      <c r="F889" s="349">
        <f t="shared" ref="F889:K889" si="260">AVERAGE(F858:F862,F864:F868,F870:F874,F876:F880,F882:F886)</f>
        <v>4.5656400000000001</v>
      </c>
      <c r="G889" s="349">
        <f t="shared" si="260"/>
        <v>3.741086800000001</v>
      </c>
      <c r="H889" s="349">
        <f t="shared" si="260"/>
        <v>5.6976512000000001</v>
      </c>
      <c r="I889" s="350">
        <f t="shared" si="260"/>
        <v>0.138956</v>
      </c>
      <c r="J889" s="350">
        <f t="shared" si="260"/>
        <v>9.9040000000000017E-2</v>
      </c>
      <c r="K889" s="351">
        <f t="shared" si="260"/>
        <v>46.117301439999999</v>
      </c>
      <c r="L889" s="321"/>
      <c r="M889" s="399"/>
    </row>
    <row r="890" spans="2:13">
      <c r="B890" s="335"/>
      <c r="C890" s="320"/>
      <c r="D890" s="299" t="s">
        <v>199</v>
      </c>
      <c r="E890" s="349">
        <f>MAX(E858:E862,E864:E868,E870:E874,E876:E880,E882:E886)</f>
        <v>3.891</v>
      </c>
      <c r="F890" s="349">
        <f t="shared" ref="F890:K890" si="261">MAX(F858:F862,F864:F868,F870:F874,F876:F880,F882:F886)</f>
        <v>5.165</v>
      </c>
      <c r="G890" s="349">
        <f t="shared" si="261"/>
        <v>4.1702159999999999</v>
      </c>
      <c r="H890" s="349">
        <f t="shared" si="261"/>
        <v>6.478091</v>
      </c>
      <c r="I890" s="350">
        <f t="shared" si="261"/>
        <v>0.13950000000000001</v>
      </c>
      <c r="J890" s="350">
        <f t="shared" si="261"/>
        <v>0.1</v>
      </c>
      <c r="K890" s="351">
        <f t="shared" si="261"/>
        <v>52.436548000000002</v>
      </c>
      <c r="L890" s="321"/>
      <c r="M890" s="399"/>
    </row>
    <row r="891" spans="2:13">
      <c r="B891" s="335"/>
      <c r="C891" s="320"/>
      <c r="D891" s="299" t="s">
        <v>200</v>
      </c>
      <c r="E891" s="349">
        <f>MIN(E858:E862,E864:E868,E870:E874,E876:E880,E882:E886)</f>
        <v>3.7879999999999998</v>
      </c>
      <c r="F891" s="349">
        <f t="shared" ref="F891:K891" si="262">MIN(F858:F862,F864:F868,F870:F874,F876:F880,F882:F886)</f>
        <v>4.1870000000000003</v>
      </c>
      <c r="G891" s="349">
        <f t="shared" si="262"/>
        <v>3.4597150000000001</v>
      </c>
      <c r="H891" s="349">
        <f t="shared" si="262"/>
        <v>5.2165150000000002</v>
      </c>
      <c r="I891" s="350">
        <f t="shared" si="262"/>
        <v>0.1384</v>
      </c>
      <c r="J891" s="350">
        <f t="shared" si="262"/>
        <v>9.8199999999999996E-2</v>
      </c>
      <c r="K891" s="351">
        <f t="shared" si="262"/>
        <v>42.122736000000003</v>
      </c>
      <c r="L891" s="321"/>
      <c r="M891" s="399"/>
    </row>
    <row r="892" spans="2:13">
      <c r="B892" s="335"/>
      <c r="C892" s="320"/>
      <c r="D892" s="299" t="s">
        <v>201</v>
      </c>
      <c r="E892" s="349">
        <f>E890-E891</f>
        <v>0.1030000000000002</v>
      </c>
      <c r="F892" s="349">
        <f t="shared" ref="F892:K892" si="263">F890-F891</f>
        <v>0.97799999999999976</v>
      </c>
      <c r="G892" s="349">
        <f t="shared" si="263"/>
        <v>0.71050099999999983</v>
      </c>
      <c r="H892" s="349">
        <f t="shared" si="263"/>
        <v>1.2615759999999998</v>
      </c>
      <c r="I892" s="350">
        <f t="shared" si="263"/>
        <v>1.1000000000000176E-3</v>
      </c>
      <c r="J892" s="350">
        <f t="shared" si="263"/>
        <v>1.8000000000000099E-3</v>
      </c>
      <c r="K892" s="349">
        <f t="shared" si="263"/>
        <v>10.313811999999999</v>
      </c>
      <c r="L892" s="321"/>
      <c r="M892" s="399"/>
    </row>
    <row r="893" spans="2:13" ht="17.25" thickBot="1">
      <c r="B893" s="336"/>
      <c r="C893" s="323"/>
      <c r="D893" s="293" t="s">
        <v>202</v>
      </c>
      <c r="E893" s="352">
        <f>STDEVA(E858:E862,E864:E868,E870:E874,E876:E880,E882:E886)</f>
        <v>3.5078483433580755E-2</v>
      </c>
      <c r="F893" s="352">
        <f t="shared" ref="F893:K893" si="264">STDEVA(F858:F862,F864:F868,F870:F874,F876:F880,F882:F886)</f>
        <v>0.37579248262837833</v>
      </c>
      <c r="G893" s="352">
        <f t="shared" si="264"/>
        <v>0.27334832790400726</v>
      </c>
      <c r="H893" s="352">
        <f t="shared" si="264"/>
        <v>0.48662328224536283</v>
      </c>
      <c r="I893" s="353">
        <f t="shared" si="264"/>
        <v>2.7398296784046183E-4</v>
      </c>
      <c r="J893" s="353">
        <f t="shared" si="264"/>
        <v>5.664215155988826E-4</v>
      </c>
      <c r="K893" s="352">
        <f t="shared" si="264"/>
        <v>4.0186180759670886</v>
      </c>
      <c r="L893" s="324"/>
      <c r="M893" s="399"/>
    </row>
    <row r="895" spans="2:13">
      <c r="B895" s="240" t="s">
        <v>494</v>
      </c>
      <c r="C895" s="240"/>
      <c r="E895" s="240"/>
      <c r="F895" s="240"/>
      <c r="G895" s="240"/>
      <c r="H895" s="240"/>
      <c r="I895" s="240"/>
      <c r="J895" s="240"/>
      <c r="K895" s="240"/>
    </row>
    <row r="896" spans="2:13" ht="17.25" thickBot="1">
      <c r="B896" s="240" t="s">
        <v>469</v>
      </c>
      <c r="C896" s="240"/>
      <c r="E896" s="240"/>
      <c r="F896" s="240"/>
      <c r="G896" s="240"/>
      <c r="H896" s="240"/>
      <c r="I896" s="240"/>
      <c r="J896" s="240"/>
      <c r="K896" s="240"/>
    </row>
    <row r="897" spans="2:13" ht="17.25" thickBot="1">
      <c r="B897" s="313" t="s">
        <v>11</v>
      </c>
      <c r="C897" s="250" t="s">
        <v>0</v>
      </c>
      <c r="D897" s="250" t="s">
        <v>1</v>
      </c>
      <c r="E897" s="250" t="s">
        <v>2</v>
      </c>
      <c r="F897" s="250" t="s">
        <v>3</v>
      </c>
      <c r="G897" s="250" t="s">
        <v>192</v>
      </c>
      <c r="H897" s="250" t="s">
        <v>16</v>
      </c>
      <c r="I897" s="250" t="s">
        <v>6</v>
      </c>
      <c r="J897" s="251" t="s">
        <v>7</v>
      </c>
      <c r="K897" s="252" t="s">
        <v>8</v>
      </c>
      <c r="L897" s="254" t="s">
        <v>470</v>
      </c>
      <c r="M897" s="404"/>
    </row>
    <row r="898" spans="2:13">
      <c r="B898" s="314">
        <v>1</v>
      </c>
      <c r="C898" s="271" t="s">
        <v>325</v>
      </c>
      <c r="D898" s="291" t="s">
        <v>213</v>
      </c>
      <c r="E898" s="307">
        <v>3.81</v>
      </c>
      <c r="F898" s="307">
        <v>4.4870000000000001</v>
      </c>
      <c r="G898" s="272">
        <v>3.6998199999999999</v>
      </c>
      <c r="H898" s="307">
        <v>5.5710889999999997</v>
      </c>
      <c r="I898" s="273">
        <v>0.1391</v>
      </c>
      <c r="J898" s="273">
        <v>9.9299999999999999E-2</v>
      </c>
      <c r="K898" s="272">
        <v>45.186304</v>
      </c>
      <c r="L898" s="275"/>
      <c r="M898" s="397"/>
    </row>
    <row r="899" spans="2:13">
      <c r="B899" s="315">
        <v>2</v>
      </c>
      <c r="C899" s="316"/>
      <c r="D899" s="299" t="s">
        <v>214</v>
      </c>
      <c r="E899" s="309">
        <v>3.8119999999999998</v>
      </c>
      <c r="F899" s="309">
        <v>4.5060000000000002</v>
      </c>
      <c r="G899" s="317">
        <v>3.7135370000000001</v>
      </c>
      <c r="H899" s="309">
        <v>5.6076030000000001</v>
      </c>
      <c r="I899" s="318">
        <v>0.1391</v>
      </c>
      <c r="J899" s="318">
        <v>9.9299999999999999E-2</v>
      </c>
      <c r="K899" s="317">
        <v>45.377643999999997</v>
      </c>
      <c r="L899" s="319"/>
      <c r="M899" s="398"/>
    </row>
    <row r="900" spans="2:13">
      <c r="B900" s="315">
        <v>3</v>
      </c>
      <c r="C900" s="320"/>
      <c r="D900" s="299" t="s">
        <v>217</v>
      </c>
      <c r="E900" s="309">
        <v>3.8119999999999998</v>
      </c>
      <c r="F900" s="309">
        <v>4.5090000000000003</v>
      </c>
      <c r="G900" s="317">
        <v>3.7160099999999998</v>
      </c>
      <c r="H900" s="309">
        <v>5.6190410000000002</v>
      </c>
      <c r="I900" s="318">
        <v>0.13900000000000001</v>
      </c>
      <c r="J900" s="318">
        <v>9.9199999999999997E-2</v>
      </c>
      <c r="K900" s="317">
        <v>45.453628999999999</v>
      </c>
      <c r="L900" s="356"/>
      <c r="M900" s="400"/>
    </row>
    <row r="901" spans="2:13">
      <c r="B901" s="315">
        <v>4</v>
      </c>
      <c r="C901" s="320"/>
      <c r="D901" s="299" t="s">
        <v>218</v>
      </c>
      <c r="E901" s="309">
        <v>3.81</v>
      </c>
      <c r="F901" s="309">
        <v>4.5049999999999999</v>
      </c>
      <c r="G901" s="317">
        <v>3.7146620000000001</v>
      </c>
      <c r="H901" s="309">
        <v>5.6239650000000001</v>
      </c>
      <c r="I901" s="318">
        <v>0.1389</v>
      </c>
      <c r="J901" s="318">
        <v>9.9000000000000005E-2</v>
      </c>
      <c r="K901" s="317">
        <v>45.505051000000002</v>
      </c>
      <c r="L901" s="356"/>
      <c r="M901" s="400"/>
    </row>
    <row r="902" spans="2:13" ht="17.25" thickBot="1">
      <c r="B902" s="322">
        <v>5</v>
      </c>
      <c r="C902" s="323"/>
      <c r="D902" s="354" t="s">
        <v>240</v>
      </c>
      <c r="E902" s="311">
        <v>3.806</v>
      </c>
      <c r="F902" s="311">
        <v>4.4820000000000002</v>
      </c>
      <c r="G902" s="278">
        <v>3.6995809999999998</v>
      </c>
      <c r="H902" s="311">
        <v>5.5958160000000001</v>
      </c>
      <c r="I902" s="279">
        <v>0.13900000000000001</v>
      </c>
      <c r="J902" s="279">
        <v>9.8900000000000002E-2</v>
      </c>
      <c r="K902" s="278">
        <v>45.318503999999997</v>
      </c>
      <c r="L902" s="324"/>
      <c r="M902" s="399"/>
    </row>
    <row r="903" spans="2:13" ht="17.25" thickBot="1">
      <c r="B903" s="325"/>
      <c r="C903" s="326"/>
      <c r="D903" s="327" t="s">
        <v>463</v>
      </c>
      <c r="E903" s="328">
        <f>AVERAGE(E898:E902)</f>
        <v>3.81</v>
      </c>
      <c r="F903" s="328">
        <f t="shared" ref="F903:K903" si="265">AVERAGE(F898:F902)</f>
        <v>4.4977999999999998</v>
      </c>
      <c r="G903" s="328">
        <f t="shared" si="265"/>
        <v>3.7087219999999994</v>
      </c>
      <c r="H903" s="328">
        <f t="shared" si="265"/>
        <v>5.6035027999999993</v>
      </c>
      <c r="I903" s="329">
        <f t="shared" si="265"/>
        <v>0.13902</v>
      </c>
      <c r="J903" s="329">
        <f t="shared" si="265"/>
        <v>9.9140000000000006E-2</v>
      </c>
      <c r="K903" s="330">
        <f t="shared" si="265"/>
        <v>45.368226399999998</v>
      </c>
      <c r="L903" s="331"/>
      <c r="M903" s="399"/>
    </row>
    <row r="904" spans="2:13">
      <c r="B904" s="314">
        <v>6</v>
      </c>
      <c r="C904" s="271" t="s">
        <v>324</v>
      </c>
      <c r="D904" s="291" t="s">
        <v>241</v>
      </c>
      <c r="E904" s="307">
        <v>3.8069999999999999</v>
      </c>
      <c r="F904" s="307">
        <v>4.4690000000000003</v>
      </c>
      <c r="G904" s="272">
        <v>3.6878820000000001</v>
      </c>
      <c r="H904" s="307">
        <v>5.5533419999999998</v>
      </c>
      <c r="I904" s="273">
        <v>0.1391</v>
      </c>
      <c r="J904" s="273">
        <v>9.9400000000000002E-2</v>
      </c>
      <c r="K904" s="272">
        <v>44.959758999999998</v>
      </c>
      <c r="L904" s="332"/>
      <c r="M904" s="399"/>
    </row>
    <row r="905" spans="2:13">
      <c r="B905" s="315">
        <v>7</v>
      </c>
      <c r="C905" s="320"/>
      <c r="D905" s="299" t="s">
        <v>242</v>
      </c>
      <c r="E905" s="309">
        <v>3.81</v>
      </c>
      <c r="F905" s="309">
        <v>4.4909999999999997</v>
      </c>
      <c r="G905" s="317">
        <v>3.7031179999999999</v>
      </c>
      <c r="H905" s="309">
        <v>5.5803120000000002</v>
      </c>
      <c r="I905" s="318">
        <v>0.13900000000000001</v>
      </c>
      <c r="J905" s="318">
        <v>9.9400000000000002E-2</v>
      </c>
      <c r="K905" s="317">
        <v>45.181086999999998</v>
      </c>
      <c r="L905" s="321"/>
      <c r="M905" s="399"/>
    </row>
    <row r="906" spans="2:13">
      <c r="B906" s="315">
        <v>8</v>
      </c>
      <c r="C906" s="320"/>
      <c r="D906" s="299" t="s">
        <v>222</v>
      </c>
      <c r="E906" s="309">
        <v>3.8109999999999999</v>
      </c>
      <c r="F906" s="309">
        <v>4.4989999999999997</v>
      </c>
      <c r="G906" s="317">
        <v>3.7087409999999998</v>
      </c>
      <c r="H906" s="309">
        <v>5.6035680000000001</v>
      </c>
      <c r="I906" s="318">
        <v>0.1389</v>
      </c>
      <c r="J906" s="318">
        <v>9.9400000000000002E-2</v>
      </c>
      <c r="K906" s="317">
        <v>45.261569000000001</v>
      </c>
      <c r="L906" s="321"/>
      <c r="M906" s="399"/>
    </row>
    <row r="907" spans="2:13">
      <c r="B907" s="315">
        <v>9</v>
      </c>
      <c r="C907" s="320"/>
      <c r="D907" s="299" t="s">
        <v>223</v>
      </c>
      <c r="E907" s="309">
        <v>3.81</v>
      </c>
      <c r="F907" s="309">
        <v>4.5030000000000001</v>
      </c>
      <c r="G907" s="317">
        <v>3.7130130000000001</v>
      </c>
      <c r="H907" s="309">
        <v>5.6176690000000002</v>
      </c>
      <c r="I907" s="318">
        <v>0.13869999999999999</v>
      </c>
      <c r="J907" s="318">
        <v>9.9199999999999997E-2</v>
      </c>
      <c r="K907" s="317">
        <v>45.393144999999997</v>
      </c>
      <c r="L907" s="321"/>
      <c r="M907" s="399"/>
    </row>
    <row r="908" spans="2:13" ht="17.25" thickBot="1">
      <c r="B908" s="322">
        <v>10</v>
      </c>
      <c r="C908" s="323"/>
      <c r="D908" s="293" t="s">
        <v>243</v>
      </c>
      <c r="E908" s="311">
        <v>3.8069999999999999</v>
      </c>
      <c r="F908" s="311">
        <v>4.484</v>
      </c>
      <c r="G908" s="278">
        <v>3.7002600000000001</v>
      </c>
      <c r="H908" s="311">
        <v>5.5969480000000003</v>
      </c>
      <c r="I908" s="279">
        <v>0.13880000000000001</v>
      </c>
      <c r="J908" s="279">
        <v>9.9099999999999994E-2</v>
      </c>
      <c r="K908" s="278">
        <v>45.247225</v>
      </c>
      <c r="L908" s="324"/>
      <c r="M908" s="399"/>
    </row>
    <row r="909" spans="2:13" ht="17.25" thickBot="1">
      <c r="B909" s="325" t="s">
        <v>464</v>
      </c>
      <c r="C909" s="326"/>
      <c r="D909" s="327" t="s">
        <v>463</v>
      </c>
      <c r="E909" s="328">
        <f t="shared" ref="E909:K909" si="266">AVERAGE(E904:E908)</f>
        <v>3.8090000000000002</v>
      </c>
      <c r="F909" s="328">
        <f t="shared" si="266"/>
        <v>4.4891999999999994</v>
      </c>
      <c r="G909" s="328">
        <f t="shared" si="266"/>
        <v>3.7026027999999997</v>
      </c>
      <c r="H909" s="328">
        <f t="shared" si="266"/>
        <v>5.5903678000000001</v>
      </c>
      <c r="I909" s="329">
        <f t="shared" si="266"/>
        <v>0.13890000000000002</v>
      </c>
      <c r="J909" s="329">
        <f t="shared" si="266"/>
        <v>9.9300000000000013E-2</v>
      </c>
      <c r="K909" s="330">
        <f t="shared" si="266"/>
        <v>45.208556999999999</v>
      </c>
      <c r="L909" s="331"/>
      <c r="M909" s="399"/>
    </row>
    <row r="910" spans="2:13">
      <c r="B910" s="333">
        <v>11</v>
      </c>
      <c r="C910" s="334" t="s">
        <v>296</v>
      </c>
      <c r="D910" s="291" t="s">
        <v>244</v>
      </c>
      <c r="E910" s="307">
        <v>3.8079999999999998</v>
      </c>
      <c r="F910" s="307">
        <v>4.5229999999999997</v>
      </c>
      <c r="G910" s="272">
        <v>3.7314630000000002</v>
      </c>
      <c r="H910" s="307">
        <v>5.6218750000000002</v>
      </c>
      <c r="I910" s="273">
        <v>0.13869999999999999</v>
      </c>
      <c r="J910" s="273">
        <v>9.9500000000000005E-2</v>
      </c>
      <c r="K910" s="272">
        <v>45.457286000000003</v>
      </c>
      <c r="L910" s="332"/>
      <c r="M910" s="399"/>
    </row>
    <row r="911" spans="2:13">
      <c r="B911" s="335">
        <v>12</v>
      </c>
      <c r="C911" s="320"/>
      <c r="D911" s="299" t="s">
        <v>245</v>
      </c>
      <c r="E911" s="309">
        <v>3.8130000000000002</v>
      </c>
      <c r="F911" s="309">
        <v>4.5449999999999999</v>
      </c>
      <c r="G911" s="317">
        <v>3.7446959999999998</v>
      </c>
      <c r="H911" s="309">
        <v>5.6516409999999997</v>
      </c>
      <c r="I911" s="318">
        <v>0.1386</v>
      </c>
      <c r="J911" s="318">
        <v>9.9599999999999994E-2</v>
      </c>
      <c r="K911" s="317">
        <v>45.632530000000003</v>
      </c>
      <c r="L911" s="321"/>
      <c r="M911" s="399"/>
    </row>
    <row r="912" spans="2:13">
      <c r="B912" s="335">
        <v>13</v>
      </c>
      <c r="C912" s="320"/>
      <c r="D912" s="299" t="s">
        <v>227</v>
      </c>
      <c r="E912" s="309">
        <v>3.8159999999999998</v>
      </c>
      <c r="F912" s="309">
        <v>4.5449999999999999</v>
      </c>
      <c r="G912" s="317">
        <v>3.741752</v>
      </c>
      <c r="H912" s="309">
        <v>5.6442249999999996</v>
      </c>
      <c r="I912" s="318">
        <v>0.13850000000000001</v>
      </c>
      <c r="J912" s="318">
        <v>9.98E-2</v>
      </c>
      <c r="K912" s="317">
        <v>45.541082000000003</v>
      </c>
      <c r="L912" s="321"/>
      <c r="M912" s="399"/>
    </row>
    <row r="913" spans="2:13">
      <c r="B913" s="335">
        <v>14</v>
      </c>
      <c r="C913" s="320"/>
      <c r="D913" s="299" t="s">
        <v>228</v>
      </c>
      <c r="E913" s="309">
        <v>3.8140000000000001</v>
      </c>
      <c r="F913" s="309">
        <v>4.5720000000000001</v>
      </c>
      <c r="G913" s="317">
        <v>3.7659539999999998</v>
      </c>
      <c r="H913" s="309">
        <v>5.6862680000000001</v>
      </c>
      <c r="I913" s="318">
        <v>0.13830000000000001</v>
      </c>
      <c r="J913" s="318">
        <v>9.98E-2</v>
      </c>
      <c r="K913" s="317">
        <v>45.811622999999997</v>
      </c>
      <c r="L913" s="321"/>
      <c r="M913" s="399"/>
    </row>
    <row r="914" spans="2:13" ht="17.25" thickBot="1">
      <c r="B914" s="336">
        <v>15</v>
      </c>
      <c r="C914" s="323"/>
      <c r="D914" s="293" t="s">
        <v>246</v>
      </c>
      <c r="E914" s="311">
        <v>3.8109999999999999</v>
      </c>
      <c r="F914" s="311">
        <v>4.556</v>
      </c>
      <c r="G914" s="278">
        <v>3.7557290000000001</v>
      </c>
      <c r="H914" s="311">
        <v>5.6752050000000001</v>
      </c>
      <c r="I914" s="279">
        <v>0.1384</v>
      </c>
      <c r="J914" s="279">
        <v>9.9599999999999994E-2</v>
      </c>
      <c r="K914" s="278">
        <v>45.742972000000002</v>
      </c>
      <c r="L914" s="324"/>
      <c r="M914" s="399"/>
    </row>
    <row r="915" spans="2:13" ht="17.25" thickBot="1">
      <c r="B915" s="337"/>
      <c r="C915" s="326"/>
      <c r="D915" s="327" t="s">
        <v>463</v>
      </c>
      <c r="E915" s="328">
        <f>AVERAGE(E910:E914)</f>
        <v>3.8124000000000002</v>
      </c>
      <c r="F915" s="328">
        <f t="shared" ref="F915:K915" si="267">AVERAGE(F910:F914)</f>
        <v>4.5481999999999996</v>
      </c>
      <c r="G915" s="328">
        <f t="shared" si="267"/>
        <v>3.7479187999999999</v>
      </c>
      <c r="H915" s="328">
        <f t="shared" si="267"/>
        <v>5.6558427999999994</v>
      </c>
      <c r="I915" s="329">
        <f t="shared" si="267"/>
        <v>0.13850000000000001</v>
      </c>
      <c r="J915" s="329">
        <f t="shared" si="267"/>
        <v>9.9659999999999999E-2</v>
      </c>
      <c r="K915" s="330">
        <f t="shared" si="267"/>
        <v>45.637098600000002</v>
      </c>
      <c r="L915" s="331"/>
      <c r="M915" s="399"/>
    </row>
    <row r="916" spans="2:13">
      <c r="B916" s="333">
        <v>16</v>
      </c>
      <c r="C916" s="271" t="s">
        <v>324</v>
      </c>
      <c r="D916" s="291" t="s">
        <v>247</v>
      </c>
      <c r="E916" s="307">
        <v>3.8050000000000002</v>
      </c>
      <c r="F916" s="307">
        <v>4.4459999999999997</v>
      </c>
      <c r="G916" s="272">
        <v>3.67083</v>
      </c>
      <c r="H916" s="307">
        <v>5.5250320000000004</v>
      </c>
      <c r="I916" s="273">
        <v>0.1391</v>
      </c>
      <c r="J916" s="273">
        <v>9.9299999999999999E-2</v>
      </c>
      <c r="K916" s="272">
        <v>44.773414000000002</v>
      </c>
      <c r="L916" s="359"/>
      <c r="M916" s="401"/>
    </row>
    <row r="917" spans="2:13">
      <c r="B917" s="335">
        <v>17</v>
      </c>
      <c r="C917" s="320"/>
      <c r="D917" s="299" t="s">
        <v>248</v>
      </c>
      <c r="E917" s="309">
        <v>3.8130000000000002</v>
      </c>
      <c r="F917" s="309">
        <v>4.4969999999999999</v>
      </c>
      <c r="G917" s="317">
        <v>3.7051479999999999</v>
      </c>
      <c r="H917" s="309">
        <v>5.5965720000000001</v>
      </c>
      <c r="I917" s="318">
        <v>0.1389</v>
      </c>
      <c r="J917" s="318">
        <v>9.9299999999999999E-2</v>
      </c>
      <c r="K917" s="317">
        <v>45.287008999999998</v>
      </c>
      <c r="L917" s="321"/>
      <c r="M917" s="399"/>
    </row>
    <row r="918" spans="2:13">
      <c r="B918" s="335">
        <v>18</v>
      </c>
      <c r="C918" s="320"/>
      <c r="D918" s="299" t="s">
        <v>232</v>
      </c>
      <c r="E918" s="309">
        <v>3.8130000000000002</v>
      </c>
      <c r="F918" s="309">
        <v>4.508</v>
      </c>
      <c r="G918" s="317">
        <v>3.7142110000000002</v>
      </c>
      <c r="H918" s="309">
        <v>5.6163679999999996</v>
      </c>
      <c r="I918" s="318">
        <v>0.13880000000000001</v>
      </c>
      <c r="J918" s="318">
        <v>9.9299999999999999E-2</v>
      </c>
      <c r="K918" s="317">
        <v>45.397784000000001</v>
      </c>
      <c r="L918" s="321"/>
      <c r="M918" s="399"/>
    </row>
    <row r="919" spans="2:13">
      <c r="B919" s="335">
        <v>19</v>
      </c>
      <c r="C919" s="320"/>
      <c r="D919" s="299" t="s">
        <v>233</v>
      </c>
      <c r="E919" s="309">
        <v>3.8130000000000002</v>
      </c>
      <c r="F919" s="309">
        <v>4.5179999999999998</v>
      </c>
      <c r="G919" s="317">
        <v>3.7224499999999998</v>
      </c>
      <c r="H919" s="309">
        <v>5.6438490000000003</v>
      </c>
      <c r="I919" s="318">
        <v>0.1386</v>
      </c>
      <c r="J919" s="318">
        <v>9.9199999999999997E-2</v>
      </c>
      <c r="K919" s="317">
        <v>45.544355000000003</v>
      </c>
      <c r="L919" s="321"/>
      <c r="M919" s="399"/>
    </row>
    <row r="920" spans="2:13" ht="17.25" thickBot="1">
      <c r="B920" s="336">
        <v>20</v>
      </c>
      <c r="C920" s="323"/>
      <c r="D920" s="293" t="s">
        <v>249</v>
      </c>
      <c r="E920" s="311">
        <v>3.8109999999999999</v>
      </c>
      <c r="F920" s="311">
        <v>4.484</v>
      </c>
      <c r="G920" s="278">
        <v>3.6963759999999999</v>
      </c>
      <c r="H920" s="311">
        <v>5.6020459999999996</v>
      </c>
      <c r="I920" s="279">
        <v>0.13869999999999999</v>
      </c>
      <c r="J920" s="279">
        <v>9.9000000000000005E-2</v>
      </c>
      <c r="K920" s="278">
        <v>45.292929000000001</v>
      </c>
      <c r="L920" s="324"/>
      <c r="M920" s="399"/>
    </row>
    <row r="921" spans="2:13" ht="17.25" thickBot="1">
      <c r="B921" s="337"/>
      <c r="C921" s="326"/>
      <c r="D921" s="327" t="s">
        <v>463</v>
      </c>
      <c r="E921" s="328">
        <f>AVERAGE(E916:E920)</f>
        <v>3.8109999999999999</v>
      </c>
      <c r="F921" s="328">
        <f t="shared" ref="F921:K921" si="268">AVERAGE(F916:F920)</f>
        <v>4.4906000000000006</v>
      </c>
      <c r="G921" s="328">
        <f t="shared" si="268"/>
        <v>3.7018030000000004</v>
      </c>
      <c r="H921" s="328">
        <f t="shared" si="268"/>
        <v>5.5967733999999991</v>
      </c>
      <c r="I921" s="329">
        <f t="shared" si="268"/>
        <v>0.13882000000000003</v>
      </c>
      <c r="J921" s="329">
        <f t="shared" si="268"/>
        <v>9.9220000000000003E-2</v>
      </c>
      <c r="K921" s="328">
        <f t="shared" si="268"/>
        <v>45.259098200000004</v>
      </c>
      <c r="L921" s="331"/>
      <c r="M921" s="399"/>
    </row>
    <row r="922" spans="2:13">
      <c r="B922" s="333">
        <v>21</v>
      </c>
      <c r="C922" s="271" t="s">
        <v>324</v>
      </c>
      <c r="D922" s="291" t="s">
        <v>250</v>
      </c>
      <c r="E922" s="307">
        <v>3.8029999999999999</v>
      </c>
      <c r="F922" s="307">
        <v>4.3879999999999999</v>
      </c>
      <c r="G922" s="272">
        <v>3.6248480000000001</v>
      </c>
      <c r="H922" s="307">
        <v>5.461608</v>
      </c>
      <c r="I922" s="273">
        <v>0.13900000000000001</v>
      </c>
      <c r="J922" s="273">
        <v>9.9099999999999994E-2</v>
      </c>
      <c r="K922" s="272">
        <v>44.278506999999998</v>
      </c>
      <c r="L922" s="332"/>
      <c r="M922" s="399"/>
    </row>
    <row r="923" spans="2:13">
      <c r="B923" s="335">
        <v>22</v>
      </c>
      <c r="C923" s="320"/>
      <c r="D923" s="299" t="s">
        <v>251</v>
      </c>
      <c r="E923" s="309">
        <v>3.8069999999999999</v>
      </c>
      <c r="F923" s="309">
        <v>4.46</v>
      </c>
      <c r="G923" s="317">
        <v>3.6804549999999998</v>
      </c>
      <c r="H923" s="309">
        <v>5.5567279999999997</v>
      </c>
      <c r="I923" s="318">
        <v>0.13900000000000001</v>
      </c>
      <c r="J923" s="318">
        <v>9.9199999999999997E-2</v>
      </c>
      <c r="K923" s="317">
        <v>44.959676999999999</v>
      </c>
      <c r="L923" s="321"/>
      <c r="M923" s="399"/>
    </row>
    <row r="924" spans="2:13">
      <c r="B924" s="335">
        <v>23</v>
      </c>
      <c r="C924" s="320"/>
      <c r="D924" s="299" t="s">
        <v>237</v>
      </c>
      <c r="E924" s="309">
        <v>3.81</v>
      </c>
      <c r="F924" s="309">
        <v>4.4909999999999997</v>
      </c>
      <c r="G924" s="317">
        <v>3.7031179999999999</v>
      </c>
      <c r="H924" s="309">
        <v>5.6015069999999998</v>
      </c>
      <c r="I924" s="318">
        <v>0.13880000000000001</v>
      </c>
      <c r="J924" s="318">
        <v>9.9199999999999997E-2</v>
      </c>
      <c r="K924" s="317">
        <v>45.272176999999999</v>
      </c>
      <c r="L924" s="321"/>
      <c r="M924" s="399"/>
    </row>
    <row r="925" spans="2:13">
      <c r="B925" s="335">
        <v>24</v>
      </c>
      <c r="C925" s="320"/>
      <c r="D925" s="299" t="s">
        <v>238</v>
      </c>
      <c r="E925" s="309">
        <v>3.81</v>
      </c>
      <c r="F925" s="309">
        <v>4.5</v>
      </c>
      <c r="G925" s="317">
        <v>3.7105389999999998</v>
      </c>
      <c r="H925" s="309">
        <v>5.6281169999999996</v>
      </c>
      <c r="I925" s="318">
        <v>0.13869999999999999</v>
      </c>
      <c r="J925" s="318">
        <v>9.9099999999999994E-2</v>
      </c>
      <c r="K925" s="317">
        <v>45.408678000000002</v>
      </c>
      <c r="L925" s="321"/>
      <c r="M925" s="399"/>
    </row>
    <row r="926" spans="2:13" ht="17.25" thickBot="1">
      <c r="B926" s="336">
        <v>25</v>
      </c>
      <c r="C926" s="323"/>
      <c r="D926" s="293" t="s">
        <v>252</v>
      </c>
      <c r="E926" s="311">
        <v>3.8090000000000002</v>
      </c>
      <c r="F926" s="311">
        <v>4.4800000000000004</v>
      </c>
      <c r="G926" s="278">
        <v>3.6950180000000001</v>
      </c>
      <c r="H926" s="311">
        <v>5.5886490000000002</v>
      </c>
      <c r="I926" s="279">
        <v>0.13880000000000001</v>
      </c>
      <c r="J926" s="279">
        <v>9.8900000000000002E-2</v>
      </c>
      <c r="K926" s="278">
        <v>45.298281000000003</v>
      </c>
      <c r="L926" s="324"/>
      <c r="M926" s="399"/>
    </row>
    <row r="927" spans="2:13" ht="17.25" thickBot="1">
      <c r="B927" s="339" t="s">
        <v>464</v>
      </c>
      <c r="C927" s="340"/>
      <c r="D927" s="341" t="s">
        <v>465</v>
      </c>
      <c r="E927" s="342">
        <f>AVERAGE(E922:E926)</f>
        <v>3.8078000000000003</v>
      </c>
      <c r="F927" s="342">
        <f t="shared" ref="F927:K927" si="269">AVERAGE(F922:F926)</f>
        <v>4.4638</v>
      </c>
      <c r="G927" s="342">
        <f t="shared" si="269"/>
        <v>3.6827955999999999</v>
      </c>
      <c r="H927" s="342">
        <f t="shared" si="269"/>
        <v>5.5673218000000002</v>
      </c>
      <c r="I927" s="343">
        <f t="shared" si="269"/>
        <v>0.13886000000000004</v>
      </c>
      <c r="J927" s="343">
        <f t="shared" si="269"/>
        <v>9.9099999999999994E-2</v>
      </c>
      <c r="K927" s="342">
        <f t="shared" si="269"/>
        <v>45.043464</v>
      </c>
      <c r="L927" s="344"/>
      <c r="M927" s="399"/>
    </row>
    <row r="928" spans="2:13">
      <c r="B928" s="333"/>
      <c r="C928" s="345"/>
      <c r="D928" s="291" t="s">
        <v>466</v>
      </c>
      <c r="E928" s="346">
        <f>MEDIAN(E898:E902,E904:E908,E910:E914,E916:E920,E922:E926)</f>
        <v>3.81</v>
      </c>
      <c r="F928" s="346">
        <f t="shared" ref="F928:K928" si="270">MEDIAN(F898:F902,F904:F908,F910:F914,F916:F920,F922:F926)</f>
        <v>4.4989999999999997</v>
      </c>
      <c r="G928" s="346">
        <f t="shared" si="270"/>
        <v>3.7087409999999998</v>
      </c>
      <c r="H928" s="346">
        <f t="shared" si="270"/>
        <v>5.6035680000000001</v>
      </c>
      <c r="I928" s="347">
        <f t="shared" si="270"/>
        <v>0.13880000000000001</v>
      </c>
      <c r="J928" s="347">
        <f t="shared" si="270"/>
        <v>9.9299999999999999E-2</v>
      </c>
      <c r="K928" s="348">
        <f t="shared" si="270"/>
        <v>45.318503999999997</v>
      </c>
      <c r="L928" s="332"/>
      <c r="M928" s="399"/>
    </row>
    <row r="929" spans="2:13">
      <c r="B929" s="335"/>
      <c r="C929" s="320"/>
      <c r="D929" s="299" t="s">
        <v>467</v>
      </c>
      <c r="E929" s="349">
        <f>AVERAGE(E898:E902,E904:E908,E910:E914,E916:E920,E922:E926)</f>
        <v>3.8100400000000008</v>
      </c>
      <c r="F929" s="349">
        <f t="shared" ref="F929:K929" si="271">AVERAGE(F898:F902,F904:F908,F910:F914,F916:F920,F922:F926)</f>
        <v>4.4979199999999997</v>
      </c>
      <c r="G929" s="349">
        <f t="shared" si="271"/>
        <v>3.7087684400000001</v>
      </c>
      <c r="H929" s="349">
        <f t="shared" si="271"/>
        <v>5.6027617200000002</v>
      </c>
      <c r="I929" s="350">
        <f t="shared" si="271"/>
        <v>0.13882000000000003</v>
      </c>
      <c r="J929" s="350">
        <f t="shared" si="271"/>
        <v>9.9284000000000011E-2</v>
      </c>
      <c r="K929" s="351">
        <f t="shared" si="271"/>
        <v>45.303288840000008</v>
      </c>
      <c r="L929" s="321"/>
      <c r="M929" s="399"/>
    </row>
    <row r="930" spans="2:13">
      <c r="B930" s="335"/>
      <c r="C930" s="320"/>
      <c r="D930" s="299" t="s">
        <v>199</v>
      </c>
      <c r="E930" s="349">
        <f>MAX(E898:E902,E904:E908,E910:E914,E916:E920,E922:E926)</f>
        <v>3.8159999999999998</v>
      </c>
      <c r="F930" s="349">
        <f t="shared" ref="F930:K930" si="272">MAX(F898:F902,F904:F908,F910:F914,F916:F920,F922:F926)</f>
        <v>4.5720000000000001</v>
      </c>
      <c r="G930" s="349">
        <f t="shared" si="272"/>
        <v>3.7659539999999998</v>
      </c>
      <c r="H930" s="349">
        <f t="shared" si="272"/>
        <v>5.6862680000000001</v>
      </c>
      <c r="I930" s="350">
        <f t="shared" si="272"/>
        <v>0.1391</v>
      </c>
      <c r="J930" s="350">
        <f t="shared" si="272"/>
        <v>9.98E-2</v>
      </c>
      <c r="K930" s="351">
        <f t="shared" si="272"/>
        <v>45.811622999999997</v>
      </c>
      <c r="L930" s="321"/>
      <c r="M930" s="399"/>
    </row>
    <row r="931" spans="2:13">
      <c r="B931" s="335"/>
      <c r="C931" s="320"/>
      <c r="D931" s="299" t="s">
        <v>200</v>
      </c>
      <c r="E931" s="349">
        <f>MIN(E898:E902,E904:E908,E910:E914,E916:E920,E922:E926)</f>
        <v>3.8029999999999999</v>
      </c>
      <c r="F931" s="349">
        <f t="shared" ref="F931:K931" si="273">MIN(F898:F902,F904:F908,F910:F914,F916:F920,F922:F926)</f>
        <v>4.3879999999999999</v>
      </c>
      <c r="G931" s="349">
        <f t="shared" si="273"/>
        <v>3.6248480000000001</v>
      </c>
      <c r="H931" s="349">
        <f t="shared" si="273"/>
        <v>5.461608</v>
      </c>
      <c r="I931" s="350">
        <f t="shared" si="273"/>
        <v>0.13830000000000001</v>
      </c>
      <c r="J931" s="350">
        <f t="shared" si="273"/>
        <v>9.8900000000000002E-2</v>
      </c>
      <c r="K931" s="351">
        <f t="shared" si="273"/>
        <v>44.278506999999998</v>
      </c>
      <c r="L931" s="321"/>
      <c r="M931" s="399"/>
    </row>
    <row r="932" spans="2:13">
      <c r="B932" s="335"/>
      <c r="C932" s="320"/>
      <c r="D932" s="299" t="s">
        <v>201</v>
      </c>
      <c r="E932" s="349">
        <f>E930-E931</f>
        <v>1.2999999999999901E-2</v>
      </c>
      <c r="F932" s="349">
        <f t="shared" ref="F932:K932" si="274">F930-F931</f>
        <v>0.18400000000000016</v>
      </c>
      <c r="G932" s="349">
        <f t="shared" si="274"/>
        <v>0.14110599999999973</v>
      </c>
      <c r="H932" s="349">
        <f t="shared" si="274"/>
        <v>0.22466000000000008</v>
      </c>
      <c r="I932" s="350">
        <f t="shared" si="274"/>
        <v>7.9999999999999516E-4</v>
      </c>
      <c r="J932" s="350">
        <f t="shared" si="274"/>
        <v>8.9999999999999802E-4</v>
      </c>
      <c r="K932" s="349">
        <f t="shared" si="274"/>
        <v>1.5331159999999997</v>
      </c>
      <c r="L932" s="321"/>
      <c r="M932" s="399"/>
    </row>
    <row r="933" spans="2:13" ht="17.25" thickBot="1">
      <c r="B933" s="336"/>
      <c r="C933" s="323"/>
      <c r="D933" s="293" t="s">
        <v>202</v>
      </c>
      <c r="E933" s="352">
        <f>STDEVA(E898:E902,E904:E908,E910:E914,E916:E920,E922:E926)</f>
        <v>3.0342489460600812E-3</v>
      </c>
      <c r="F933" s="352">
        <f t="shared" ref="F933:K933" si="275">STDEVA(F898:F902,F904:F908,F910:F914,F916:F920,F922:F926)</f>
        <v>3.7040428363253768E-2</v>
      </c>
      <c r="G933" s="352">
        <f t="shared" si="275"/>
        <v>2.8205679700017847E-2</v>
      </c>
      <c r="H933" s="352">
        <f t="shared" si="275"/>
        <v>4.6783447558511534E-2</v>
      </c>
      <c r="I933" s="353">
        <f t="shared" si="275"/>
        <v>2.2360679774998093E-4</v>
      </c>
      <c r="J933" s="353">
        <f t="shared" si="275"/>
        <v>2.4269322199023174E-4</v>
      </c>
      <c r="K933" s="352">
        <f t="shared" si="275"/>
        <v>0.31606788232127769</v>
      </c>
      <c r="L933" s="324"/>
      <c r="M933" s="399"/>
    </row>
    <row r="935" spans="2:13">
      <c r="B935" s="240" t="s">
        <v>495</v>
      </c>
      <c r="C935" s="240"/>
      <c r="E935" s="240"/>
      <c r="F935" s="240"/>
      <c r="G935" s="240"/>
      <c r="H935" s="240"/>
      <c r="I935" s="240"/>
      <c r="J935" s="240"/>
      <c r="K935" s="240"/>
    </row>
    <row r="936" spans="2:13" ht="17.25" thickBot="1">
      <c r="B936" s="240" t="s">
        <v>469</v>
      </c>
      <c r="C936" s="240"/>
      <c r="E936" s="240"/>
      <c r="F936" s="240"/>
      <c r="G936" s="240"/>
      <c r="H936" s="240"/>
      <c r="I936" s="240"/>
      <c r="J936" s="240"/>
      <c r="K936" s="240"/>
    </row>
    <row r="937" spans="2:13" ht="17.25" thickBot="1">
      <c r="B937" s="313" t="s">
        <v>11</v>
      </c>
      <c r="C937" s="250" t="s">
        <v>0</v>
      </c>
      <c r="D937" s="250" t="s">
        <v>1</v>
      </c>
      <c r="E937" s="250" t="s">
        <v>2</v>
      </c>
      <c r="F937" s="250" t="s">
        <v>3</v>
      </c>
      <c r="G937" s="250" t="s">
        <v>192</v>
      </c>
      <c r="H937" s="250" t="s">
        <v>16</v>
      </c>
      <c r="I937" s="250" t="s">
        <v>6</v>
      </c>
      <c r="J937" s="251" t="s">
        <v>7</v>
      </c>
      <c r="K937" s="252" t="s">
        <v>8</v>
      </c>
      <c r="L937" s="254" t="s">
        <v>470</v>
      </c>
      <c r="M937" s="404"/>
    </row>
    <row r="938" spans="2:13">
      <c r="B938" s="314">
        <v>1</v>
      </c>
      <c r="C938" s="271" t="s">
        <v>325</v>
      </c>
      <c r="D938" s="291" t="s">
        <v>213</v>
      </c>
      <c r="E938" s="307">
        <v>3.8069999999999999</v>
      </c>
      <c r="F938" s="307">
        <v>4.6849999999999996</v>
      </c>
      <c r="G938" s="272">
        <v>3.8661279999999998</v>
      </c>
      <c r="H938" s="360">
        <v>5.7949279999999996</v>
      </c>
      <c r="I938" s="273">
        <v>0.1396</v>
      </c>
      <c r="J938" s="273">
        <v>9.9699999999999997E-2</v>
      </c>
      <c r="K938" s="272">
        <v>46.990972999999997</v>
      </c>
      <c r="L938" s="275"/>
      <c r="M938" s="397"/>
    </row>
    <row r="939" spans="2:13">
      <c r="B939" s="315">
        <v>2</v>
      </c>
      <c r="C939" s="316"/>
      <c r="D939" s="299" t="s">
        <v>214</v>
      </c>
      <c r="E939" s="309">
        <v>3.8109999999999999</v>
      </c>
      <c r="F939" s="309">
        <v>4.6980000000000004</v>
      </c>
      <c r="G939" s="317">
        <v>3.8727870000000002</v>
      </c>
      <c r="H939" s="361">
        <v>5.7728710000000003</v>
      </c>
      <c r="I939" s="318">
        <v>0.13980000000000001</v>
      </c>
      <c r="J939" s="318">
        <v>0.10050000000000001</v>
      </c>
      <c r="K939" s="317">
        <v>46.746268999999998</v>
      </c>
      <c r="L939" s="319"/>
      <c r="M939" s="398"/>
    </row>
    <row r="940" spans="2:13">
      <c r="B940" s="315">
        <v>3</v>
      </c>
      <c r="C940" s="320"/>
      <c r="D940" s="299" t="s">
        <v>217</v>
      </c>
      <c r="E940" s="309">
        <v>3.8130000000000002</v>
      </c>
      <c r="F940" s="309">
        <v>4.7370000000000001</v>
      </c>
      <c r="G940" s="317">
        <v>3.9028879999999999</v>
      </c>
      <c r="H940" s="361">
        <v>5.8369369999999998</v>
      </c>
      <c r="I940" s="318">
        <v>0.1396</v>
      </c>
      <c r="J940" s="318">
        <v>0.1002</v>
      </c>
      <c r="K940" s="317">
        <v>47.275449000000002</v>
      </c>
      <c r="L940" s="356"/>
      <c r="M940" s="400"/>
    </row>
    <row r="941" spans="2:13">
      <c r="B941" s="315">
        <v>4</v>
      </c>
      <c r="C941" s="320"/>
      <c r="D941" s="299" t="s">
        <v>218</v>
      </c>
      <c r="E941" s="309">
        <v>3.8130000000000002</v>
      </c>
      <c r="F941" s="309">
        <v>4.7789999999999999</v>
      </c>
      <c r="G941" s="317">
        <v>3.9374920000000002</v>
      </c>
      <c r="H941" s="361">
        <v>5.9134729999999998</v>
      </c>
      <c r="I941" s="318">
        <v>0.13950000000000001</v>
      </c>
      <c r="J941" s="318">
        <v>9.9699999999999997E-2</v>
      </c>
      <c r="K941" s="317">
        <v>47.933801000000003</v>
      </c>
      <c r="L941" s="356"/>
      <c r="M941" s="400"/>
    </row>
    <row r="942" spans="2:13" ht="17.25" thickBot="1">
      <c r="B942" s="322">
        <v>5</v>
      </c>
      <c r="C942" s="323"/>
      <c r="D942" s="354" t="s">
        <v>240</v>
      </c>
      <c r="E942" s="311">
        <v>3.81</v>
      </c>
      <c r="F942" s="311">
        <v>4.8029999999999999</v>
      </c>
      <c r="G942" s="278">
        <v>3.9603820000000001</v>
      </c>
      <c r="H942" s="362">
        <v>5.9630289999999997</v>
      </c>
      <c r="I942" s="279">
        <v>0.13930000000000001</v>
      </c>
      <c r="J942" s="279">
        <v>9.9500000000000005E-2</v>
      </c>
      <c r="K942" s="278">
        <v>48.271357000000002</v>
      </c>
      <c r="L942" s="324"/>
      <c r="M942" s="399"/>
    </row>
    <row r="943" spans="2:13" ht="17.25" thickBot="1">
      <c r="B943" s="325"/>
      <c r="C943" s="326"/>
      <c r="D943" s="327" t="s">
        <v>463</v>
      </c>
      <c r="E943" s="328">
        <f>AVERAGE(E938:E942)</f>
        <v>3.8108000000000004</v>
      </c>
      <c r="F943" s="328">
        <f t="shared" ref="F943:K943" si="276">AVERAGE(F938:F942)</f>
        <v>4.7404000000000002</v>
      </c>
      <c r="G943" s="328">
        <f t="shared" si="276"/>
        <v>3.9079354000000004</v>
      </c>
      <c r="H943" s="328">
        <f t="shared" si="276"/>
        <v>5.8562475999999997</v>
      </c>
      <c r="I943" s="329">
        <f t="shared" si="276"/>
        <v>0.13955999999999999</v>
      </c>
      <c r="J943" s="329">
        <f t="shared" si="276"/>
        <v>9.9920000000000009E-2</v>
      </c>
      <c r="K943" s="330">
        <f t="shared" si="276"/>
        <v>47.443569799999992</v>
      </c>
      <c r="L943" s="331"/>
      <c r="M943" s="399"/>
    </row>
    <row r="944" spans="2:13">
      <c r="B944" s="314">
        <v>6</v>
      </c>
      <c r="C944" s="271" t="s">
        <v>324</v>
      </c>
      <c r="D944" s="291" t="s">
        <v>241</v>
      </c>
      <c r="E944" s="307">
        <v>3.8050000000000002</v>
      </c>
      <c r="F944" s="307">
        <v>4.702</v>
      </c>
      <c r="G944" s="272">
        <v>3.882196</v>
      </c>
      <c r="H944" s="360">
        <v>5.8058199999999998</v>
      </c>
      <c r="I944" s="273">
        <v>0.1396</v>
      </c>
      <c r="J944" s="273">
        <v>9.98E-2</v>
      </c>
      <c r="K944" s="272">
        <v>47.114227999999997</v>
      </c>
      <c r="L944" s="332"/>
      <c r="M944" s="399"/>
    </row>
    <row r="945" spans="2:13">
      <c r="B945" s="315">
        <v>7</v>
      </c>
      <c r="C945" s="320"/>
      <c r="D945" s="299" t="s">
        <v>242</v>
      </c>
      <c r="E945" s="309">
        <v>3.8090000000000002</v>
      </c>
      <c r="F945" s="309">
        <v>4.6900000000000004</v>
      </c>
      <c r="G945" s="317">
        <v>3.8682219999999998</v>
      </c>
      <c r="H945" s="361">
        <v>5.7613580000000004</v>
      </c>
      <c r="I945" s="318">
        <v>0.13969999999999999</v>
      </c>
      <c r="J945" s="318">
        <v>0.10059999999999999</v>
      </c>
      <c r="K945" s="317">
        <v>46.620277999999999</v>
      </c>
      <c r="L945" s="321"/>
      <c r="M945" s="399"/>
    </row>
    <row r="946" spans="2:13">
      <c r="B946" s="315">
        <v>8</v>
      </c>
      <c r="C946" s="320"/>
      <c r="D946" s="299" t="s">
        <v>222</v>
      </c>
      <c r="E946" s="309">
        <v>3.8090000000000002</v>
      </c>
      <c r="F946" s="309">
        <v>4.734</v>
      </c>
      <c r="G946" s="317">
        <v>3.904512</v>
      </c>
      <c r="H946" s="361">
        <v>5.8286369999999996</v>
      </c>
      <c r="I946" s="318">
        <v>0.1396</v>
      </c>
      <c r="J946" s="318">
        <v>0.1004</v>
      </c>
      <c r="K946" s="317">
        <v>47.151394000000003</v>
      </c>
      <c r="L946" s="321"/>
      <c r="M946" s="399"/>
    </row>
    <row r="947" spans="2:13">
      <c r="B947" s="315">
        <v>9</v>
      </c>
      <c r="C947" s="320"/>
      <c r="D947" s="299" t="s">
        <v>223</v>
      </c>
      <c r="E947" s="309">
        <v>3.8090000000000002</v>
      </c>
      <c r="F947" s="309">
        <v>4.774</v>
      </c>
      <c r="G947" s="317">
        <v>3.937503</v>
      </c>
      <c r="H947" s="361">
        <v>5.8944239999999999</v>
      </c>
      <c r="I947" s="318">
        <v>0.13930000000000001</v>
      </c>
      <c r="J947" s="318">
        <v>9.9900000000000003E-2</v>
      </c>
      <c r="K947" s="317">
        <v>47.787787999999999</v>
      </c>
      <c r="L947" s="321"/>
      <c r="M947" s="399"/>
    </row>
    <row r="948" spans="2:13" ht="17.25" thickBot="1">
      <c r="B948" s="322">
        <v>10</v>
      </c>
      <c r="C948" s="323"/>
      <c r="D948" s="293" t="s">
        <v>243</v>
      </c>
      <c r="E948" s="311">
        <v>3.806</v>
      </c>
      <c r="F948" s="311">
        <v>4.8</v>
      </c>
      <c r="G948" s="278">
        <v>3.9620679999999999</v>
      </c>
      <c r="H948" s="362">
        <v>5.9466679999999998</v>
      </c>
      <c r="I948" s="279">
        <v>0.13930000000000001</v>
      </c>
      <c r="J948" s="279">
        <v>9.9699999999999997E-2</v>
      </c>
      <c r="K948" s="278">
        <v>48.144432999999999</v>
      </c>
      <c r="L948" s="324"/>
      <c r="M948" s="399"/>
    </row>
    <row r="949" spans="2:13" ht="17.25" thickBot="1">
      <c r="B949" s="325" t="s">
        <v>464</v>
      </c>
      <c r="C949" s="326"/>
      <c r="D949" s="327" t="s">
        <v>463</v>
      </c>
      <c r="E949" s="328">
        <f t="shared" ref="E949:K949" si="277">AVERAGE(E944:E948)</f>
        <v>3.8076000000000008</v>
      </c>
      <c r="F949" s="328">
        <f t="shared" si="277"/>
        <v>4.74</v>
      </c>
      <c r="G949" s="328">
        <f t="shared" si="277"/>
        <v>3.9109001999999995</v>
      </c>
      <c r="H949" s="328">
        <f t="shared" si="277"/>
        <v>5.8473813999999997</v>
      </c>
      <c r="I949" s="329">
        <f t="shared" si="277"/>
        <v>0.13950000000000001</v>
      </c>
      <c r="J949" s="329">
        <f t="shared" si="277"/>
        <v>0.10007999999999999</v>
      </c>
      <c r="K949" s="330">
        <f t="shared" si="277"/>
        <v>47.363624199999997</v>
      </c>
      <c r="L949" s="331"/>
      <c r="M949" s="399"/>
    </row>
    <row r="950" spans="2:13">
      <c r="B950" s="333">
        <v>11</v>
      </c>
      <c r="C950" s="334" t="s">
        <v>296</v>
      </c>
      <c r="D950" s="291" t="s">
        <v>244</v>
      </c>
      <c r="E950" s="307">
        <v>3.7850000000000001</v>
      </c>
      <c r="F950" s="307">
        <v>4.4850000000000003</v>
      </c>
      <c r="G950" s="272">
        <v>3.7225969999999999</v>
      </c>
      <c r="H950" s="307">
        <v>5.5761219999999998</v>
      </c>
      <c r="I950" s="273">
        <v>0.1394</v>
      </c>
      <c r="J950" s="273">
        <v>9.9299999999999999E-2</v>
      </c>
      <c r="K950" s="272">
        <v>45.166162999999997</v>
      </c>
      <c r="L950" s="332"/>
      <c r="M950" s="399"/>
    </row>
    <row r="951" spans="2:13">
      <c r="B951" s="335">
        <v>12</v>
      </c>
      <c r="C951" s="320"/>
      <c r="D951" s="299" t="s">
        <v>245</v>
      </c>
      <c r="E951" s="309">
        <v>3.7890000000000001</v>
      </c>
      <c r="F951" s="309">
        <v>4.492</v>
      </c>
      <c r="G951" s="317">
        <v>3.7244709999999999</v>
      </c>
      <c r="H951" s="309">
        <v>5.5569930000000003</v>
      </c>
      <c r="I951" s="318">
        <v>0.1396</v>
      </c>
      <c r="J951" s="318">
        <v>9.98E-2</v>
      </c>
      <c r="K951" s="317">
        <v>45.010019999999997</v>
      </c>
      <c r="L951" s="321"/>
      <c r="M951" s="399"/>
    </row>
    <row r="952" spans="2:13">
      <c r="B952" s="335">
        <v>13</v>
      </c>
      <c r="C952" s="320"/>
      <c r="D952" s="299" t="s">
        <v>227</v>
      </c>
      <c r="E952" s="309">
        <v>3.7909999999999999</v>
      </c>
      <c r="F952" s="309">
        <v>4.5270000000000001</v>
      </c>
      <c r="G952" s="317">
        <v>3.7515109999999998</v>
      </c>
      <c r="H952" s="309">
        <v>5.6022869999999996</v>
      </c>
      <c r="I952" s="318">
        <v>0.1394</v>
      </c>
      <c r="J952" s="318">
        <v>9.9699999999999997E-2</v>
      </c>
      <c r="K952" s="317">
        <v>45.406219</v>
      </c>
      <c r="L952" s="321"/>
      <c r="M952" s="399"/>
    </row>
    <row r="953" spans="2:13">
      <c r="B953" s="335">
        <v>14</v>
      </c>
      <c r="C953" s="320"/>
      <c r="D953" s="299" t="s">
        <v>228</v>
      </c>
      <c r="E953" s="309">
        <v>3.79</v>
      </c>
      <c r="F953" s="309">
        <v>4.5750000000000002</v>
      </c>
      <c r="G953" s="317">
        <v>3.7922889999999998</v>
      </c>
      <c r="H953" s="309">
        <v>5.6731860000000003</v>
      </c>
      <c r="I953" s="318">
        <v>0.13919999999999999</v>
      </c>
      <c r="J953" s="318">
        <v>9.9599999999999994E-2</v>
      </c>
      <c r="K953" s="317">
        <v>45.933734999999999</v>
      </c>
      <c r="L953" s="321"/>
      <c r="M953" s="399"/>
    </row>
    <row r="954" spans="2:13" ht="17.25" thickBot="1">
      <c r="B954" s="336">
        <v>15</v>
      </c>
      <c r="C954" s="323"/>
      <c r="D954" s="293" t="s">
        <v>246</v>
      </c>
      <c r="E954" s="311">
        <v>3.786</v>
      </c>
      <c r="F954" s="311">
        <v>4.5940000000000003</v>
      </c>
      <c r="G954" s="278">
        <v>3.8120609999999999</v>
      </c>
      <c r="H954" s="311">
        <v>5.7159709999999997</v>
      </c>
      <c r="I954" s="279">
        <v>0.13900000000000001</v>
      </c>
      <c r="J954" s="279">
        <v>9.9400000000000002E-2</v>
      </c>
      <c r="K954" s="278">
        <v>46.217303999999999</v>
      </c>
      <c r="L954" s="324"/>
      <c r="M954" s="399"/>
    </row>
    <row r="955" spans="2:13" ht="17.25" thickBot="1">
      <c r="B955" s="337"/>
      <c r="C955" s="326"/>
      <c r="D955" s="327" t="s">
        <v>463</v>
      </c>
      <c r="E955" s="328">
        <f>AVERAGE(E950:E954)</f>
        <v>3.7882000000000007</v>
      </c>
      <c r="F955" s="328">
        <f t="shared" ref="F955:K955" si="278">AVERAGE(F950:F954)</f>
        <v>4.5346000000000002</v>
      </c>
      <c r="G955" s="328">
        <f t="shared" si="278"/>
        <v>3.7605857999999999</v>
      </c>
      <c r="H955" s="328">
        <f t="shared" si="278"/>
        <v>5.6249118000000005</v>
      </c>
      <c r="I955" s="329">
        <f t="shared" si="278"/>
        <v>0.13932</v>
      </c>
      <c r="J955" s="329">
        <f t="shared" si="278"/>
        <v>9.9559999999999996E-2</v>
      </c>
      <c r="K955" s="330">
        <f t="shared" si="278"/>
        <v>45.546688200000006</v>
      </c>
      <c r="L955" s="331"/>
      <c r="M955" s="399"/>
    </row>
    <row r="956" spans="2:13">
      <c r="B956" s="333">
        <v>16</v>
      </c>
      <c r="C956" s="271" t="s">
        <v>324</v>
      </c>
      <c r="D956" s="291" t="s">
        <v>247</v>
      </c>
      <c r="E956" s="307">
        <v>3.7850000000000001</v>
      </c>
      <c r="F956" s="307">
        <v>4.4470000000000001</v>
      </c>
      <c r="G956" s="272">
        <v>3.6910569999999998</v>
      </c>
      <c r="H956" s="307">
        <v>5.4994059999999996</v>
      </c>
      <c r="I956" s="273">
        <v>0.13969999999999999</v>
      </c>
      <c r="J956" s="273">
        <v>9.9699999999999997E-2</v>
      </c>
      <c r="K956" s="272">
        <v>44.603811</v>
      </c>
      <c r="L956" s="359"/>
      <c r="M956" s="401"/>
    </row>
    <row r="957" spans="2:13">
      <c r="B957" s="335">
        <v>17</v>
      </c>
      <c r="C957" s="320"/>
      <c r="D957" s="299" t="s">
        <v>248</v>
      </c>
      <c r="E957" s="309">
        <v>3.79</v>
      </c>
      <c r="F957" s="309">
        <v>4.452</v>
      </c>
      <c r="G957" s="317">
        <v>3.6903320000000002</v>
      </c>
      <c r="H957" s="309">
        <v>5.4656690000000001</v>
      </c>
      <c r="I957" s="318">
        <v>0.13980000000000001</v>
      </c>
      <c r="J957" s="318">
        <v>0.1004</v>
      </c>
      <c r="K957" s="317">
        <v>44.342629000000002</v>
      </c>
      <c r="L957" s="321"/>
      <c r="M957" s="399"/>
    </row>
    <row r="958" spans="2:13">
      <c r="B958" s="335">
        <v>18</v>
      </c>
      <c r="C958" s="320"/>
      <c r="D958" s="299" t="s">
        <v>232</v>
      </c>
      <c r="E958" s="309">
        <v>3.79</v>
      </c>
      <c r="F958" s="309">
        <v>4.4850000000000003</v>
      </c>
      <c r="G958" s="317">
        <v>3.717686</v>
      </c>
      <c r="H958" s="309">
        <v>5.533258</v>
      </c>
      <c r="I958" s="318">
        <v>0.1396</v>
      </c>
      <c r="J958" s="318">
        <v>0.10009999999999999</v>
      </c>
      <c r="K958" s="317">
        <v>44.805194999999998</v>
      </c>
      <c r="L958" s="321"/>
      <c r="M958" s="399"/>
    </row>
    <row r="959" spans="2:13">
      <c r="B959" s="335">
        <v>19</v>
      </c>
      <c r="C959" s="320"/>
      <c r="D959" s="299" t="s">
        <v>233</v>
      </c>
      <c r="E959" s="309">
        <v>3.7890000000000001</v>
      </c>
      <c r="F959" s="309">
        <v>4.5259999999999998</v>
      </c>
      <c r="G959" s="317">
        <v>3.7526619999999999</v>
      </c>
      <c r="H959" s="309">
        <v>5.6040369999999999</v>
      </c>
      <c r="I959" s="318">
        <v>0.1396</v>
      </c>
      <c r="J959" s="318">
        <v>9.9699999999999997E-2</v>
      </c>
      <c r="K959" s="317">
        <v>45.396189</v>
      </c>
      <c r="L959" s="321"/>
      <c r="M959" s="399"/>
    </row>
    <row r="960" spans="2:13" ht="17.25" thickBot="1">
      <c r="B960" s="336">
        <v>20</v>
      </c>
      <c r="C960" s="323"/>
      <c r="D960" s="293" t="s">
        <v>249</v>
      </c>
      <c r="E960" s="311">
        <v>3.7829999999999999</v>
      </c>
      <c r="F960" s="311">
        <v>4.5359999999999996</v>
      </c>
      <c r="G960" s="278">
        <v>3.766918</v>
      </c>
      <c r="H960" s="311">
        <v>5.6252789999999999</v>
      </c>
      <c r="I960" s="279">
        <v>0.13950000000000001</v>
      </c>
      <c r="J960" s="279">
        <v>9.9400000000000002E-2</v>
      </c>
      <c r="K960" s="278">
        <v>45.633803</v>
      </c>
      <c r="L960" s="324"/>
      <c r="M960" s="399"/>
    </row>
    <row r="961" spans="2:13" ht="17.25" thickBot="1">
      <c r="B961" s="337"/>
      <c r="C961" s="326"/>
      <c r="D961" s="327" t="s">
        <v>463</v>
      </c>
      <c r="E961" s="328">
        <f>AVERAGE(E956:E960)</f>
        <v>3.7874000000000003</v>
      </c>
      <c r="F961" s="328">
        <f t="shared" ref="F961:K961" si="279">AVERAGE(F956:F960)</f>
        <v>4.4891999999999994</v>
      </c>
      <c r="G961" s="328">
        <f t="shared" si="279"/>
        <v>3.7237309999999999</v>
      </c>
      <c r="H961" s="328">
        <f t="shared" si="279"/>
        <v>5.5455297999999997</v>
      </c>
      <c r="I961" s="329">
        <f t="shared" si="279"/>
        <v>0.13963999999999999</v>
      </c>
      <c r="J961" s="329">
        <f t="shared" si="279"/>
        <v>9.9860000000000004E-2</v>
      </c>
      <c r="K961" s="328">
        <f t="shared" si="279"/>
        <v>44.956325399999997</v>
      </c>
      <c r="L961" s="331"/>
      <c r="M961" s="399"/>
    </row>
    <row r="962" spans="2:13">
      <c r="B962" s="333">
        <v>21</v>
      </c>
      <c r="C962" s="271" t="s">
        <v>324</v>
      </c>
      <c r="D962" s="291" t="s">
        <v>250</v>
      </c>
      <c r="E962" s="307">
        <v>3.786</v>
      </c>
      <c r="F962" s="307">
        <v>4.4649999999999999</v>
      </c>
      <c r="G962" s="272">
        <v>3.7050179999999999</v>
      </c>
      <c r="H962" s="307">
        <v>5.5219430000000003</v>
      </c>
      <c r="I962" s="273">
        <v>0.13980000000000001</v>
      </c>
      <c r="J962" s="273">
        <v>9.9500000000000005E-2</v>
      </c>
      <c r="K962" s="272">
        <v>44.874372000000001</v>
      </c>
      <c r="L962" s="332"/>
      <c r="M962" s="399"/>
    </row>
    <row r="963" spans="2:13">
      <c r="B963" s="335">
        <v>22</v>
      </c>
      <c r="C963" s="320"/>
      <c r="D963" s="299" t="s">
        <v>251</v>
      </c>
      <c r="E963" s="309">
        <v>3.7879999999999998</v>
      </c>
      <c r="F963" s="309">
        <v>4.4610000000000003</v>
      </c>
      <c r="G963" s="317">
        <v>3.6997450000000001</v>
      </c>
      <c r="H963" s="309">
        <v>5.4871090000000002</v>
      </c>
      <c r="I963" s="318">
        <v>0.1399</v>
      </c>
      <c r="J963" s="318">
        <v>0.1003</v>
      </c>
      <c r="K963" s="317">
        <v>44.476570000000002</v>
      </c>
      <c r="L963" s="321"/>
      <c r="M963" s="399"/>
    </row>
    <row r="964" spans="2:13">
      <c r="B964" s="335">
        <v>23</v>
      </c>
      <c r="C964" s="320"/>
      <c r="D964" s="299" t="s">
        <v>237</v>
      </c>
      <c r="E964" s="309">
        <v>3.7879999999999998</v>
      </c>
      <c r="F964" s="309">
        <v>4.4850000000000003</v>
      </c>
      <c r="G964" s="317">
        <v>3.719649</v>
      </c>
      <c r="H964" s="309">
        <v>5.5306769999999998</v>
      </c>
      <c r="I964" s="318">
        <v>0.13980000000000001</v>
      </c>
      <c r="J964" s="318">
        <v>0.1</v>
      </c>
      <c r="K964" s="317">
        <v>44.85</v>
      </c>
      <c r="L964" s="321"/>
      <c r="M964" s="399"/>
    </row>
    <row r="965" spans="2:13">
      <c r="B965" s="335">
        <v>24</v>
      </c>
      <c r="C965" s="320"/>
      <c r="D965" s="299" t="s">
        <v>238</v>
      </c>
      <c r="E965" s="309">
        <v>3.7850000000000001</v>
      </c>
      <c r="F965" s="309">
        <v>4.5149999999999997</v>
      </c>
      <c r="G965" s="317">
        <v>3.7474980000000002</v>
      </c>
      <c r="H965" s="309">
        <v>5.5949340000000003</v>
      </c>
      <c r="I965" s="318">
        <v>0.1396</v>
      </c>
      <c r="J965" s="318">
        <v>9.9500000000000005E-2</v>
      </c>
      <c r="K965" s="317">
        <v>45.376883999999997</v>
      </c>
      <c r="L965" s="321"/>
      <c r="M965" s="399"/>
    </row>
    <row r="966" spans="2:13" ht="17.25" thickBot="1">
      <c r="B966" s="336">
        <v>25</v>
      </c>
      <c r="C966" s="323"/>
      <c r="D966" s="293" t="s">
        <v>252</v>
      </c>
      <c r="E966" s="311">
        <v>3.78</v>
      </c>
      <c r="F966" s="311">
        <v>4.5270000000000001</v>
      </c>
      <c r="G966" s="278">
        <v>3.7624279999999999</v>
      </c>
      <c r="H966" s="311">
        <v>5.6291529999999996</v>
      </c>
      <c r="I966" s="279">
        <v>0.1394</v>
      </c>
      <c r="J966" s="279">
        <v>9.9199999999999997E-2</v>
      </c>
      <c r="K966" s="278">
        <v>45.635081</v>
      </c>
      <c r="L966" s="324"/>
      <c r="M966" s="399"/>
    </row>
    <row r="967" spans="2:13" ht="17.25" thickBot="1">
      <c r="B967" s="339" t="s">
        <v>464</v>
      </c>
      <c r="C967" s="340"/>
      <c r="D967" s="341" t="s">
        <v>465</v>
      </c>
      <c r="E967" s="342">
        <f>AVERAGE(E962:E966)</f>
        <v>3.7854000000000001</v>
      </c>
      <c r="F967" s="342">
        <f t="shared" ref="F967:K967" si="280">AVERAGE(F962:F966)</f>
        <v>4.4906000000000006</v>
      </c>
      <c r="G967" s="342">
        <f t="shared" si="280"/>
        <v>3.7268675999999998</v>
      </c>
      <c r="H967" s="342">
        <f t="shared" si="280"/>
        <v>5.5527632000000002</v>
      </c>
      <c r="I967" s="343">
        <f t="shared" si="280"/>
        <v>0.13969999999999999</v>
      </c>
      <c r="J967" s="343">
        <f t="shared" si="280"/>
        <v>9.9699999999999997E-2</v>
      </c>
      <c r="K967" s="342">
        <f t="shared" si="280"/>
        <v>45.042581399999996</v>
      </c>
      <c r="L967" s="344"/>
      <c r="M967" s="399"/>
    </row>
    <row r="968" spans="2:13">
      <c r="B968" s="333"/>
      <c r="C968" s="345"/>
      <c r="D968" s="291" t="s">
        <v>466</v>
      </c>
      <c r="E968" s="346">
        <f>MEDIAN(E938:E942,E944:E948,E950:E954,E956:E960,E962:E966)</f>
        <v>3.79</v>
      </c>
      <c r="F968" s="346">
        <f t="shared" ref="F968:K968" si="281">MEDIAN(F938:F942,F944:F948,F950:F954,F956:F960,F962:F966)</f>
        <v>4.5359999999999996</v>
      </c>
      <c r="G968" s="346">
        <f t="shared" si="281"/>
        <v>3.766918</v>
      </c>
      <c r="H968" s="346">
        <f t="shared" si="281"/>
        <v>5.6291529999999996</v>
      </c>
      <c r="I968" s="347">
        <f t="shared" si="281"/>
        <v>0.1396</v>
      </c>
      <c r="J968" s="347">
        <f t="shared" si="281"/>
        <v>9.9699999999999997E-2</v>
      </c>
      <c r="K968" s="348">
        <f t="shared" si="281"/>
        <v>45.635081</v>
      </c>
      <c r="L968" s="332"/>
      <c r="M968" s="399"/>
    </row>
    <row r="969" spans="2:13">
      <c r="B969" s="335"/>
      <c r="C969" s="320"/>
      <c r="D969" s="299" t="s">
        <v>467</v>
      </c>
      <c r="E969" s="349">
        <f>AVERAGE(E938:E942,E944:E948,E950:E954,E956:E960,E962:E966)</f>
        <v>3.7958800000000004</v>
      </c>
      <c r="F969" s="349">
        <f t="shared" ref="F969:K969" si="282">AVERAGE(F938:F942,F944:F948,F950:F954,F956:F960,F962:F966)</f>
        <v>4.5989599999999999</v>
      </c>
      <c r="G969" s="349">
        <f t="shared" si="282"/>
        <v>3.8060040000000002</v>
      </c>
      <c r="H969" s="349">
        <f t="shared" si="282"/>
        <v>5.6853667600000009</v>
      </c>
      <c r="I969" s="350">
        <f t="shared" si="282"/>
        <v>0.13954400000000003</v>
      </c>
      <c r="J969" s="350">
        <f t="shared" si="282"/>
        <v>9.9823999999999982E-2</v>
      </c>
      <c r="K969" s="351">
        <f t="shared" si="282"/>
        <v>46.070557799999989</v>
      </c>
      <c r="L969" s="321"/>
      <c r="M969" s="399"/>
    </row>
    <row r="970" spans="2:13">
      <c r="B970" s="335"/>
      <c r="C970" s="320"/>
      <c r="D970" s="299" t="s">
        <v>199</v>
      </c>
      <c r="E970" s="349">
        <f>MAX(E938:E942,E944:E948,E950:E954,E956:E960,E962:E966)</f>
        <v>3.8130000000000002</v>
      </c>
      <c r="F970" s="349">
        <f t="shared" ref="F970:K970" si="283">MAX(F938:F942,F944:F948,F950:F954,F956:F960,F962:F966)</f>
        <v>4.8029999999999999</v>
      </c>
      <c r="G970" s="349">
        <f t="shared" si="283"/>
        <v>3.9620679999999999</v>
      </c>
      <c r="H970" s="349">
        <f t="shared" si="283"/>
        <v>5.9630289999999997</v>
      </c>
      <c r="I970" s="350">
        <f t="shared" si="283"/>
        <v>0.1399</v>
      </c>
      <c r="J970" s="350">
        <f t="shared" si="283"/>
        <v>0.10059999999999999</v>
      </c>
      <c r="K970" s="351">
        <f t="shared" si="283"/>
        <v>48.271357000000002</v>
      </c>
      <c r="L970" s="321"/>
      <c r="M970" s="399"/>
    </row>
    <row r="971" spans="2:13">
      <c r="B971" s="335"/>
      <c r="C971" s="320"/>
      <c r="D971" s="299" t="s">
        <v>200</v>
      </c>
      <c r="E971" s="349">
        <f>MIN(E938:E942,E944:E948,E950:E954,E956:E960,E962:E966)</f>
        <v>3.78</v>
      </c>
      <c r="F971" s="349">
        <f t="shared" ref="F971:K971" si="284">MIN(F938:F942,F944:F948,F950:F954,F956:F960,F962:F966)</f>
        <v>4.4470000000000001</v>
      </c>
      <c r="G971" s="349">
        <f t="shared" si="284"/>
        <v>3.6903320000000002</v>
      </c>
      <c r="H971" s="349">
        <f t="shared" si="284"/>
        <v>5.4656690000000001</v>
      </c>
      <c r="I971" s="350">
        <f t="shared" si="284"/>
        <v>0.13900000000000001</v>
      </c>
      <c r="J971" s="350">
        <f t="shared" si="284"/>
        <v>9.9199999999999997E-2</v>
      </c>
      <c r="K971" s="351">
        <f t="shared" si="284"/>
        <v>44.342629000000002</v>
      </c>
      <c r="L971" s="321"/>
      <c r="M971" s="399"/>
    </row>
    <row r="972" spans="2:13">
      <c r="B972" s="335"/>
      <c r="C972" s="320"/>
      <c r="D972" s="299" t="s">
        <v>201</v>
      </c>
      <c r="E972" s="349">
        <f>E970-E971</f>
        <v>3.3000000000000362E-2</v>
      </c>
      <c r="F972" s="349">
        <f t="shared" ref="F972:K972" si="285">F970-F971</f>
        <v>0.35599999999999987</v>
      </c>
      <c r="G972" s="349">
        <f t="shared" si="285"/>
        <v>0.27173599999999976</v>
      </c>
      <c r="H972" s="349">
        <f t="shared" si="285"/>
        <v>0.49735999999999958</v>
      </c>
      <c r="I972" s="350">
        <f t="shared" si="285"/>
        <v>8.9999999999998415E-4</v>
      </c>
      <c r="J972" s="350">
        <f t="shared" si="285"/>
        <v>1.3999999999999985E-3</v>
      </c>
      <c r="K972" s="349">
        <f t="shared" si="285"/>
        <v>3.9287279999999996</v>
      </c>
      <c r="L972" s="321"/>
      <c r="M972" s="399"/>
    </row>
    <row r="973" spans="2:13" ht="17.25" thickBot="1">
      <c r="B973" s="336"/>
      <c r="C973" s="323"/>
      <c r="D973" s="293" t="s">
        <v>202</v>
      </c>
      <c r="E973" s="352">
        <f>STDEVA(E938:E942,E944:E948,E950:E954,E956:E960,E962:E966)</f>
        <v>1.1464873890860485E-2</v>
      </c>
      <c r="F973" s="352">
        <f t="shared" ref="F973:K973" si="286">STDEVA(F938:F942,F944:F948,F950:F954,F956:F960,F962:F966)</f>
        <v>0.12547758099889128</v>
      </c>
      <c r="G973" s="352">
        <f t="shared" si="286"/>
        <v>9.3417495851954857E-2</v>
      </c>
      <c r="H973" s="352">
        <f t="shared" si="286"/>
        <v>0.15524830111906746</v>
      </c>
      <c r="I973" s="353">
        <f t="shared" si="286"/>
        <v>2.1617893822787877E-4</v>
      </c>
      <c r="J973" s="353">
        <f t="shared" si="286"/>
        <v>3.9187583067429251E-4</v>
      </c>
      <c r="K973" s="352">
        <f t="shared" si="286"/>
        <v>1.2386225262858537</v>
      </c>
      <c r="L973" s="324"/>
      <c r="M973" s="399"/>
    </row>
    <row r="975" spans="2:13">
      <c r="B975" s="240" t="s">
        <v>496</v>
      </c>
      <c r="C975" s="240"/>
      <c r="E975" s="240"/>
      <c r="F975" s="240"/>
      <c r="G975" s="240"/>
      <c r="H975" s="240"/>
      <c r="I975" s="240"/>
      <c r="J975" s="240"/>
      <c r="K975" s="240"/>
    </row>
    <row r="976" spans="2:13" ht="17.25" thickBot="1">
      <c r="B976" s="240" t="s">
        <v>469</v>
      </c>
      <c r="C976" s="240"/>
      <c r="E976" s="240"/>
      <c r="F976" s="240"/>
      <c r="G976" s="240"/>
      <c r="H976" s="240"/>
      <c r="I976" s="240"/>
      <c r="J976" s="240"/>
      <c r="K976" s="240"/>
    </row>
    <row r="977" spans="2:13" ht="17.25" thickBot="1">
      <c r="B977" s="313" t="s">
        <v>11</v>
      </c>
      <c r="C977" s="250" t="s">
        <v>0</v>
      </c>
      <c r="D977" s="250" t="s">
        <v>1</v>
      </c>
      <c r="E977" s="250" t="s">
        <v>2</v>
      </c>
      <c r="F977" s="250" t="s">
        <v>3</v>
      </c>
      <c r="G977" s="250" t="s">
        <v>192</v>
      </c>
      <c r="H977" s="250" t="s">
        <v>16</v>
      </c>
      <c r="I977" s="250" t="s">
        <v>6</v>
      </c>
      <c r="J977" s="251" t="s">
        <v>7</v>
      </c>
      <c r="K977" s="252" t="s">
        <v>8</v>
      </c>
      <c r="L977" s="254" t="s">
        <v>470</v>
      </c>
      <c r="M977" s="404"/>
    </row>
    <row r="978" spans="2:13">
      <c r="B978" s="314">
        <v>1</v>
      </c>
      <c r="C978" s="271" t="s">
        <v>330</v>
      </c>
      <c r="D978" s="291" t="s">
        <v>213</v>
      </c>
      <c r="E978" s="307">
        <v>3.8639999999999999</v>
      </c>
      <c r="F978" s="307">
        <v>4.452</v>
      </c>
      <c r="G978" s="272">
        <v>3.6196579999999998</v>
      </c>
      <c r="H978" s="360">
        <v>5.5429240000000002</v>
      </c>
      <c r="I978" s="273">
        <v>0.1389</v>
      </c>
      <c r="J978" s="273">
        <v>9.9099999999999994E-2</v>
      </c>
      <c r="K978" s="272">
        <v>44.924318999999997</v>
      </c>
      <c r="L978" s="275"/>
      <c r="M978" s="397"/>
    </row>
    <row r="979" spans="2:13">
      <c r="B979" s="315">
        <v>2</v>
      </c>
      <c r="C979" s="316"/>
      <c r="D979" s="299" t="s">
        <v>214</v>
      </c>
      <c r="E979" s="309">
        <v>3.8730000000000002</v>
      </c>
      <c r="F979" s="309">
        <v>4.4880000000000004</v>
      </c>
      <c r="G979" s="317">
        <v>3.6404480000000001</v>
      </c>
      <c r="H979" s="361">
        <v>5.5802509999999996</v>
      </c>
      <c r="I979" s="318">
        <v>0.1389</v>
      </c>
      <c r="J979" s="318">
        <v>9.9199999999999997E-2</v>
      </c>
      <c r="K979" s="317">
        <v>45.241934999999998</v>
      </c>
      <c r="L979" s="319"/>
      <c r="M979" s="398"/>
    </row>
    <row r="980" spans="2:13">
      <c r="B980" s="315">
        <v>3</v>
      </c>
      <c r="C980" s="320"/>
      <c r="D980" s="299" t="s">
        <v>217</v>
      </c>
      <c r="E980" s="309">
        <v>3.8740000000000001</v>
      </c>
      <c r="F980" s="309">
        <v>4.4749999999999996</v>
      </c>
      <c r="G980" s="317">
        <v>3.6289660000000001</v>
      </c>
      <c r="H980" s="361">
        <v>5.5684690000000003</v>
      </c>
      <c r="I980" s="318">
        <v>0.1389</v>
      </c>
      <c r="J980" s="318">
        <v>9.9299999999999999E-2</v>
      </c>
      <c r="K980" s="317">
        <v>45.065458</v>
      </c>
      <c r="L980" s="356"/>
      <c r="M980" s="400"/>
    </row>
    <row r="981" spans="2:13">
      <c r="B981" s="315">
        <v>4</v>
      </c>
      <c r="C981" s="320"/>
      <c r="D981" s="299" t="s">
        <v>218</v>
      </c>
      <c r="E981" s="309">
        <v>3.8759999999999999</v>
      </c>
      <c r="F981" s="309">
        <v>4.4630000000000001</v>
      </c>
      <c r="G981" s="317">
        <v>3.6173670000000002</v>
      </c>
      <c r="H981" s="361">
        <v>5.5457669999999997</v>
      </c>
      <c r="I981" s="318">
        <v>0.13900000000000001</v>
      </c>
      <c r="J981" s="318">
        <v>9.9299999999999999E-2</v>
      </c>
      <c r="K981" s="317">
        <v>44.944611999999999</v>
      </c>
      <c r="L981" s="356"/>
      <c r="M981" s="400"/>
    </row>
    <row r="982" spans="2:13" ht="17.25" thickBot="1">
      <c r="B982" s="322">
        <v>5</v>
      </c>
      <c r="C982" s="323"/>
      <c r="D982" s="354" t="s">
        <v>240</v>
      </c>
      <c r="E982" s="311">
        <v>3.8769999999999998</v>
      </c>
      <c r="F982" s="311">
        <v>4.4710000000000001</v>
      </c>
      <c r="G982" s="278">
        <v>3.6229170000000002</v>
      </c>
      <c r="H982" s="362">
        <v>5.5553290000000004</v>
      </c>
      <c r="I982" s="279">
        <v>0.1391</v>
      </c>
      <c r="J982" s="279">
        <v>9.9299999999999999E-2</v>
      </c>
      <c r="K982" s="278">
        <v>45.025176000000002</v>
      </c>
      <c r="L982" s="324"/>
      <c r="M982" s="399"/>
    </row>
    <row r="983" spans="2:13" ht="17.25" thickBot="1">
      <c r="B983" s="325"/>
      <c r="C983" s="326"/>
      <c r="D983" s="327" t="s">
        <v>463</v>
      </c>
      <c r="E983" s="328">
        <f>AVERAGE(E978:E982)</f>
        <v>3.8728000000000002</v>
      </c>
      <c r="F983" s="328">
        <f t="shared" ref="F983:K983" si="287">AVERAGE(F978:F982)</f>
        <v>4.4698000000000002</v>
      </c>
      <c r="G983" s="328">
        <f t="shared" si="287"/>
        <v>3.6258712000000002</v>
      </c>
      <c r="H983" s="328">
        <f t="shared" si="287"/>
        <v>5.558548</v>
      </c>
      <c r="I983" s="329">
        <f t="shared" si="287"/>
        <v>0.13896</v>
      </c>
      <c r="J983" s="329">
        <f t="shared" si="287"/>
        <v>9.9239999999999995E-2</v>
      </c>
      <c r="K983" s="330">
        <f t="shared" si="287"/>
        <v>45.040300000000002</v>
      </c>
      <c r="L983" s="331"/>
      <c r="M983" s="399"/>
    </row>
    <row r="984" spans="2:13">
      <c r="B984" s="314">
        <v>6</v>
      </c>
      <c r="C984" s="271" t="s">
        <v>329</v>
      </c>
      <c r="D984" s="291" t="s">
        <v>241</v>
      </c>
      <c r="E984" s="307">
        <v>3.8650000000000002</v>
      </c>
      <c r="F984" s="307">
        <v>4.4729999999999999</v>
      </c>
      <c r="G984" s="272">
        <v>3.6357910000000002</v>
      </c>
      <c r="H984" s="360">
        <v>5.5706980000000001</v>
      </c>
      <c r="I984" s="273">
        <v>0.1389</v>
      </c>
      <c r="J984" s="273">
        <v>9.9199999999999997E-2</v>
      </c>
      <c r="K984" s="272">
        <v>45.090725999999997</v>
      </c>
      <c r="L984" s="332"/>
      <c r="M984" s="399"/>
    </row>
    <row r="985" spans="2:13">
      <c r="B985" s="315">
        <v>7</v>
      </c>
      <c r="C985" s="320"/>
      <c r="D985" s="299" t="s">
        <v>242</v>
      </c>
      <c r="E985" s="309">
        <v>3.8730000000000002</v>
      </c>
      <c r="F985" s="309">
        <v>4.5060000000000002</v>
      </c>
      <c r="G985" s="317">
        <v>3.655049</v>
      </c>
      <c r="H985" s="361">
        <v>5.6071609999999996</v>
      </c>
      <c r="I985" s="318">
        <v>0.13880000000000001</v>
      </c>
      <c r="J985" s="318">
        <v>9.9199999999999997E-2</v>
      </c>
      <c r="K985" s="317">
        <v>45.423386999999998</v>
      </c>
      <c r="L985" s="321"/>
      <c r="M985" s="399"/>
    </row>
    <row r="986" spans="2:13">
      <c r="B986" s="315">
        <v>8</v>
      </c>
      <c r="C986" s="320"/>
      <c r="D986" s="299" t="s">
        <v>222</v>
      </c>
      <c r="E986" s="309">
        <v>3.8780000000000001</v>
      </c>
      <c r="F986" s="309">
        <v>4.4690000000000003</v>
      </c>
      <c r="G986" s="317">
        <v>3.6203620000000001</v>
      </c>
      <c r="H986" s="361">
        <v>5.573277</v>
      </c>
      <c r="I986" s="318">
        <v>0.13880000000000001</v>
      </c>
      <c r="J986" s="318">
        <v>9.9299999999999999E-2</v>
      </c>
      <c r="K986" s="317">
        <v>45.005034999999999</v>
      </c>
      <c r="L986" s="321"/>
      <c r="M986" s="399"/>
    </row>
    <row r="987" spans="2:13">
      <c r="B987" s="315">
        <v>9</v>
      </c>
      <c r="C987" s="320"/>
      <c r="D987" s="299" t="s">
        <v>223</v>
      </c>
      <c r="E987" s="309">
        <v>3.92</v>
      </c>
      <c r="F987" s="309">
        <v>4.4000000000000004</v>
      </c>
      <c r="G987" s="317">
        <v>3.5262739999999999</v>
      </c>
      <c r="H987" s="361">
        <v>5.4720060000000004</v>
      </c>
      <c r="I987" s="318">
        <v>0.13900000000000001</v>
      </c>
      <c r="J987" s="318">
        <v>9.9299999999999999E-2</v>
      </c>
      <c r="K987" s="317">
        <v>44.310170999999997</v>
      </c>
      <c r="L987" s="321"/>
      <c r="M987" s="399"/>
    </row>
    <row r="988" spans="2:13" ht="17.25" thickBot="1">
      <c r="B988" s="322">
        <v>10</v>
      </c>
      <c r="C988" s="323"/>
      <c r="D988" s="293" t="s">
        <v>243</v>
      </c>
      <c r="E988" s="311">
        <v>3.88</v>
      </c>
      <c r="F988" s="311">
        <v>4.484</v>
      </c>
      <c r="G988" s="278">
        <v>3.6306419999999999</v>
      </c>
      <c r="H988" s="362">
        <v>5.5666409999999997</v>
      </c>
      <c r="I988" s="279">
        <v>0.1391</v>
      </c>
      <c r="J988" s="279">
        <v>9.9400000000000002E-2</v>
      </c>
      <c r="K988" s="278">
        <v>45.110664</v>
      </c>
      <c r="L988" s="324"/>
      <c r="M988" s="399"/>
    </row>
    <row r="989" spans="2:13" ht="17.25" thickBot="1">
      <c r="B989" s="325" t="s">
        <v>464</v>
      </c>
      <c r="C989" s="326"/>
      <c r="D989" s="327" t="s">
        <v>463</v>
      </c>
      <c r="E989" s="328">
        <f t="shared" ref="E989:K989" si="288">AVERAGE(E984:E988)</f>
        <v>3.8832</v>
      </c>
      <c r="F989" s="328">
        <f t="shared" si="288"/>
        <v>4.4664000000000001</v>
      </c>
      <c r="G989" s="328">
        <f t="shared" si="288"/>
        <v>3.6136235999999995</v>
      </c>
      <c r="H989" s="328">
        <f t="shared" si="288"/>
        <v>5.5579565999999998</v>
      </c>
      <c r="I989" s="329">
        <f t="shared" si="288"/>
        <v>0.13891999999999999</v>
      </c>
      <c r="J989" s="329">
        <f t="shared" si="288"/>
        <v>9.9279999999999993E-2</v>
      </c>
      <c r="K989" s="330">
        <f t="shared" si="288"/>
        <v>44.987996599999995</v>
      </c>
      <c r="L989" s="331"/>
      <c r="M989" s="399"/>
    </row>
    <row r="990" spans="2:13">
      <c r="B990" s="333">
        <v>11</v>
      </c>
      <c r="C990" s="334" t="s">
        <v>296</v>
      </c>
      <c r="D990" s="291" t="s">
        <v>244</v>
      </c>
      <c r="E990" s="307">
        <v>3.8570000000000002</v>
      </c>
      <c r="F990" s="307">
        <v>4.3860000000000001</v>
      </c>
      <c r="G990" s="272">
        <v>3.5724689999999999</v>
      </c>
      <c r="H990" s="307">
        <v>5.4429150000000002</v>
      </c>
      <c r="I990" s="273">
        <v>0.1386</v>
      </c>
      <c r="J990" s="273">
        <v>9.9900000000000003E-2</v>
      </c>
      <c r="K990" s="272">
        <v>43.903903999999997</v>
      </c>
      <c r="L990" s="332"/>
      <c r="M990" s="399"/>
    </row>
    <row r="991" spans="2:13">
      <c r="B991" s="335">
        <v>12</v>
      </c>
      <c r="C991" s="320"/>
      <c r="D991" s="299" t="s">
        <v>245</v>
      </c>
      <c r="E991" s="309">
        <v>3.8639999999999999</v>
      </c>
      <c r="F991" s="309">
        <v>4.43</v>
      </c>
      <c r="G991" s="317">
        <v>3.6017709999999998</v>
      </c>
      <c r="H991" s="309">
        <v>5.5023949999999999</v>
      </c>
      <c r="I991" s="318">
        <v>0.1386</v>
      </c>
      <c r="J991" s="318">
        <v>0.1</v>
      </c>
      <c r="K991" s="317">
        <v>44.3</v>
      </c>
      <c r="L991" s="321"/>
      <c r="M991" s="399"/>
    </row>
    <row r="992" spans="2:13">
      <c r="B992" s="335">
        <v>13</v>
      </c>
      <c r="C992" s="320"/>
      <c r="D992" s="299" t="s">
        <v>227</v>
      </c>
      <c r="E992" s="309">
        <v>3.8690000000000002</v>
      </c>
      <c r="F992" s="309">
        <v>4.3849999999999998</v>
      </c>
      <c r="G992" s="317">
        <v>3.5605769999999999</v>
      </c>
      <c r="H992" s="309">
        <v>5.4469630000000002</v>
      </c>
      <c r="I992" s="318">
        <v>0.13850000000000001</v>
      </c>
      <c r="J992" s="318">
        <v>9.9900000000000003E-2</v>
      </c>
      <c r="K992" s="317">
        <v>43.893894000000003</v>
      </c>
      <c r="L992" s="321"/>
      <c r="M992" s="399"/>
    </row>
    <row r="993" spans="2:13">
      <c r="B993" s="335">
        <v>14</v>
      </c>
      <c r="C993" s="320"/>
      <c r="D993" s="299" t="s">
        <v>228</v>
      </c>
      <c r="E993" s="309">
        <v>3.871</v>
      </c>
      <c r="F993" s="309">
        <v>4.391</v>
      </c>
      <c r="G993" s="317">
        <v>3.5636070000000002</v>
      </c>
      <c r="H993" s="309">
        <v>5.4539299999999997</v>
      </c>
      <c r="I993" s="318">
        <v>0.1386</v>
      </c>
      <c r="J993" s="318">
        <v>9.9900000000000003E-2</v>
      </c>
      <c r="K993" s="317">
        <v>43.953954000000003</v>
      </c>
      <c r="L993" s="321"/>
      <c r="M993" s="399"/>
    </row>
    <row r="994" spans="2:13" ht="17.25" thickBot="1">
      <c r="B994" s="336">
        <v>15</v>
      </c>
      <c r="C994" s="323"/>
      <c r="D994" s="293" t="s">
        <v>246</v>
      </c>
      <c r="E994" s="311">
        <v>3.87</v>
      </c>
      <c r="F994" s="311">
        <v>4.3789999999999996</v>
      </c>
      <c r="G994" s="278">
        <v>3.554786</v>
      </c>
      <c r="H994" s="311">
        <v>5.4371489999999998</v>
      </c>
      <c r="I994" s="279">
        <v>0.13880000000000001</v>
      </c>
      <c r="J994" s="279">
        <v>9.9900000000000003E-2</v>
      </c>
      <c r="K994" s="278">
        <v>43.833834000000003</v>
      </c>
      <c r="L994" s="324"/>
      <c r="M994" s="399"/>
    </row>
    <row r="995" spans="2:13" ht="17.25" thickBot="1">
      <c r="B995" s="337"/>
      <c r="C995" s="326"/>
      <c r="D995" s="327" t="s">
        <v>463</v>
      </c>
      <c r="E995" s="328">
        <f>AVERAGE(E990:E994)</f>
        <v>3.8662000000000001</v>
      </c>
      <c r="F995" s="328">
        <f t="shared" ref="F995:K995" si="289">AVERAGE(F990:F994)</f>
        <v>4.3941999999999997</v>
      </c>
      <c r="G995" s="328">
        <f t="shared" si="289"/>
        <v>3.5706420000000003</v>
      </c>
      <c r="H995" s="328">
        <f t="shared" si="289"/>
        <v>5.4566704000000001</v>
      </c>
      <c r="I995" s="329">
        <f t="shared" si="289"/>
        <v>0.13862000000000002</v>
      </c>
      <c r="J995" s="329">
        <f t="shared" si="289"/>
        <v>9.9919999999999995E-2</v>
      </c>
      <c r="K995" s="330">
        <f t="shared" si="289"/>
        <v>43.977117200000002</v>
      </c>
      <c r="L995" s="331"/>
      <c r="M995" s="399"/>
    </row>
    <row r="996" spans="2:13">
      <c r="B996" s="333">
        <v>16</v>
      </c>
      <c r="C996" s="271" t="s">
        <v>329</v>
      </c>
      <c r="D996" s="291" t="s">
        <v>247</v>
      </c>
      <c r="E996" s="307">
        <v>3.8519999999999999</v>
      </c>
      <c r="F996" s="307">
        <v>4.3129999999999997</v>
      </c>
      <c r="G996" s="272">
        <v>3.5175689999999999</v>
      </c>
      <c r="H996" s="307">
        <v>5.3636419999999996</v>
      </c>
      <c r="I996" s="273">
        <v>0.13919999999999999</v>
      </c>
      <c r="J996" s="273">
        <v>9.9299999999999999E-2</v>
      </c>
      <c r="K996" s="272">
        <v>43.434038000000001</v>
      </c>
      <c r="L996" s="359"/>
      <c r="M996" s="401"/>
    </row>
    <row r="997" spans="2:13">
      <c r="B997" s="335">
        <v>17</v>
      </c>
      <c r="C997" s="320"/>
      <c r="D997" s="299" t="s">
        <v>248</v>
      </c>
      <c r="E997" s="309">
        <v>3.8620000000000001</v>
      </c>
      <c r="F997" s="309">
        <v>4.3600000000000003</v>
      </c>
      <c r="G997" s="317">
        <v>3.546694</v>
      </c>
      <c r="H997" s="309">
        <v>5.4208350000000003</v>
      </c>
      <c r="I997" s="318">
        <v>0.1391</v>
      </c>
      <c r="J997" s="318">
        <v>9.9400000000000002E-2</v>
      </c>
      <c r="K997" s="317">
        <v>43.863179000000002</v>
      </c>
      <c r="L997" s="321"/>
      <c r="M997" s="399"/>
    </row>
    <row r="998" spans="2:13">
      <c r="B998" s="335">
        <v>18</v>
      </c>
      <c r="C998" s="320"/>
      <c r="D998" s="299" t="s">
        <v>232</v>
      </c>
      <c r="E998" s="309">
        <v>3.8679999999999999</v>
      </c>
      <c r="F998" s="309">
        <v>4.3659999999999997</v>
      </c>
      <c r="G998" s="317">
        <v>3.5460660000000002</v>
      </c>
      <c r="H998" s="309">
        <v>5.4222089999999996</v>
      </c>
      <c r="I998" s="318">
        <v>0.13919999999999999</v>
      </c>
      <c r="J998" s="318">
        <v>9.9500000000000005E-2</v>
      </c>
      <c r="K998" s="317">
        <v>43.879396999999997</v>
      </c>
      <c r="L998" s="321"/>
      <c r="M998" s="399"/>
    </row>
    <row r="999" spans="2:13">
      <c r="B999" s="335">
        <v>19</v>
      </c>
      <c r="C999" s="320"/>
      <c r="D999" s="299" t="s">
        <v>233</v>
      </c>
      <c r="E999" s="309">
        <v>3.871</v>
      </c>
      <c r="F999" s="309">
        <v>4.359</v>
      </c>
      <c r="G999" s="317">
        <v>3.537636</v>
      </c>
      <c r="H999" s="309">
        <v>5.4037199999999999</v>
      </c>
      <c r="I999" s="318">
        <v>0.1391</v>
      </c>
      <c r="J999" s="318">
        <v>9.9500000000000005E-2</v>
      </c>
      <c r="K999" s="317">
        <v>43.809044999999998</v>
      </c>
      <c r="L999" s="321"/>
      <c r="M999" s="399"/>
    </row>
    <row r="1000" spans="2:13" ht="17.25" thickBot="1">
      <c r="B1000" s="336">
        <v>20</v>
      </c>
      <c r="C1000" s="323"/>
      <c r="D1000" s="293" t="s">
        <v>249</v>
      </c>
      <c r="E1000" s="311">
        <v>3.87</v>
      </c>
      <c r="F1000" s="311">
        <v>4.3369999999999997</v>
      </c>
      <c r="G1000" s="278">
        <v>3.5206909999999998</v>
      </c>
      <c r="H1000" s="311">
        <v>5.382085</v>
      </c>
      <c r="I1000" s="279">
        <v>0.13919999999999999</v>
      </c>
      <c r="J1000" s="279">
        <v>9.9599999999999994E-2</v>
      </c>
      <c r="K1000" s="278">
        <v>43.544176999999998</v>
      </c>
      <c r="L1000" s="324"/>
      <c r="M1000" s="399"/>
    </row>
    <row r="1001" spans="2:13" ht="17.25" thickBot="1">
      <c r="B1001" s="337"/>
      <c r="C1001" s="326"/>
      <c r="D1001" s="327" t="s">
        <v>463</v>
      </c>
      <c r="E1001" s="328">
        <f>AVERAGE(E996:E1000)</f>
        <v>3.8646000000000003</v>
      </c>
      <c r="F1001" s="328">
        <f t="shared" ref="F1001:K1001" si="290">AVERAGE(F996:F1000)</f>
        <v>4.3469999999999995</v>
      </c>
      <c r="G1001" s="328">
        <f t="shared" si="290"/>
        <v>3.5337311999999996</v>
      </c>
      <c r="H1001" s="328">
        <f t="shared" si="290"/>
        <v>5.3984981999999997</v>
      </c>
      <c r="I1001" s="329">
        <f t="shared" si="290"/>
        <v>0.13916000000000001</v>
      </c>
      <c r="J1001" s="329">
        <f t="shared" si="290"/>
        <v>9.9460000000000021E-2</v>
      </c>
      <c r="K1001" s="328">
        <f t="shared" si="290"/>
        <v>43.705967199999996</v>
      </c>
      <c r="L1001" s="331"/>
      <c r="M1001" s="399"/>
    </row>
    <row r="1002" spans="2:13">
      <c r="B1002" s="333">
        <v>21</v>
      </c>
      <c r="C1002" s="271" t="s">
        <v>329</v>
      </c>
      <c r="D1002" s="291" t="s">
        <v>250</v>
      </c>
      <c r="E1002" s="307">
        <v>3.85</v>
      </c>
      <c r="F1002" s="307">
        <v>4.3129999999999997</v>
      </c>
      <c r="G1002" s="272">
        <v>3.5193970000000001</v>
      </c>
      <c r="H1002" s="307">
        <v>5.3669279999999997</v>
      </c>
      <c r="I1002" s="273">
        <v>0.1391</v>
      </c>
      <c r="J1002" s="273">
        <v>9.9199999999999997E-2</v>
      </c>
      <c r="K1002" s="272">
        <v>43.477823000000001</v>
      </c>
      <c r="L1002" s="332"/>
      <c r="M1002" s="399"/>
    </row>
    <row r="1003" spans="2:13">
      <c r="B1003" s="335">
        <v>22</v>
      </c>
      <c r="C1003" s="320"/>
      <c r="D1003" s="299" t="s">
        <v>251</v>
      </c>
      <c r="E1003" s="309">
        <v>3.86</v>
      </c>
      <c r="F1003" s="309">
        <v>4.3460000000000001</v>
      </c>
      <c r="G1003" s="317">
        <v>3.537137</v>
      </c>
      <c r="H1003" s="309">
        <v>5.3994479999999996</v>
      </c>
      <c r="I1003" s="318">
        <v>0.1391</v>
      </c>
      <c r="J1003" s="318">
        <v>9.9400000000000002E-2</v>
      </c>
      <c r="K1003" s="317">
        <v>43.722333999999996</v>
      </c>
      <c r="L1003" s="321"/>
      <c r="M1003" s="399"/>
    </row>
    <row r="1004" spans="2:13">
      <c r="B1004" s="335">
        <v>23</v>
      </c>
      <c r="C1004" s="320"/>
      <c r="D1004" s="299" t="s">
        <v>237</v>
      </c>
      <c r="E1004" s="309">
        <v>3.8650000000000002</v>
      </c>
      <c r="F1004" s="309">
        <v>4.3659999999999997</v>
      </c>
      <c r="G1004" s="317">
        <v>3.5488179999999998</v>
      </c>
      <c r="H1004" s="309">
        <v>5.4187900000000004</v>
      </c>
      <c r="I1004" s="318">
        <v>0.13919999999999999</v>
      </c>
      <c r="J1004" s="318">
        <v>9.9400000000000002E-2</v>
      </c>
      <c r="K1004" s="317">
        <v>43.923541</v>
      </c>
      <c r="L1004" s="321"/>
      <c r="M1004" s="399"/>
    </row>
    <row r="1005" spans="2:13">
      <c r="B1005" s="335">
        <v>24</v>
      </c>
      <c r="C1005" s="320"/>
      <c r="D1005" s="299" t="s">
        <v>238</v>
      </c>
      <c r="E1005" s="309">
        <v>3.8679999999999999</v>
      </c>
      <c r="F1005" s="309">
        <v>4.3639999999999999</v>
      </c>
      <c r="G1005" s="317">
        <v>3.544441</v>
      </c>
      <c r="H1005" s="309">
        <v>5.427092</v>
      </c>
      <c r="I1005" s="318">
        <v>0.13919999999999999</v>
      </c>
      <c r="J1005" s="318">
        <v>9.9400000000000002E-2</v>
      </c>
      <c r="K1005" s="317">
        <v>43.903421000000002</v>
      </c>
      <c r="L1005" s="321"/>
      <c r="M1005" s="399"/>
    </row>
    <row r="1006" spans="2:13" ht="17.25" thickBot="1">
      <c r="B1006" s="336">
        <v>25</v>
      </c>
      <c r="C1006" s="323"/>
      <c r="D1006" s="293" t="s">
        <v>252</v>
      </c>
      <c r="E1006" s="311">
        <v>3.8660000000000001</v>
      </c>
      <c r="F1006" s="311">
        <v>4.359</v>
      </c>
      <c r="G1006" s="278">
        <v>3.5422120000000001</v>
      </c>
      <c r="H1006" s="311">
        <v>5.4069209999999996</v>
      </c>
      <c r="I1006" s="279">
        <v>0.1394</v>
      </c>
      <c r="J1006" s="279">
        <v>9.9500000000000005E-2</v>
      </c>
      <c r="K1006" s="278">
        <v>43.809044999999998</v>
      </c>
      <c r="L1006" s="324"/>
      <c r="M1006" s="399"/>
    </row>
    <row r="1007" spans="2:13" ht="17.25" thickBot="1">
      <c r="B1007" s="339" t="s">
        <v>464</v>
      </c>
      <c r="C1007" s="340"/>
      <c r="D1007" s="341" t="s">
        <v>465</v>
      </c>
      <c r="E1007" s="342">
        <f>AVERAGE(E1002:E1006)</f>
        <v>3.8618000000000001</v>
      </c>
      <c r="F1007" s="342">
        <f t="shared" ref="F1007:K1007" si="291">AVERAGE(F1002:F1006)</f>
        <v>4.3495999999999997</v>
      </c>
      <c r="G1007" s="342">
        <f t="shared" si="291"/>
        <v>3.5384009999999995</v>
      </c>
      <c r="H1007" s="342">
        <f t="shared" si="291"/>
        <v>5.4038357999999995</v>
      </c>
      <c r="I1007" s="343">
        <f t="shared" si="291"/>
        <v>0.13919999999999999</v>
      </c>
      <c r="J1007" s="343">
        <f t="shared" si="291"/>
        <v>9.9379999999999996E-2</v>
      </c>
      <c r="K1007" s="342">
        <f t="shared" si="291"/>
        <v>43.767232800000002</v>
      </c>
      <c r="L1007" s="344"/>
      <c r="M1007" s="399"/>
    </row>
    <row r="1008" spans="2:13">
      <c r="B1008" s="333"/>
      <c r="C1008" s="345"/>
      <c r="D1008" s="291" t="s">
        <v>466</v>
      </c>
      <c r="E1008" s="346">
        <f>MEDIAN(E978:E982,E984:E988,E990:E994,E996:E1000,E1002:E1006)</f>
        <v>3.8690000000000002</v>
      </c>
      <c r="F1008" s="346">
        <f t="shared" ref="F1008:K1008" si="292">MEDIAN(F978:F982,F984:F988,F990:F994,F996:F1000,F1002:F1006)</f>
        <v>4.3860000000000001</v>
      </c>
      <c r="G1008" s="346">
        <f t="shared" si="292"/>
        <v>3.5605769999999999</v>
      </c>
      <c r="H1008" s="346">
        <f t="shared" si="292"/>
        <v>5.4469630000000002</v>
      </c>
      <c r="I1008" s="347">
        <f t="shared" si="292"/>
        <v>0.13900000000000001</v>
      </c>
      <c r="J1008" s="347">
        <f t="shared" si="292"/>
        <v>9.9400000000000002E-2</v>
      </c>
      <c r="K1008" s="348">
        <f t="shared" si="292"/>
        <v>43.923541</v>
      </c>
      <c r="L1008" s="332"/>
      <c r="M1008" s="399"/>
    </row>
    <row r="1009" spans="2:13">
      <c r="B1009" s="335"/>
      <c r="C1009" s="320"/>
      <c r="D1009" s="299" t="s">
        <v>467</v>
      </c>
      <c r="E1009" s="349">
        <f>AVERAGE(E978:E982,E984:E988,E990:E994,E996:E1000,E1002:E1006)</f>
        <v>3.8697199999999987</v>
      </c>
      <c r="F1009" s="349">
        <f t="shared" ref="F1009:K1009" si="293">AVERAGE(F978:F982,F984:F988,F990:F994,F996:F1000,F1002:F1006)</f>
        <v>4.4054000000000002</v>
      </c>
      <c r="G1009" s="349">
        <f t="shared" si="293"/>
        <v>3.5764538000000012</v>
      </c>
      <c r="H1009" s="349">
        <f t="shared" si="293"/>
        <v>5.4751017999999991</v>
      </c>
      <c r="I1009" s="350">
        <f t="shared" si="293"/>
        <v>0.13897199999999998</v>
      </c>
      <c r="J1009" s="350">
        <f t="shared" si="293"/>
        <v>9.9456000000000003E-2</v>
      </c>
      <c r="K1009" s="351">
        <f t="shared" si="293"/>
        <v>44.295722760000011</v>
      </c>
      <c r="L1009" s="321"/>
      <c r="M1009" s="399"/>
    </row>
    <row r="1010" spans="2:13">
      <c r="B1010" s="335"/>
      <c r="C1010" s="320"/>
      <c r="D1010" s="299" t="s">
        <v>199</v>
      </c>
      <c r="E1010" s="349">
        <f>MAX(E978:E982,E984:E988,E990:E994,E996:E1000,E1002:E1006)</f>
        <v>3.92</v>
      </c>
      <c r="F1010" s="349">
        <f t="shared" ref="F1010:K1010" si="294">MAX(F978:F982,F984:F988,F990:F994,F996:F1000,F1002:F1006)</f>
        <v>4.5060000000000002</v>
      </c>
      <c r="G1010" s="349">
        <f t="shared" si="294"/>
        <v>3.655049</v>
      </c>
      <c r="H1010" s="349">
        <f t="shared" si="294"/>
        <v>5.6071609999999996</v>
      </c>
      <c r="I1010" s="350">
        <f t="shared" si="294"/>
        <v>0.1394</v>
      </c>
      <c r="J1010" s="350">
        <f t="shared" si="294"/>
        <v>0.1</v>
      </c>
      <c r="K1010" s="351">
        <f t="shared" si="294"/>
        <v>45.423386999999998</v>
      </c>
      <c r="L1010" s="321"/>
      <c r="M1010" s="399"/>
    </row>
    <row r="1011" spans="2:13">
      <c r="B1011" s="335"/>
      <c r="C1011" s="320"/>
      <c r="D1011" s="299" t="s">
        <v>200</v>
      </c>
      <c r="E1011" s="349">
        <f>MIN(E978:E982,E984:E988,E990:E994,E996:E1000,E1002:E1006)</f>
        <v>3.85</v>
      </c>
      <c r="F1011" s="349">
        <f t="shared" ref="F1011:K1011" si="295">MIN(F978:F982,F984:F988,F990:F994,F996:F1000,F1002:F1006)</f>
        <v>4.3129999999999997</v>
      </c>
      <c r="G1011" s="349">
        <f t="shared" si="295"/>
        <v>3.5175689999999999</v>
      </c>
      <c r="H1011" s="349">
        <f t="shared" si="295"/>
        <v>5.3636419999999996</v>
      </c>
      <c r="I1011" s="350">
        <f t="shared" si="295"/>
        <v>0.13850000000000001</v>
      </c>
      <c r="J1011" s="350">
        <f t="shared" si="295"/>
        <v>9.9099999999999994E-2</v>
      </c>
      <c r="K1011" s="351">
        <f t="shared" si="295"/>
        <v>43.434038000000001</v>
      </c>
      <c r="L1011" s="321"/>
      <c r="M1011" s="399"/>
    </row>
    <row r="1012" spans="2:13">
      <c r="B1012" s="335"/>
      <c r="C1012" s="320"/>
      <c r="D1012" s="299" t="s">
        <v>201</v>
      </c>
      <c r="E1012" s="349">
        <f>E1010-E1011</f>
        <v>6.999999999999984E-2</v>
      </c>
      <c r="F1012" s="349">
        <f t="shared" ref="F1012:K1012" si="296">F1010-F1011</f>
        <v>0.1930000000000005</v>
      </c>
      <c r="G1012" s="349">
        <f t="shared" si="296"/>
        <v>0.13748000000000005</v>
      </c>
      <c r="H1012" s="349">
        <f t="shared" si="296"/>
        <v>0.24351900000000004</v>
      </c>
      <c r="I1012" s="350">
        <f t="shared" si="296"/>
        <v>8.9999999999998415E-4</v>
      </c>
      <c r="J1012" s="350">
        <f t="shared" si="296"/>
        <v>9.000000000000119E-4</v>
      </c>
      <c r="K1012" s="349">
        <f t="shared" si="296"/>
        <v>1.9893489999999971</v>
      </c>
      <c r="L1012" s="321"/>
      <c r="M1012" s="399"/>
    </row>
    <row r="1013" spans="2:13" ht="17.25" thickBot="1">
      <c r="B1013" s="336"/>
      <c r="C1013" s="323"/>
      <c r="D1013" s="293" t="s">
        <v>202</v>
      </c>
      <c r="E1013" s="352">
        <f>STDEVA(E978:E982,E984:E988,E990:E994,E996:E1000,E1002:E1006)</f>
        <v>1.2889013409360165E-2</v>
      </c>
      <c r="F1013" s="352">
        <f t="shared" ref="F1013:K1013" si="297">STDEVA(F978:F982,F984:F988,F990:F994,F996:F1000,F1002:F1006)</f>
        <v>5.9572085185373068E-2</v>
      </c>
      <c r="G1013" s="352">
        <f t="shared" si="297"/>
        <v>4.5106868767406189E-2</v>
      </c>
      <c r="H1013" s="352">
        <f t="shared" si="297"/>
        <v>7.754933270344759E-2</v>
      </c>
      <c r="I1013" s="353">
        <f t="shared" si="297"/>
        <v>2.3187640385917887E-4</v>
      </c>
      <c r="J1013" s="353">
        <f t="shared" si="297"/>
        <v>2.6312227829154727E-4</v>
      </c>
      <c r="K1013" s="352">
        <f t="shared" si="297"/>
        <v>0.64498006342995295</v>
      </c>
      <c r="L1013" s="324"/>
      <c r="M1013" s="399"/>
    </row>
    <row r="1015" spans="2:13">
      <c r="B1015" s="240" t="s">
        <v>497</v>
      </c>
      <c r="C1015" s="240"/>
      <c r="E1015" s="240"/>
      <c r="F1015" s="240"/>
      <c r="G1015" s="240"/>
      <c r="H1015" s="240"/>
      <c r="I1015" s="240"/>
      <c r="J1015" s="240"/>
      <c r="K1015" s="240"/>
    </row>
    <row r="1016" spans="2:13" ht="17.25" thickBot="1">
      <c r="B1016" s="240" t="s">
        <v>469</v>
      </c>
      <c r="C1016" s="240"/>
      <c r="E1016" s="240"/>
      <c r="F1016" s="240"/>
      <c r="G1016" s="240"/>
      <c r="H1016" s="240"/>
      <c r="I1016" s="240"/>
      <c r="J1016" s="240"/>
      <c r="K1016" s="240"/>
    </row>
    <row r="1017" spans="2:13" ht="17.25" thickBot="1">
      <c r="B1017" s="313" t="s">
        <v>11</v>
      </c>
      <c r="C1017" s="250" t="s">
        <v>0</v>
      </c>
      <c r="D1017" s="250" t="s">
        <v>1</v>
      </c>
      <c r="E1017" s="250" t="s">
        <v>2</v>
      </c>
      <c r="F1017" s="250" t="s">
        <v>3</v>
      </c>
      <c r="G1017" s="250" t="s">
        <v>192</v>
      </c>
      <c r="H1017" s="250" t="s">
        <v>16</v>
      </c>
      <c r="I1017" s="250" t="s">
        <v>6</v>
      </c>
      <c r="J1017" s="251" t="s">
        <v>7</v>
      </c>
      <c r="K1017" s="252" t="s">
        <v>8</v>
      </c>
      <c r="L1017" s="254" t="s">
        <v>470</v>
      </c>
      <c r="M1017" s="404"/>
    </row>
    <row r="1018" spans="2:13">
      <c r="B1018" s="314">
        <v>1</v>
      </c>
      <c r="C1018" s="271" t="s">
        <v>330</v>
      </c>
      <c r="D1018" s="291" t="s">
        <v>213</v>
      </c>
      <c r="E1018" s="307">
        <v>3.8889999999999998</v>
      </c>
      <c r="F1018" s="307">
        <v>4.7160000000000002</v>
      </c>
      <c r="G1018" s="272">
        <v>3.8096519999999998</v>
      </c>
      <c r="H1018" s="360">
        <v>5.8537280000000003</v>
      </c>
      <c r="I1018" s="273">
        <v>0.13900000000000001</v>
      </c>
      <c r="J1018" s="273">
        <v>9.9599999999999994E-2</v>
      </c>
      <c r="K1018" s="272">
        <v>47.349398000000001</v>
      </c>
      <c r="L1018" s="275"/>
      <c r="M1018" s="397"/>
    </row>
    <row r="1019" spans="2:13">
      <c r="B1019" s="315">
        <v>2</v>
      </c>
      <c r="C1019" s="316"/>
      <c r="D1019" s="299" t="s">
        <v>214</v>
      </c>
      <c r="E1019" s="309">
        <v>3.8839999999999999</v>
      </c>
      <c r="F1019" s="309">
        <v>4.6900000000000004</v>
      </c>
      <c r="G1019" s="317">
        <v>3.7935270000000001</v>
      </c>
      <c r="H1019" s="361">
        <v>5.8025070000000003</v>
      </c>
      <c r="I1019" s="318">
        <v>0.13900000000000001</v>
      </c>
      <c r="J1019" s="318">
        <v>9.9699999999999997E-2</v>
      </c>
      <c r="K1019" s="317">
        <v>47.041122999999999</v>
      </c>
      <c r="L1019" s="319"/>
      <c r="M1019" s="398"/>
    </row>
    <row r="1020" spans="2:13">
      <c r="B1020" s="315">
        <v>3</v>
      </c>
      <c r="C1020" s="320"/>
      <c r="D1020" s="299" t="s">
        <v>217</v>
      </c>
      <c r="E1020" s="309">
        <v>3.8769999999999998</v>
      </c>
      <c r="F1020" s="309">
        <v>4.6040000000000001</v>
      </c>
      <c r="G1020" s="317">
        <v>3.7306889999999999</v>
      </c>
      <c r="H1020" s="361">
        <v>5.6962679999999999</v>
      </c>
      <c r="I1020" s="318">
        <v>0.1389</v>
      </c>
      <c r="J1020" s="318">
        <v>9.98E-2</v>
      </c>
      <c r="K1020" s="317">
        <v>46.132264999999997</v>
      </c>
      <c r="L1020" s="356"/>
      <c r="M1020" s="400"/>
    </row>
    <row r="1021" spans="2:13">
      <c r="B1021" s="315">
        <v>4</v>
      </c>
      <c r="C1021" s="320"/>
      <c r="D1021" s="299" t="s">
        <v>218</v>
      </c>
      <c r="E1021" s="309">
        <v>3.8690000000000002</v>
      </c>
      <c r="F1021" s="309">
        <v>4.57</v>
      </c>
      <c r="G1021" s="317">
        <v>3.7107950000000001</v>
      </c>
      <c r="H1021" s="361">
        <v>5.6588120000000002</v>
      </c>
      <c r="I1021" s="318">
        <v>0.13900000000000001</v>
      </c>
      <c r="J1021" s="318">
        <v>9.9900000000000003E-2</v>
      </c>
      <c r="K1021" s="317">
        <v>45.745745999999997</v>
      </c>
      <c r="L1021" s="356"/>
      <c r="M1021" s="400"/>
    </row>
    <row r="1022" spans="2:13" ht="17.25" thickBot="1">
      <c r="B1022" s="322">
        <v>5</v>
      </c>
      <c r="C1022" s="323"/>
      <c r="D1022" s="354" t="s">
        <v>240</v>
      </c>
      <c r="E1022" s="311">
        <v>3.863</v>
      </c>
      <c r="F1022" s="311">
        <v>4.5410000000000004</v>
      </c>
      <c r="G1022" s="278">
        <v>3.692974</v>
      </c>
      <c r="H1022" s="362">
        <v>5.6113309999999998</v>
      </c>
      <c r="I1022" s="279">
        <v>0.1391</v>
      </c>
      <c r="J1022" s="279">
        <v>9.9900000000000003E-2</v>
      </c>
      <c r="K1022" s="278">
        <v>45.455455000000001</v>
      </c>
      <c r="L1022" s="324"/>
      <c r="M1022" s="399"/>
    </row>
    <row r="1023" spans="2:13" ht="17.25" thickBot="1">
      <c r="B1023" s="325"/>
      <c r="C1023" s="326"/>
      <c r="D1023" s="327" t="s">
        <v>463</v>
      </c>
      <c r="E1023" s="328">
        <f>AVERAGE(E1018:E1022)</f>
        <v>3.8763999999999994</v>
      </c>
      <c r="F1023" s="328">
        <f t="shared" ref="F1023:K1023" si="298">AVERAGE(F1018:F1022)</f>
        <v>4.6242000000000001</v>
      </c>
      <c r="G1023" s="328">
        <f t="shared" si="298"/>
        <v>3.7475274000000001</v>
      </c>
      <c r="H1023" s="328">
        <f t="shared" si="298"/>
        <v>5.7245292000000001</v>
      </c>
      <c r="I1023" s="329">
        <f t="shared" si="298"/>
        <v>0.13900000000000001</v>
      </c>
      <c r="J1023" s="329">
        <f t="shared" si="298"/>
        <v>9.9779999999999994E-2</v>
      </c>
      <c r="K1023" s="330">
        <f t="shared" si="298"/>
        <v>46.344797399999997</v>
      </c>
      <c r="L1023" s="331"/>
      <c r="M1023" s="399"/>
    </row>
    <row r="1024" spans="2:13">
      <c r="B1024" s="314">
        <v>6</v>
      </c>
      <c r="C1024" s="271" t="s">
        <v>329</v>
      </c>
      <c r="D1024" s="291" t="s">
        <v>241</v>
      </c>
      <c r="E1024" s="307">
        <v>3.8860000000000001</v>
      </c>
      <c r="F1024" s="307">
        <v>4.6680000000000001</v>
      </c>
      <c r="G1024" s="272">
        <v>3.7737889999999998</v>
      </c>
      <c r="H1024" s="360">
        <v>5.77637</v>
      </c>
      <c r="I1024" s="273">
        <v>0.13900000000000001</v>
      </c>
      <c r="J1024" s="273">
        <v>9.98E-2</v>
      </c>
      <c r="K1024" s="272">
        <v>46.773547000000001</v>
      </c>
      <c r="L1024" s="332"/>
      <c r="M1024" s="399"/>
    </row>
    <row r="1025" spans="2:13">
      <c r="B1025" s="315">
        <v>7</v>
      </c>
      <c r="C1025" s="320"/>
      <c r="D1025" s="299" t="s">
        <v>242</v>
      </c>
      <c r="E1025" s="309">
        <v>3.8839999999999999</v>
      </c>
      <c r="F1025" s="309">
        <v>4.5880000000000001</v>
      </c>
      <c r="G1025" s="317">
        <v>3.711023</v>
      </c>
      <c r="H1025" s="361">
        <v>5.6798200000000003</v>
      </c>
      <c r="I1025" s="318">
        <v>0.1389</v>
      </c>
      <c r="J1025" s="318">
        <v>9.98E-2</v>
      </c>
      <c r="K1025" s="317">
        <v>45.971944000000001</v>
      </c>
      <c r="L1025" s="321"/>
      <c r="M1025" s="399"/>
    </row>
    <row r="1026" spans="2:13">
      <c r="B1026" s="315">
        <v>8</v>
      </c>
      <c r="C1026" s="320"/>
      <c r="D1026" s="299" t="s">
        <v>222</v>
      </c>
      <c r="E1026" s="309">
        <v>3.8769999999999998</v>
      </c>
      <c r="F1026" s="309">
        <v>4.6070000000000002</v>
      </c>
      <c r="G1026" s="317">
        <v>3.73312</v>
      </c>
      <c r="H1026" s="361">
        <v>5.7046000000000001</v>
      </c>
      <c r="I1026" s="318">
        <v>0.1389</v>
      </c>
      <c r="J1026" s="318">
        <v>9.98E-2</v>
      </c>
      <c r="K1026" s="317">
        <v>46.162325000000003</v>
      </c>
      <c r="L1026" s="321"/>
      <c r="M1026" s="399"/>
    </row>
    <row r="1027" spans="2:13">
      <c r="B1027" s="315">
        <v>9</v>
      </c>
      <c r="C1027" s="320"/>
      <c r="D1027" s="299" t="s">
        <v>223</v>
      </c>
      <c r="E1027" s="309">
        <v>3.8719999999999999</v>
      </c>
      <c r="F1027" s="309">
        <v>4.4729999999999999</v>
      </c>
      <c r="G1027" s="317">
        <v>3.6292179999999998</v>
      </c>
      <c r="H1027" s="361">
        <v>5.5363670000000003</v>
      </c>
      <c r="I1027" s="318">
        <v>0.13900000000000001</v>
      </c>
      <c r="J1027" s="318">
        <v>9.9900000000000003E-2</v>
      </c>
      <c r="K1027" s="317">
        <v>44.774774999999998</v>
      </c>
      <c r="L1027" s="321"/>
      <c r="M1027" s="399"/>
    </row>
    <row r="1028" spans="2:13" ht="17.25" thickBot="1">
      <c r="B1028" s="322">
        <v>10</v>
      </c>
      <c r="C1028" s="323"/>
      <c r="D1028" s="293" t="s">
        <v>243</v>
      </c>
      <c r="E1028" s="311">
        <v>3.8639999999999999</v>
      </c>
      <c r="F1028" s="311">
        <v>4.5170000000000003</v>
      </c>
      <c r="G1028" s="278">
        <v>3.6725059999999998</v>
      </c>
      <c r="H1028" s="362">
        <v>5.588152</v>
      </c>
      <c r="I1028" s="279">
        <v>0.13900000000000001</v>
      </c>
      <c r="J1028" s="279">
        <v>9.9900000000000003E-2</v>
      </c>
      <c r="K1028" s="278">
        <v>45.215215000000001</v>
      </c>
      <c r="L1028" s="324"/>
      <c r="M1028" s="399"/>
    </row>
    <row r="1029" spans="2:13" ht="17.25" thickBot="1">
      <c r="B1029" s="325" t="s">
        <v>464</v>
      </c>
      <c r="C1029" s="326"/>
      <c r="D1029" s="327" t="s">
        <v>463</v>
      </c>
      <c r="E1029" s="328">
        <f t="shared" ref="E1029:K1029" si="299">AVERAGE(E1024:E1028)</f>
        <v>3.8765999999999998</v>
      </c>
      <c r="F1029" s="328">
        <f t="shared" si="299"/>
        <v>4.5705999999999998</v>
      </c>
      <c r="G1029" s="328">
        <f t="shared" si="299"/>
        <v>3.7039311999999995</v>
      </c>
      <c r="H1029" s="328">
        <f t="shared" si="299"/>
        <v>5.6570617999999993</v>
      </c>
      <c r="I1029" s="329">
        <f t="shared" si="299"/>
        <v>0.13896000000000003</v>
      </c>
      <c r="J1029" s="329">
        <f t="shared" si="299"/>
        <v>9.9839999999999998E-2</v>
      </c>
      <c r="K1029" s="330">
        <f t="shared" si="299"/>
        <v>45.779561200000003</v>
      </c>
      <c r="L1029" s="331"/>
      <c r="M1029" s="399"/>
    </row>
    <row r="1030" spans="2:13">
      <c r="B1030" s="333">
        <v>11</v>
      </c>
      <c r="C1030" s="334" t="s">
        <v>296</v>
      </c>
      <c r="D1030" s="291" t="s">
        <v>244</v>
      </c>
      <c r="E1030" s="307">
        <v>3.8479999999999999</v>
      </c>
      <c r="F1030" s="307">
        <v>4.3449999999999998</v>
      </c>
      <c r="G1030" s="272">
        <v>3.5473509999999999</v>
      </c>
      <c r="H1030" s="307">
        <v>5.3841010000000002</v>
      </c>
      <c r="I1030" s="273">
        <v>0.13869999999999999</v>
      </c>
      <c r="J1030" s="273">
        <v>0.1004</v>
      </c>
      <c r="K1030" s="272">
        <v>43.276891999999997</v>
      </c>
      <c r="L1030" s="332"/>
      <c r="M1030" s="399"/>
    </row>
    <row r="1031" spans="2:13">
      <c r="B1031" s="335">
        <v>12</v>
      </c>
      <c r="C1031" s="320"/>
      <c r="D1031" s="299" t="s">
        <v>245</v>
      </c>
      <c r="E1031" s="309">
        <v>3.8519999999999999</v>
      </c>
      <c r="F1031" s="309">
        <v>4.335</v>
      </c>
      <c r="G1031" s="317">
        <v>3.5355120000000002</v>
      </c>
      <c r="H1031" s="309">
        <v>5.362933</v>
      </c>
      <c r="I1031" s="318">
        <v>0.1386</v>
      </c>
      <c r="J1031" s="318">
        <v>0.1004</v>
      </c>
      <c r="K1031" s="317">
        <v>43.177290999999997</v>
      </c>
      <c r="L1031" s="321"/>
      <c r="M1031" s="399"/>
    </row>
    <row r="1032" spans="2:13">
      <c r="B1032" s="335">
        <v>13</v>
      </c>
      <c r="C1032" s="320"/>
      <c r="D1032" s="299" t="s">
        <v>227</v>
      </c>
      <c r="E1032" s="309">
        <v>3.847</v>
      </c>
      <c r="F1032" s="309">
        <v>4.3040000000000003</v>
      </c>
      <c r="G1032" s="317">
        <v>3.5147919999999999</v>
      </c>
      <c r="H1032" s="309">
        <v>5.3073800000000002</v>
      </c>
      <c r="I1032" s="318">
        <v>0.13850000000000001</v>
      </c>
      <c r="J1032" s="318">
        <v>0.10059999999999999</v>
      </c>
      <c r="K1032" s="317">
        <v>42.783299999999997</v>
      </c>
      <c r="L1032" s="321"/>
      <c r="M1032" s="399"/>
    </row>
    <row r="1033" spans="2:13">
      <c r="B1033" s="335">
        <v>14</v>
      </c>
      <c r="C1033" s="320"/>
      <c r="D1033" s="299" t="s">
        <v>228</v>
      </c>
      <c r="E1033" s="309">
        <v>3.8450000000000002</v>
      </c>
      <c r="F1033" s="309">
        <v>4.2759999999999998</v>
      </c>
      <c r="G1033" s="317">
        <v>3.4937420000000001</v>
      </c>
      <c r="H1033" s="309">
        <v>5.2765950000000004</v>
      </c>
      <c r="I1033" s="318">
        <v>0.13869999999999999</v>
      </c>
      <c r="J1033" s="318">
        <v>0.1007</v>
      </c>
      <c r="K1033" s="317">
        <v>42.462761</v>
      </c>
      <c r="L1033" s="321"/>
      <c r="M1033" s="399"/>
    </row>
    <row r="1034" spans="2:13" ht="17.25" thickBot="1">
      <c r="B1034" s="336">
        <v>15</v>
      </c>
      <c r="C1034" s="323"/>
      <c r="D1034" s="293" t="s">
        <v>246</v>
      </c>
      <c r="E1034" s="311">
        <v>3.8370000000000002</v>
      </c>
      <c r="F1034" s="311">
        <v>4.2389999999999999</v>
      </c>
      <c r="G1034" s="278">
        <v>3.4707319999999999</v>
      </c>
      <c r="H1034" s="311">
        <v>5.2263809999999999</v>
      </c>
      <c r="I1034" s="279">
        <v>0.13880000000000001</v>
      </c>
      <c r="J1034" s="279">
        <v>0.10059999999999999</v>
      </c>
      <c r="K1034" s="278">
        <v>42.137177000000001</v>
      </c>
      <c r="L1034" s="324"/>
      <c r="M1034" s="399"/>
    </row>
    <row r="1035" spans="2:13" ht="17.25" thickBot="1">
      <c r="B1035" s="337"/>
      <c r="C1035" s="326"/>
      <c r="D1035" s="327" t="s">
        <v>463</v>
      </c>
      <c r="E1035" s="328">
        <f>AVERAGE(E1030:E1034)</f>
        <v>3.8457999999999997</v>
      </c>
      <c r="F1035" s="328">
        <f t="shared" ref="F1035:K1035" si="300">AVERAGE(F1030:F1034)</f>
        <v>4.2997999999999994</v>
      </c>
      <c r="G1035" s="328">
        <f t="shared" si="300"/>
        <v>3.5124257999999999</v>
      </c>
      <c r="H1035" s="328">
        <f t="shared" si="300"/>
        <v>5.3114780000000001</v>
      </c>
      <c r="I1035" s="329">
        <f t="shared" si="300"/>
        <v>0.13866000000000001</v>
      </c>
      <c r="J1035" s="329">
        <f t="shared" si="300"/>
        <v>0.10054</v>
      </c>
      <c r="K1035" s="330">
        <f t="shared" si="300"/>
        <v>42.767484199999998</v>
      </c>
      <c r="L1035" s="331"/>
      <c r="M1035" s="399"/>
    </row>
    <row r="1036" spans="2:13">
      <c r="B1036" s="333">
        <v>16</v>
      </c>
      <c r="C1036" s="271" t="s">
        <v>329</v>
      </c>
      <c r="D1036" s="291" t="s">
        <v>247</v>
      </c>
      <c r="E1036" s="307">
        <v>3.843</v>
      </c>
      <c r="F1036" s="307">
        <v>4.2350000000000003</v>
      </c>
      <c r="G1036" s="272">
        <v>3.4620440000000001</v>
      </c>
      <c r="H1036" s="307">
        <v>5.2345730000000001</v>
      </c>
      <c r="I1036" s="273">
        <v>0.13919999999999999</v>
      </c>
      <c r="J1036" s="273">
        <v>0.1</v>
      </c>
      <c r="K1036" s="272">
        <v>42.35</v>
      </c>
      <c r="L1036" s="359"/>
      <c r="M1036" s="401"/>
    </row>
    <row r="1037" spans="2:13">
      <c r="B1037" s="335">
        <v>17</v>
      </c>
      <c r="C1037" s="320"/>
      <c r="D1037" s="299" t="s">
        <v>248</v>
      </c>
      <c r="E1037" s="309">
        <v>3.847</v>
      </c>
      <c r="F1037" s="309">
        <v>4.2389999999999999</v>
      </c>
      <c r="G1037" s="317">
        <v>3.4617100000000001</v>
      </c>
      <c r="H1037" s="309">
        <v>5.2305720000000004</v>
      </c>
      <c r="I1037" s="318">
        <v>0.1391</v>
      </c>
      <c r="J1037" s="318">
        <v>0.1</v>
      </c>
      <c r="K1037" s="317">
        <v>42.39</v>
      </c>
      <c r="L1037" s="321"/>
      <c r="M1037" s="399"/>
    </row>
    <row r="1038" spans="2:13">
      <c r="B1038" s="335">
        <v>18</v>
      </c>
      <c r="C1038" s="320"/>
      <c r="D1038" s="299" t="s">
        <v>232</v>
      </c>
      <c r="E1038" s="309">
        <v>3.847</v>
      </c>
      <c r="F1038" s="309">
        <v>4.2370000000000001</v>
      </c>
      <c r="G1038" s="317">
        <v>3.4600770000000001</v>
      </c>
      <c r="H1038" s="309">
        <v>5.2324330000000003</v>
      </c>
      <c r="I1038" s="318">
        <v>0.1391</v>
      </c>
      <c r="J1038" s="318">
        <v>0.10009999999999999</v>
      </c>
      <c r="K1038" s="317">
        <v>42.327672</v>
      </c>
      <c r="L1038" s="321"/>
      <c r="M1038" s="399"/>
    </row>
    <row r="1039" spans="2:13">
      <c r="B1039" s="335">
        <v>19</v>
      </c>
      <c r="C1039" s="320"/>
      <c r="D1039" s="299" t="s">
        <v>233</v>
      </c>
      <c r="E1039" s="309">
        <v>3.843</v>
      </c>
      <c r="F1039" s="309">
        <v>4.2080000000000002</v>
      </c>
      <c r="G1039" s="317">
        <v>3.439972</v>
      </c>
      <c r="H1039" s="309">
        <v>5.2003659999999998</v>
      </c>
      <c r="I1039" s="318">
        <v>0.1391</v>
      </c>
      <c r="J1039" s="318">
        <v>0.10009999999999999</v>
      </c>
      <c r="K1039" s="317">
        <v>42.037962</v>
      </c>
      <c r="L1039" s="321"/>
      <c r="M1039" s="399"/>
    </row>
    <row r="1040" spans="2:13" ht="17.25" thickBot="1">
      <c r="B1040" s="336">
        <v>20</v>
      </c>
      <c r="C1040" s="323"/>
      <c r="D1040" s="293" t="s">
        <v>249</v>
      </c>
      <c r="E1040" s="311">
        <v>3.8370000000000002</v>
      </c>
      <c r="F1040" s="311">
        <v>4.173</v>
      </c>
      <c r="G1040" s="278">
        <v>3.4166940000000001</v>
      </c>
      <c r="H1040" s="311">
        <v>5.1431719999999999</v>
      </c>
      <c r="I1040" s="279">
        <v>0.13930000000000001</v>
      </c>
      <c r="J1040" s="279">
        <v>0.1002</v>
      </c>
      <c r="K1040" s="278">
        <v>41.646706999999999</v>
      </c>
      <c r="L1040" s="324"/>
      <c r="M1040" s="399"/>
    </row>
    <row r="1041" spans="2:13" ht="17.25" thickBot="1">
      <c r="B1041" s="337"/>
      <c r="C1041" s="326"/>
      <c r="D1041" s="327" t="s">
        <v>463</v>
      </c>
      <c r="E1041" s="328">
        <f>AVERAGE(E1036:E1040)</f>
        <v>3.8433999999999999</v>
      </c>
      <c r="F1041" s="328">
        <f t="shared" ref="F1041:K1041" si="301">AVERAGE(F1036:F1040)</f>
        <v>4.2183999999999999</v>
      </c>
      <c r="G1041" s="328">
        <f t="shared" si="301"/>
        <v>3.4480994000000003</v>
      </c>
      <c r="H1041" s="328">
        <f t="shared" si="301"/>
        <v>5.2082231999999999</v>
      </c>
      <c r="I1041" s="329">
        <f t="shared" si="301"/>
        <v>0.13916000000000001</v>
      </c>
      <c r="J1041" s="329">
        <f t="shared" si="301"/>
        <v>0.10007999999999999</v>
      </c>
      <c r="K1041" s="328">
        <f t="shared" si="301"/>
        <v>42.150468199999999</v>
      </c>
      <c r="L1041" s="331"/>
      <c r="M1041" s="399"/>
    </row>
    <row r="1042" spans="2:13">
      <c r="B1042" s="333">
        <v>21</v>
      </c>
      <c r="C1042" s="271" t="s">
        <v>329</v>
      </c>
      <c r="D1042" s="291" t="s">
        <v>250</v>
      </c>
      <c r="E1042" s="307">
        <v>3.8420000000000001</v>
      </c>
      <c r="F1042" s="307">
        <v>4.2469999999999999</v>
      </c>
      <c r="G1042" s="272">
        <v>3.4727570000000001</v>
      </c>
      <c r="H1042" s="307">
        <v>5.2466889999999999</v>
      </c>
      <c r="I1042" s="273">
        <v>0.1391</v>
      </c>
      <c r="J1042" s="273">
        <v>9.9900000000000003E-2</v>
      </c>
      <c r="K1042" s="272">
        <v>42.512512999999998</v>
      </c>
      <c r="L1042" s="332"/>
      <c r="M1042" s="399"/>
    </row>
    <row r="1043" spans="2:13">
      <c r="B1043" s="335">
        <v>22</v>
      </c>
      <c r="C1043" s="320"/>
      <c r="D1043" s="299" t="s">
        <v>251</v>
      </c>
      <c r="E1043" s="309">
        <v>3.847</v>
      </c>
      <c r="F1043" s="309">
        <v>4.2610000000000001</v>
      </c>
      <c r="G1043" s="317">
        <v>3.479676</v>
      </c>
      <c r="H1043" s="309">
        <v>5.2619350000000003</v>
      </c>
      <c r="I1043" s="318">
        <v>0.13919999999999999</v>
      </c>
      <c r="J1043" s="318">
        <v>0.1</v>
      </c>
      <c r="K1043" s="317">
        <v>42.61</v>
      </c>
      <c r="L1043" s="321"/>
      <c r="M1043" s="399"/>
    </row>
    <row r="1044" spans="2:13">
      <c r="B1044" s="335">
        <v>23</v>
      </c>
      <c r="C1044" s="320"/>
      <c r="D1044" s="299" t="s">
        <v>237</v>
      </c>
      <c r="E1044" s="309">
        <v>3.847</v>
      </c>
      <c r="F1044" s="309">
        <v>4.2629999999999999</v>
      </c>
      <c r="G1044" s="317">
        <v>3.4813100000000001</v>
      </c>
      <c r="H1044" s="309">
        <v>5.2698450000000001</v>
      </c>
      <c r="I1044" s="318">
        <v>0.13919999999999999</v>
      </c>
      <c r="J1044" s="318">
        <v>0.10009999999999999</v>
      </c>
      <c r="K1044" s="317">
        <v>42.587412999999998</v>
      </c>
      <c r="L1044" s="321"/>
      <c r="M1044" s="399"/>
    </row>
    <row r="1045" spans="2:13">
      <c r="B1045" s="335">
        <v>24</v>
      </c>
      <c r="C1045" s="320"/>
      <c r="D1045" s="299" t="s">
        <v>238</v>
      </c>
      <c r="E1045" s="309">
        <v>3.8439999999999999</v>
      </c>
      <c r="F1045" s="309">
        <v>4.2210000000000001</v>
      </c>
      <c r="G1045" s="317">
        <v>3.4497010000000001</v>
      </c>
      <c r="H1045" s="309">
        <v>5.209962</v>
      </c>
      <c r="I1045" s="318">
        <v>0.13919999999999999</v>
      </c>
      <c r="J1045" s="318">
        <v>0.10009999999999999</v>
      </c>
      <c r="K1045" s="317">
        <v>42.167831999999997</v>
      </c>
      <c r="L1045" s="321"/>
      <c r="M1045" s="399"/>
    </row>
    <row r="1046" spans="2:13" ht="17.25" thickBot="1">
      <c r="B1046" s="336">
        <v>25</v>
      </c>
      <c r="C1046" s="323"/>
      <c r="D1046" s="293" t="s">
        <v>252</v>
      </c>
      <c r="E1046" s="311">
        <v>3.8370000000000002</v>
      </c>
      <c r="F1046" s="311">
        <v>4.1760000000000002</v>
      </c>
      <c r="G1046" s="278">
        <v>3.4191500000000001</v>
      </c>
      <c r="H1046" s="311">
        <v>5.1621519999999999</v>
      </c>
      <c r="I1046" s="279">
        <v>0.13919999999999999</v>
      </c>
      <c r="J1046" s="279">
        <v>0.10009999999999999</v>
      </c>
      <c r="K1046" s="278">
        <v>41.718282000000002</v>
      </c>
      <c r="L1046" s="324"/>
      <c r="M1046" s="399"/>
    </row>
    <row r="1047" spans="2:13" ht="17.25" thickBot="1">
      <c r="B1047" s="339" t="s">
        <v>464</v>
      </c>
      <c r="C1047" s="340"/>
      <c r="D1047" s="341" t="s">
        <v>465</v>
      </c>
      <c r="E1047" s="342">
        <f>AVERAGE(E1042:E1046)</f>
        <v>3.8433999999999999</v>
      </c>
      <c r="F1047" s="342">
        <f t="shared" ref="F1047:K1047" si="302">AVERAGE(F1042:F1046)</f>
        <v>4.2336</v>
      </c>
      <c r="G1047" s="342">
        <f t="shared" si="302"/>
        <v>3.4605188</v>
      </c>
      <c r="H1047" s="342">
        <f t="shared" si="302"/>
        <v>5.2301166000000006</v>
      </c>
      <c r="I1047" s="343">
        <f t="shared" si="302"/>
        <v>0.13918</v>
      </c>
      <c r="J1047" s="343">
        <f t="shared" si="302"/>
        <v>0.10003999999999999</v>
      </c>
      <c r="K1047" s="342">
        <f t="shared" si="302"/>
        <v>42.319208000000003</v>
      </c>
      <c r="L1047" s="344"/>
      <c r="M1047" s="399"/>
    </row>
    <row r="1048" spans="2:13">
      <c r="B1048" s="333"/>
      <c r="C1048" s="345"/>
      <c r="D1048" s="291" t="s">
        <v>466</v>
      </c>
      <c r="E1048" s="346">
        <f>MEDIAN(E1018:E1022,E1024:E1028,E1030:E1034,E1036:E1040,E1042:E1046)</f>
        <v>3.847</v>
      </c>
      <c r="F1048" s="346">
        <f t="shared" ref="F1048:K1048" si="303">MEDIAN(F1018:F1022,F1024:F1028,F1030:F1034,F1036:F1040,F1042:F1046)</f>
        <v>4.3040000000000003</v>
      </c>
      <c r="G1048" s="346">
        <f t="shared" si="303"/>
        <v>3.5147919999999999</v>
      </c>
      <c r="H1048" s="346">
        <f t="shared" si="303"/>
        <v>5.3073800000000002</v>
      </c>
      <c r="I1048" s="347">
        <f t="shared" si="303"/>
        <v>0.13900000000000001</v>
      </c>
      <c r="J1048" s="347">
        <f t="shared" si="303"/>
        <v>0.1</v>
      </c>
      <c r="K1048" s="348">
        <f t="shared" si="303"/>
        <v>42.783299999999997</v>
      </c>
      <c r="L1048" s="332"/>
      <c r="M1048" s="399"/>
    </row>
    <row r="1049" spans="2:13">
      <c r="B1049" s="335"/>
      <c r="C1049" s="320"/>
      <c r="D1049" s="299" t="s">
        <v>467</v>
      </c>
      <c r="E1049" s="349">
        <f>AVERAGE(E1018:E1022,E1024:E1028,E1030:E1034,E1036:E1040,E1042:E1046)</f>
        <v>3.8571199999999988</v>
      </c>
      <c r="F1049" s="349">
        <f t="shared" ref="F1049:K1049" si="304">AVERAGE(F1018:F1022,F1024:F1028,F1030:F1034,F1036:F1040,F1042:F1046)</f>
        <v>4.3893200000000006</v>
      </c>
      <c r="G1049" s="349">
        <f t="shared" si="304"/>
        <v>3.5745005199999995</v>
      </c>
      <c r="H1049" s="349">
        <f t="shared" si="304"/>
        <v>5.4262817599999993</v>
      </c>
      <c r="I1049" s="350">
        <f t="shared" si="304"/>
        <v>0.138992</v>
      </c>
      <c r="J1049" s="350">
        <f t="shared" si="304"/>
        <v>0.10005599999999999</v>
      </c>
      <c r="K1049" s="351">
        <f t="shared" si="304"/>
        <v>43.872303799999997</v>
      </c>
      <c r="L1049" s="321"/>
      <c r="M1049" s="399"/>
    </row>
    <row r="1050" spans="2:13">
      <c r="B1050" s="335"/>
      <c r="C1050" s="320"/>
      <c r="D1050" s="299" t="s">
        <v>199</v>
      </c>
      <c r="E1050" s="349">
        <f>MAX(E1018:E1022,E1024:E1028,E1030:E1034,E1036:E1040,E1042:E1046)</f>
        <v>3.8889999999999998</v>
      </c>
      <c r="F1050" s="349">
        <f t="shared" ref="F1050:K1050" si="305">MAX(F1018:F1022,F1024:F1028,F1030:F1034,F1036:F1040,F1042:F1046)</f>
        <v>4.7160000000000002</v>
      </c>
      <c r="G1050" s="349">
        <f t="shared" si="305"/>
        <v>3.8096519999999998</v>
      </c>
      <c r="H1050" s="349">
        <f t="shared" si="305"/>
        <v>5.8537280000000003</v>
      </c>
      <c r="I1050" s="350">
        <f t="shared" si="305"/>
        <v>0.13930000000000001</v>
      </c>
      <c r="J1050" s="350">
        <f t="shared" si="305"/>
        <v>0.1007</v>
      </c>
      <c r="K1050" s="351">
        <f t="shared" si="305"/>
        <v>47.349398000000001</v>
      </c>
      <c r="L1050" s="321"/>
      <c r="M1050" s="399"/>
    </row>
    <row r="1051" spans="2:13">
      <c r="B1051" s="335"/>
      <c r="C1051" s="320"/>
      <c r="D1051" s="299" t="s">
        <v>200</v>
      </c>
      <c r="E1051" s="349">
        <f>MIN(E1018:E1022,E1024:E1028,E1030:E1034,E1036:E1040,E1042:E1046)</f>
        <v>3.8370000000000002</v>
      </c>
      <c r="F1051" s="349">
        <f t="shared" ref="F1051:K1051" si="306">MIN(F1018:F1022,F1024:F1028,F1030:F1034,F1036:F1040,F1042:F1046)</f>
        <v>4.173</v>
      </c>
      <c r="G1051" s="349">
        <f t="shared" si="306"/>
        <v>3.4166940000000001</v>
      </c>
      <c r="H1051" s="349">
        <f t="shared" si="306"/>
        <v>5.1431719999999999</v>
      </c>
      <c r="I1051" s="350">
        <f t="shared" si="306"/>
        <v>0.13850000000000001</v>
      </c>
      <c r="J1051" s="350">
        <f t="shared" si="306"/>
        <v>9.9599999999999994E-2</v>
      </c>
      <c r="K1051" s="351">
        <f t="shared" si="306"/>
        <v>41.646706999999999</v>
      </c>
      <c r="L1051" s="321"/>
      <c r="M1051" s="399"/>
    </row>
    <row r="1052" spans="2:13">
      <c r="B1052" s="335"/>
      <c r="C1052" s="320"/>
      <c r="D1052" s="299" t="s">
        <v>201</v>
      </c>
      <c r="E1052" s="349">
        <f>E1050-E1051</f>
        <v>5.1999999999999602E-2</v>
      </c>
      <c r="F1052" s="349">
        <f t="shared" ref="F1052:K1052" si="307">F1050-F1051</f>
        <v>0.54300000000000015</v>
      </c>
      <c r="G1052" s="349">
        <f t="shared" si="307"/>
        <v>0.3929579999999997</v>
      </c>
      <c r="H1052" s="349">
        <f t="shared" si="307"/>
        <v>0.71055600000000041</v>
      </c>
      <c r="I1052" s="350">
        <f t="shared" si="307"/>
        <v>7.9999999999999516E-4</v>
      </c>
      <c r="J1052" s="350">
        <f t="shared" si="307"/>
        <v>1.1000000000000038E-3</v>
      </c>
      <c r="K1052" s="349">
        <f t="shared" si="307"/>
        <v>5.7026910000000015</v>
      </c>
      <c r="L1052" s="321"/>
      <c r="M1052" s="399"/>
    </row>
    <row r="1053" spans="2:13" ht="17.25" thickBot="1">
      <c r="B1053" s="336"/>
      <c r="C1053" s="323"/>
      <c r="D1053" s="293" t="s">
        <v>202</v>
      </c>
      <c r="E1053" s="352">
        <f>STDEVA(E1018:E1022,E1024:E1028,E1030:E1034,E1036:E1040,E1042:E1046)</f>
        <v>1.7455467147381963E-2</v>
      </c>
      <c r="F1053" s="352">
        <f t="shared" ref="F1053:K1053" si="308">STDEVA(F1018:F1022,F1024:F1028,F1030:F1034,F1036:F1040,F1042:F1046)</f>
        <v>0.18372572855572886</v>
      </c>
      <c r="G1053" s="352">
        <f t="shared" si="308"/>
        <v>0.13365063406543687</v>
      </c>
      <c r="H1053" s="352">
        <f t="shared" si="308"/>
        <v>0.23403160207496196</v>
      </c>
      <c r="I1053" s="353">
        <f t="shared" si="308"/>
        <v>2.0396078054371001E-4</v>
      </c>
      <c r="J1053" s="353">
        <f t="shared" si="308"/>
        <v>2.8879058156387223E-4</v>
      </c>
      <c r="K1053" s="352">
        <f t="shared" si="308"/>
        <v>1.9237651387742649</v>
      </c>
      <c r="L1053" s="324"/>
      <c r="M1053" s="399"/>
    </row>
    <row r="1055" spans="2:13">
      <c r="B1055" s="240" t="s">
        <v>498</v>
      </c>
      <c r="C1055" s="240"/>
      <c r="E1055" s="240"/>
      <c r="F1055" s="240"/>
      <c r="G1055" s="240"/>
      <c r="H1055" s="240"/>
      <c r="I1055" s="240"/>
      <c r="J1055" s="240"/>
      <c r="K1055" s="240"/>
    </row>
    <row r="1056" spans="2:13" ht="17.25" thickBot="1">
      <c r="B1056" s="240" t="s">
        <v>469</v>
      </c>
      <c r="C1056" s="240"/>
      <c r="E1056" s="240"/>
      <c r="F1056" s="240"/>
      <c r="G1056" s="240"/>
      <c r="H1056" s="240"/>
      <c r="I1056" s="240"/>
      <c r="J1056" s="240"/>
      <c r="K1056" s="240"/>
    </row>
    <row r="1057" spans="2:13" ht="17.25" thickBot="1">
      <c r="B1057" s="313" t="s">
        <v>11</v>
      </c>
      <c r="C1057" s="250" t="s">
        <v>0</v>
      </c>
      <c r="D1057" s="250" t="s">
        <v>1</v>
      </c>
      <c r="E1057" s="250" t="s">
        <v>2</v>
      </c>
      <c r="F1057" s="250" t="s">
        <v>3</v>
      </c>
      <c r="G1057" s="250" t="s">
        <v>192</v>
      </c>
      <c r="H1057" s="250" t="s">
        <v>16</v>
      </c>
      <c r="I1057" s="250" t="s">
        <v>6</v>
      </c>
      <c r="J1057" s="251" t="s">
        <v>7</v>
      </c>
      <c r="K1057" s="252" t="s">
        <v>8</v>
      </c>
      <c r="L1057" s="254" t="s">
        <v>470</v>
      </c>
      <c r="M1057" s="404"/>
    </row>
    <row r="1058" spans="2:13">
      <c r="B1058" s="314">
        <v>1</v>
      </c>
      <c r="C1058" s="271" t="s">
        <v>335</v>
      </c>
      <c r="D1058" s="291" t="s">
        <v>213</v>
      </c>
      <c r="E1058" s="307">
        <v>3.8330000000000002</v>
      </c>
      <c r="F1058" s="307">
        <v>4.0739999999999998</v>
      </c>
      <c r="G1058" s="272">
        <v>3.339118</v>
      </c>
      <c r="H1058" s="360">
        <v>4.9298960000000003</v>
      </c>
      <c r="I1058" s="273">
        <v>0.13800000000000001</v>
      </c>
      <c r="J1058" s="273">
        <v>0.1038</v>
      </c>
      <c r="K1058" s="272">
        <v>39.248555000000003</v>
      </c>
      <c r="L1058" s="275"/>
      <c r="M1058" s="397"/>
    </row>
    <row r="1059" spans="2:13">
      <c r="B1059" s="315">
        <v>2</v>
      </c>
      <c r="C1059" s="316"/>
      <c r="D1059" s="299" t="s">
        <v>214</v>
      </c>
      <c r="E1059" s="309">
        <v>3.8340000000000001</v>
      </c>
      <c r="F1059" s="309">
        <v>4.077</v>
      </c>
      <c r="G1059" s="317">
        <v>3.3407049999999998</v>
      </c>
      <c r="H1059" s="361">
        <v>4.9212030000000002</v>
      </c>
      <c r="I1059" s="318">
        <v>0.13800000000000001</v>
      </c>
      <c r="J1059" s="318">
        <v>0.104</v>
      </c>
      <c r="K1059" s="317">
        <v>39.201923000000001</v>
      </c>
      <c r="L1059" s="319"/>
      <c r="M1059" s="398"/>
    </row>
    <row r="1060" spans="2:13">
      <c r="B1060" s="315">
        <v>3</v>
      </c>
      <c r="C1060" s="320"/>
      <c r="D1060" s="299" t="s">
        <v>217</v>
      </c>
      <c r="E1060" s="309">
        <v>3.8330000000000002</v>
      </c>
      <c r="F1060" s="309">
        <v>4.0780000000000003</v>
      </c>
      <c r="G1060" s="317">
        <v>3.3423959999999999</v>
      </c>
      <c r="H1060" s="361">
        <v>4.9233659999999997</v>
      </c>
      <c r="I1060" s="318">
        <v>0.13800000000000001</v>
      </c>
      <c r="J1060" s="318">
        <v>0.104</v>
      </c>
      <c r="K1060" s="317">
        <v>39.211537999999997</v>
      </c>
      <c r="L1060" s="356"/>
      <c r="M1060" s="400"/>
    </row>
    <row r="1061" spans="2:13">
      <c r="B1061" s="315">
        <v>4</v>
      </c>
      <c r="C1061" s="320"/>
      <c r="D1061" s="299" t="s">
        <v>218</v>
      </c>
      <c r="E1061" s="309">
        <v>3.83</v>
      </c>
      <c r="F1061" s="309">
        <v>4.077</v>
      </c>
      <c r="G1061" s="317">
        <v>3.3441939999999999</v>
      </c>
      <c r="H1061" s="361">
        <v>4.9214469999999997</v>
      </c>
      <c r="I1061" s="318">
        <v>0.13789999999999999</v>
      </c>
      <c r="J1061" s="318">
        <v>0.10390000000000001</v>
      </c>
      <c r="K1061" s="317">
        <v>39.239654000000002</v>
      </c>
      <c r="L1061" s="356"/>
      <c r="M1061" s="400"/>
    </row>
    <row r="1062" spans="2:13" ht="17.25" thickBot="1">
      <c r="B1062" s="322">
        <v>5</v>
      </c>
      <c r="C1062" s="323"/>
      <c r="D1062" s="354" t="s">
        <v>240</v>
      </c>
      <c r="E1062" s="311">
        <v>3.8260000000000001</v>
      </c>
      <c r="F1062" s="311">
        <v>4.0860000000000003</v>
      </c>
      <c r="G1062" s="278">
        <v>3.3550800000000001</v>
      </c>
      <c r="H1062" s="362">
        <v>4.9369759999999996</v>
      </c>
      <c r="I1062" s="279">
        <v>0.13800000000000001</v>
      </c>
      <c r="J1062" s="279">
        <v>0.1038</v>
      </c>
      <c r="K1062" s="278">
        <v>39.364162</v>
      </c>
      <c r="L1062" s="324"/>
      <c r="M1062" s="399"/>
    </row>
    <row r="1063" spans="2:13" ht="17.25" thickBot="1">
      <c r="B1063" s="325"/>
      <c r="C1063" s="326"/>
      <c r="D1063" s="327" t="s">
        <v>463</v>
      </c>
      <c r="E1063" s="328">
        <f>AVERAGE(E1058:E1062)</f>
        <v>3.8311999999999999</v>
      </c>
      <c r="F1063" s="328">
        <f t="shared" ref="F1063:K1063" si="309">AVERAGE(F1058:F1062)</f>
        <v>4.0783999999999994</v>
      </c>
      <c r="G1063" s="328">
        <f t="shared" si="309"/>
        <v>3.3442985999999997</v>
      </c>
      <c r="H1063" s="363">
        <f t="shared" si="309"/>
        <v>4.9265775999999999</v>
      </c>
      <c r="I1063" s="329">
        <f t="shared" si="309"/>
        <v>0.13798000000000002</v>
      </c>
      <c r="J1063" s="329">
        <f t="shared" si="309"/>
        <v>0.10389999999999999</v>
      </c>
      <c r="K1063" s="330">
        <f t="shared" si="309"/>
        <v>39.253166399999998</v>
      </c>
      <c r="L1063" s="331"/>
      <c r="M1063" s="399"/>
    </row>
    <row r="1064" spans="2:13">
      <c r="B1064" s="314">
        <v>6</v>
      </c>
      <c r="C1064" s="271" t="s">
        <v>334</v>
      </c>
      <c r="D1064" s="291" t="s">
        <v>241</v>
      </c>
      <c r="E1064" s="307">
        <v>3.8330000000000002</v>
      </c>
      <c r="F1064" s="307">
        <v>4.09</v>
      </c>
      <c r="G1064" s="272">
        <v>3.3522310000000002</v>
      </c>
      <c r="H1064" s="360">
        <v>4.9436819999999999</v>
      </c>
      <c r="I1064" s="273">
        <v>0.13800000000000001</v>
      </c>
      <c r="J1064" s="273">
        <v>0.10390000000000001</v>
      </c>
      <c r="K1064" s="272">
        <v>39.364773999999997</v>
      </c>
      <c r="L1064" s="332"/>
      <c r="M1064" s="399"/>
    </row>
    <row r="1065" spans="2:13">
      <c r="B1065" s="315">
        <v>7</v>
      </c>
      <c r="C1065" s="320"/>
      <c r="D1065" s="299" t="s">
        <v>242</v>
      </c>
      <c r="E1065" s="309">
        <v>3.835</v>
      </c>
      <c r="F1065" s="309">
        <v>4.0940000000000003</v>
      </c>
      <c r="G1065" s="317">
        <v>3.3537599999999999</v>
      </c>
      <c r="H1065" s="361">
        <v>4.9375140000000002</v>
      </c>
      <c r="I1065" s="318">
        <v>0.13800000000000001</v>
      </c>
      <c r="J1065" s="318">
        <v>0.1041</v>
      </c>
      <c r="K1065" s="317">
        <v>39.327570000000001</v>
      </c>
      <c r="L1065" s="321"/>
      <c r="M1065" s="399"/>
    </row>
    <row r="1066" spans="2:13">
      <c r="B1066" s="315">
        <v>8</v>
      </c>
      <c r="C1066" s="320"/>
      <c r="D1066" s="299" t="s">
        <v>222</v>
      </c>
      <c r="E1066" s="309">
        <v>3.8330000000000002</v>
      </c>
      <c r="F1066" s="309">
        <v>4.0910000000000002</v>
      </c>
      <c r="G1066" s="317">
        <v>3.3530509999999998</v>
      </c>
      <c r="H1066" s="361">
        <v>4.9328529999999997</v>
      </c>
      <c r="I1066" s="318">
        <v>0.13800000000000001</v>
      </c>
      <c r="J1066" s="318">
        <v>0.1041</v>
      </c>
      <c r="K1066" s="317">
        <v>39.298751000000003</v>
      </c>
      <c r="L1066" s="321"/>
      <c r="M1066" s="399"/>
    </row>
    <row r="1067" spans="2:13">
      <c r="B1067" s="315">
        <v>9</v>
      </c>
      <c r="C1067" s="320"/>
      <c r="D1067" s="299" t="s">
        <v>223</v>
      </c>
      <c r="E1067" s="309">
        <v>3.831</v>
      </c>
      <c r="F1067" s="309">
        <v>4.0869999999999997</v>
      </c>
      <c r="G1067" s="317">
        <v>3.351521</v>
      </c>
      <c r="H1067" s="361">
        <v>4.9308310000000004</v>
      </c>
      <c r="I1067" s="318">
        <v>0.13789999999999999</v>
      </c>
      <c r="J1067" s="318">
        <v>0.104</v>
      </c>
      <c r="K1067" s="317">
        <v>39.298076999999999</v>
      </c>
      <c r="L1067" s="321"/>
      <c r="M1067" s="399"/>
    </row>
    <row r="1068" spans="2:13" ht="17.25" thickBot="1">
      <c r="B1068" s="322">
        <v>10</v>
      </c>
      <c r="C1068" s="323"/>
      <c r="D1068" s="293" t="s">
        <v>243</v>
      </c>
      <c r="E1068" s="311">
        <v>3.827</v>
      </c>
      <c r="F1068" s="311">
        <v>4.0940000000000003</v>
      </c>
      <c r="G1068" s="278">
        <v>3.3607710000000002</v>
      </c>
      <c r="H1068" s="362">
        <v>4.9499519999999997</v>
      </c>
      <c r="I1068" s="279">
        <v>0.13800000000000001</v>
      </c>
      <c r="J1068" s="279">
        <v>0.10390000000000001</v>
      </c>
      <c r="K1068" s="278">
        <v>39.403272000000001</v>
      </c>
      <c r="L1068" s="324"/>
      <c r="M1068" s="399"/>
    </row>
    <row r="1069" spans="2:13" ht="17.25" thickBot="1">
      <c r="B1069" s="325" t="s">
        <v>464</v>
      </c>
      <c r="C1069" s="326"/>
      <c r="D1069" s="327" t="s">
        <v>463</v>
      </c>
      <c r="E1069" s="328">
        <f t="shared" ref="E1069:K1069" si="310">AVERAGE(E1064:E1068)</f>
        <v>3.8317999999999999</v>
      </c>
      <c r="F1069" s="328">
        <f t="shared" si="310"/>
        <v>4.0912000000000006</v>
      </c>
      <c r="G1069" s="328">
        <f t="shared" si="310"/>
        <v>3.3542668</v>
      </c>
      <c r="H1069" s="328">
        <f t="shared" si="310"/>
        <v>4.9389664</v>
      </c>
      <c r="I1069" s="329">
        <f t="shared" si="310"/>
        <v>0.13798000000000002</v>
      </c>
      <c r="J1069" s="329">
        <f t="shared" si="310"/>
        <v>0.10400000000000001</v>
      </c>
      <c r="K1069" s="330">
        <f t="shared" si="310"/>
        <v>39.338488800000007</v>
      </c>
      <c r="L1069" s="331"/>
      <c r="M1069" s="399"/>
    </row>
    <row r="1070" spans="2:13">
      <c r="B1070" s="333">
        <v>11</v>
      </c>
      <c r="C1070" s="334" t="s">
        <v>296</v>
      </c>
      <c r="D1070" s="291" t="s">
        <v>244</v>
      </c>
      <c r="E1070" s="307">
        <v>3.8220000000000001</v>
      </c>
      <c r="F1070" s="307">
        <v>4.0339999999999998</v>
      </c>
      <c r="G1070" s="272">
        <v>3.315849</v>
      </c>
      <c r="H1070" s="307">
        <v>4.8317949999999996</v>
      </c>
      <c r="I1070" s="273">
        <v>0.13750000000000001</v>
      </c>
      <c r="J1070" s="273">
        <v>0.1057</v>
      </c>
      <c r="K1070" s="272">
        <v>38.164617</v>
      </c>
      <c r="L1070" s="332"/>
      <c r="M1070" s="399"/>
    </row>
    <row r="1071" spans="2:13">
      <c r="B1071" s="335">
        <v>12</v>
      </c>
      <c r="C1071" s="320"/>
      <c r="D1071" s="299" t="s">
        <v>245</v>
      </c>
      <c r="E1071" s="309">
        <v>3.8260000000000001</v>
      </c>
      <c r="F1071" s="309">
        <v>4.0350000000000001</v>
      </c>
      <c r="G1071" s="317">
        <v>3.3132030000000001</v>
      </c>
      <c r="H1071" s="309">
        <v>4.8248249999999997</v>
      </c>
      <c r="I1071" s="318">
        <v>0.13739999999999999</v>
      </c>
      <c r="J1071" s="318">
        <v>0.106</v>
      </c>
      <c r="K1071" s="317">
        <v>38.066037999999999</v>
      </c>
      <c r="L1071" s="321"/>
      <c r="M1071" s="399"/>
    </row>
    <row r="1072" spans="2:13">
      <c r="B1072" s="335">
        <v>13</v>
      </c>
      <c r="C1072" s="320"/>
      <c r="D1072" s="299" t="s">
        <v>227</v>
      </c>
      <c r="E1072" s="309">
        <v>3.8220000000000001</v>
      </c>
      <c r="F1072" s="309">
        <v>4.0289999999999999</v>
      </c>
      <c r="G1072" s="317">
        <v>3.3117390000000002</v>
      </c>
      <c r="H1072" s="309">
        <v>4.8132910000000004</v>
      </c>
      <c r="I1072" s="318">
        <v>0.13739999999999999</v>
      </c>
      <c r="J1072" s="318">
        <v>0.1061</v>
      </c>
      <c r="K1072" s="317">
        <v>37.973610000000001</v>
      </c>
      <c r="L1072" s="321"/>
      <c r="M1072" s="399"/>
    </row>
    <row r="1073" spans="2:13">
      <c r="B1073" s="335">
        <v>14</v>
      </c>
      <c r="C1073" s="320"/>
      <c r="D1073" s="299" t="s">
        <v>228</v>
      </c>
      <c r="E1073" s="309">
        <v>3.819</v>
      </c>
      <c r="F1073" s="309">
        <v>4.0199999999999996</v>
      </c>
      <c r="G1073" s="317">
        <v>3.306937</v>
      </c>
      <c r="H1073" s="309">
        <v>4.7977959999999999</v>
      </c>
      <c r="I1073" s="318">
        <v>0.13739999999999999</v>
      </c>
      <c r="J1073" s="318">
        <v>0.106</v>
      </c>
      <c r="K1073" s="317">
        <v>37.924528000000002</v>
      </c>
      <c r="L1073" s="321"/>
      <c r="M1073" s="399"/>
    </row>
    <row r="1074" spans="2:13" ht="17.25" thickBot="1">
      <c r="B1074" s="336">
        <v>15</v>
      </c>
      <c r="C1074" s="323"/>
      <c r="D1074" s="293" t="s">
        <v>246</v>
      </c>
      <c r="E1074" s="311">
        <v>3.8149999999999999</v>
      </c>
      <c r="F1074" s="311">
        <v>4.0279999999999996</v>
      </c>
      <c r="G1074" s="278">
        <v>3.3169919999999999</v>
      </c>
      <c r="H1074" s="311">
        <v>4.82355</v>
      </c>
      <c r="I1074" s="279">
        <v>0.13739999999999999</v>
      </c>
      <c r="J1074" s="279">
        <v>0.10580000000000001</v>
      </c>
      <c r="K1074" s="278">
        <v>38.071834000000003</v>
      </c>
      <c r="L1074" s="324"/>
      <c r="M1074" s="399"/>
    </row>
    <row r="1075" spans="2:13" ht="17.25" thickBot="1">
      <c r="B1075" s="337"/>
      <c r="C1075" s="326"/>
      <c r="D1075" s="327" t="s">
        <v>463</v>
      </c>
      <c r="E1075" s="328">
        <f>AVERAGE(E1070:E1074)</f>
        <v>3.8207999999999998</v>
      </c>
      <c r="F1075" s="328">
        <f t="shared" ref="F1075:K1075" si="311">AVERAGE(F1070:F1074)</f>
        <v>4.0291999999999994</v>
      </c>
      <c r="G1075" s="328">
        <f t="shared" si="311"/>
        <v>3.3129440000000003</v>
      </c>
      <c r="H1075" s="328">
        <f t="shared" si="311"/>
        <v>4.8182514000000003</v>
      </c>
      <c r="I1075" s="329">
        <f t="shared" si="311"/>
        <v>0.13741999999999999</v>
      </c>
      <c r="J1075" s="329">
        <f t="shared" si="311"/>
        <v>0.10591999999999999</v>
      </c>
      <c r="K1075" s="330">
        <f t="shared" si="311"/>
        <v>38.040125400000001</v>
      </c>
      <c r="L1075" s="331"/>
      <c r="M1075" s="399"/>
    </row>
    <row r="1076" spans="2:13">
      <c r="B1076" s="333">
        <v>16</v>
      </c>
      <c r="C1076" s="271" t="s">
        <v>334</v>
      </c>
      <c r="D1076" s="291" t="s">
        <v>247</v>
      </c>
      <c r="E1076" s="307">
        <v>3.8220000000000001</v>
      </c>
      <c r="F1076" s="307">
        <v>4.0140000000000002</v>
      </c>
      <c r="G1076" s="272">
        <v>3.2994089999999998</v>
      </c>
      <c r="H1076" s="307">
        <v>4.8405820000000004</v>
      </c>
      <c r="I1076" s="273">
        <v>0.13819999999999999</v>
      </c>
      <c r="J1076" s="273">
        <v>0.1041</v>
      </c>
      <c r="K1076" s="272">
        <v>38.559078</v>
      </c>
      <c r="L1076" s="359"/>
      <c r="M1076" s="401"/>
    </row>
    <row r="1077" spans="2:13">
      <c r="B1077" s="335">
        <v>17</v>
      </c>
      <c r="C1077" s="320"/>
      <c r="D1077" s="299" t="s">
        <v>248</v>
      </c>
      <c r="E1077" s="309">
        <v>3.8239999999999998</v>
      </c>
      <c r="F1077" s="309">
        <v>4.0129999999999999</v>
      </c>
      <c r="G1077" s="317">
        <v>3.296862</v>
      </c>
      <c r="H1077" s="309">
        <v>4.8355949999999996</v>
      </c>
      <c r="I1077" s="318">
        <v>0.1381</v>
      </c>
      <c r="J1077" s="318">
        <v>0.1042</v>
      </c>
      <c r="K1077" s="317">
        <v>38.512475999999999</v>
      </c>
      <c r="L1077" s="321"/>
      <c r="M1077" s="399"/>
    </row>
    <row r="1078" spans="2:13">
      <c r="B1078" s="335">
        <v>18</v>
      </c>
      <c r="C1078" s="320"/>
      <c r="D1078" s="299" t="s">
        <v>232</v>
      </c>
      <c r="E1078" s="309">
        <v>3.8239999999999998</v>
      </c>
      <c r="F1078" s="309">
        <v>3.9969999999999999</v>
      </c>
      <c r="G1078" s="317">
        <v>3.2837170000000002</v>
      </c>
      <c r="H1078" s="309">
        <v>4.8157959999999997</v>
      </c>
      <c r="I1078" s="318">
        <v>0.13800000000000001</v>
      </c>
      <c r="J1078" s="318">
        <v>0.1042</v>
      </c>
      <c r="K1078" s="317">
        <v>38.358924999999999</v>
      </c>
      <c r="L1078" s="321"/>
      <c r="M1078" s="399"/>
    </row>
    <row r="1079" spans="2:13">
      <c r="B1079" s="335">
        <v>19</v>
      </c>
      <c r="C1079" s="320"/>
      <c r="D1079" s="299" t="s">
        <v>233</v>
      </c>
      <c r="E1079" s="309">
        <v>3.8220000000000001</v>
      </c>
      <c r="F1079" s="309">
        <v>3.9940000000000002</v>
      </c>
      <c r="G1079" s="317">
        <v>3.2829700000000002</v>
      </c>
      <c r="H1079" s="309">
        <v>4.8177199999999996</v>
      </c>
      <c r="I1079" s="318">
        <v>0.13800000000000001</v>
      </c>
      <c r="J1079" s="318">
        <v>0.1041</v>
      </c>
      <c r="K1079" s="317">
        <v>38.366954999999997</v>
      </c>
      <c r="L1079" s="321"/>
      <c r="M1079" s="399"/>
    </row>
    <row r="1080" spans="2:13" ht="17.25" thickBot="1">
      <c r="B1080" s="336">
        <v>20</v>
      </c>
      <c r="C1080" s="323"/>
      <c r="D1080" s="293" t="s">
        <v>249</v>
      </c>
      <c r="E1080" s="311">
        <v>3.8170000000000002</v>
      </c>
      <c r="F1080" s="311">
        <v>4.01</v>
      </c>
      <c r="G1080" s="278">
        <v>3.3004389999999999</v>
      </c>
      <c r="H1080" s="311">
        <v>4.83833</v>
      </c>
      <c r="I1080" s="279">
        <v>0.1381</v>
      </c>
      <c r="J1080" s="279">
        <v>0.104</v>
      </c>
      <c r="K1080" s="278">
        <v>38.557692000000003</v>
      </c>
      <c r="L1080" s="324"/>
      <c r="M1080" s="399"/>
    </row>
    <row r="1081" spans="2:13" ht="17.25" thickBot="1">
      <c r="B1081" s="337"/>
      <c r="C1081" s="326"/>
      <c r="D1081" s="327" t="s">
        <v>463</v>
      </c>
      <c r="E1081" s="328">
        <f>AVERAGE(E1076:E1080)</f>
        <v>3.8217999999999996</v>
      </c>
      <c r="F1081" s="328">
        <f t="shared" ref="F1081:K1081" si="312">AVERAGE(F1076:F1080)</f>
        <v>4.0055999999999994</v>
      </c>
      <c r="G1081" s="328">
        <f t="shared" si="312"/>
        <v>3.2926793999999999</v>
      </c>
      <c r="H1081" s="328">
        <f t="shared" si="312"/>
        <v>4.8296045999999988</v>
      </c>
      <c r="I1081" s="329">
        <f t="shared" si="312"/>
        <v>0.13808000000000001</v>
      </c>
      <c r="J1081" s="329">
        <f t="shared" si="312"/>
        <v>0.10411999999999999</v>
      </c>
      <c r="K1081" s="328">
        <f t="shared" si="312"/>
        <v>38.4710252</v>
      </c>
      <c r="L1081" s="331"/>
      <c r="M1081" s="399"/>
    </row>
    <row r="1082" spans="2:13">
      <c r="B1082" s="333">
        <v>21</v>
      </c>
      <c r="C1082" s="271" t="s">
        <v>334</v>
      </c>
      <c r="D1082" s="291" t="s">
        <v>250</v>
      </c>
      <c r="E1082" s="307">
        <v>3.819</v>
      </c>
      <c r="F1082" s="307">
        <v>3.9990000000000001</v>
      </c>
      <c r="G1082" s="272">
        <v>3.2896619999999999</v>
      </c>
      <c r="H1082" s="307">
        <v>4.832198</v>
      </c>
      <c r="I1082" s="273">
        <v>0.13830000000000001</v>
      </c>
      <c r="J1082" s="273">
        <v>0.1038</v>
      </c>
      <c r="K1082" s="272">
        <v>38.526012000000001</v>
      </c>
      <c r="L1082" s="332"/>
      <c r="M1082" s="399"/>
    </row>
    <row r="1083" spans="2:13">
      <c r="B1083" s="335">
        <v>22</v>
      </c>
      <c r="C1083" s="320"/>
      <c r="D1083" s="299" t="s">
        <v>251</v>
      </c>
      <c r="E1083" s="309">
        <v>3.8210000000000002</v>
      </c>
      <c r="F1083" s="309">
        <v>4.0060000000000002</v>
      </c>
      <c r="G1083" s="317">
        <v>3.293695</v>
      </c>
      <c r="H1083" s="309">
        <v>4.8392049999999998</v>
      </c>
      <c r="I1083" s="318">
        <v>0.1381</v>
      </c>
      <c r="J1083" s="318">
        <v>0.104</v>
      </c>
      <c r="K1083" s="317">
        <v>38.519230999999998</v>
      </c>
      <c r="L1083" s="321"/>
      <c r="M1083" s="399"/>
    </row>
    <row r="1084" spans="2:13">
      <c r="B1084" s="335">
        <v>23</v>
      </c>
      <c r="C1084" s="320"/>
      <c r="D1084" s="299" t="s">
        <v>237</v>
      </c>
      <c r="E1084" s="309">
        <v>3.8210000000000002</v>
      </c>
      <c r="F1084" s="309">
        <v>4.01</v>
      </c>
      <c r="G1084" s="317">
        <v>3.2969840000000001</v>
      </c>
      <c r="H1084" s="309">
        <v>4.8420680000000003</v>
      </c>
      <c r="I1084" s="318">
        <v>0.1381</v>
      </c>
      <c r="J1084" s="318">
        <v>0.104</v>
      </c>
      <c r="K1084" s="317">
        <v>38.557692000000003</v>
      </c>
      <c r="L1084" s="321"/>
      <c r="M1084" s="399"/>
    </row>
    <row r="1085" spans="2:13">
      <c r="B1085" s="335">
        <v>24</v>
      </c>
      <c r="C1085" s="320"/>
      <c r="D1085" s="299" t="s">
        <v>238</v>
      </c>
      <c r="E1085" s="309">
        <v>3.82</v>
      </c>
      <c r="F1085" s="309">
        <v>4.01</v>
      </c>
      <c r="G1085" s="317">
        <v>3.297847</v>
      </c>
      <c r="H1085" s="309">
        <v>4.8451620000000002</v>
      </c>
      <c r="I1085" s="318">
        <v>0.1381</v>
      </c>
      <c r="J1085" s="318">
        <v>0.104</v>
      </c>
      <c r="K1085" s="317">
        <v>38.557692000000003</v>
      </c>
      <c r="L1085" s="321"/>
      <c r="M1085" s="399"/>
    </row>
    <row r="1086" spans="2:13" ht="17.25" thickBot="1">
      <c r="B1086" s="336">
        <v>25</v>
      </c>
      <c r="C1086" s="323"/>
      <c r="D1086" s="293" t="s">
        <v>252</v>
      </c>
      <c r="E1086" s="311">
        <v>3.8149999999999999</v>
      </c>
      <c r="F1086" s="311">
        <v>4.0060000000000002</v>
      </c>
      <c r="G1086" s="278">
        <v>3.2988749999999998</v>
      </c>
      <c r="H1086" s="311">
        <v>4.8392200000000001</v>
      </c>
      <c r="I1086" s="279">
        <v>0.13819999999999999</v>
      </c>
      <c r="J1086" s="279">
        <v>0.104</v>
      </c>
      <c r="K1086" s="278">
        <v>38.519230999999998</v>
      </c>
      <c r="L1086" s="324"/>
      <c r="M1086" s="399"/>
    </row>
    <row r="1087" spans="2:13" ht="17.25" thickBot="1">
      <c r="B1087" s="339" t="s">
        <v>464</v>
      </c>
      <c r="C1087" s="340"/>
      <c r="D1087" s="341" t="s">
        <v>465</v>
      </c>
      <c r="E1087" s="342">
        <f>AVERAGE(E1082:E1086)</f>
        <v>3.8191999999999999</v>
      </c>
      <c r="F1087" s="342">
        <f t="shared" ref="F1087:K1087" si="313">AVERAGE(F1082:F1086)</f>
        <v>4.0061999999999998</v>
      </c>
      <c r="G1087" s="342">
        <f t="shared" si="313"/>
        <v>3.2954125999999997</v>
      </c>
      <c r="H1087" s="342">
        <f t="shared" si="313"/>
        <v>4.8395706000000001</v>
      </c>
      <c r="I1087" s="343">
        <f t="shared" si="313"/>
        <v>0.13816000000000001</v>
      </c>
      <c r="J1087" s="343">
        <f t="shared" si="313"/>
        <v>0.10395999999999998</v>
      </c>
      <c r="K1087" s="342">
        <f t="shared" si="313"/>
        <v>38.535971599999996</v>
      </c>
      <c r="L1087" s="344"/>
      <c r="M1087" s="399"/>
    </row>
    <row r="1088" spans="2:13">
      <c r="B1088" s="333"/>
      <c r="C1088" s="345"/>
      <c r="D1088" s="291" t="s">
        <v>466</v>
      </c>
      <c r="E1088" s="346">
        <f>MEDIAN(E1058:E1062,E1064:E1068,E1070:E1074,E1076:E1080,E1082:E1086)</f>
        <v>3.8239999999999998</v>
      </c>
      <c r="F1088" s="346">
        <f t="shared" ref="F1088:K1088" si="314">MEDIAN(F1058:F1062,F1064:F1068,F1070:F1074,F1076:F1080,F1082:F1086)</f>
        <v>4.0289999999999999</v>
      </c>
      <c r="G1088" s="346">
        <f t="shared" si="314"/>
        <v>3.3132030000000001</v>
      </c>
      <c r="H1088" s="346">
        <f t="shared" si="314"/>
        <v>4.8405820000000004</v>
      </c>
      <c r="I1088" s="347">
        <f t="shared" si="314"/>
        <v>0.13800000000000001</v>
      </c>
      <c r="J1088" s="347">
        <f t="shared" si="314"/>
        <v>0.104</v>
      </c>
      <c r="K1088" s="348">
        <f t="shared" si="314"/>
        <v>38.557692000000003</v>
      </c>
      <c r="L1088" s="332"/>
      <c r="M1088" s="399"/>
    </row>
    <row r="1089" spans="2:13">
      <c r="B1089" s="335"/>
      <c r="C1089" s="320"/>
      <c r="D1089" s="299" t="s">
        <v>467</v>
      </c>
      <c r="E1089" s="349">
        <f>AVERAGE(E1058:E1062,E1064:E1068,E1070:E1074,E1076:E1080,E1082:E1086)</f>
        <v>3.8249600000000004</v>
      </c>
      <c r="F1089" s="349">
        <f t="shared" ref="F1089:K1089" si="315">AVERAGE(F1058:F1062,F1064:F1068,F1070:F1074,F1076:F1080,F1082:F1086)</f>
        <v>4.0421199999999997</v>
      </c>
      <c r="G1089" s="349">
        <f t="shared" si="315"/>
        <v>3.3199202799999998</v>
      </c>
      <c r="H1089" s="349">
        <f t="shared" si="315"/>
        <v>4.8705941199999998</v>
      </c>
      <c r="I1089" s="350">
        <f t="shared" si="315"/>
        <v>0.13792400000000002</v>
      </c>
      <c r="J1089" s="350">
        <f t="shared" si="315"/>
        <v>0.10438000000000004</v>
      </c>
      <c r="K1089" s="351">
        <f t="shared" si="315"/>
        <v>38.727755479999992</v>
      </c>
      <c r="L1089" s="321"/>
      <c r="M1089" s="399"/>
    </row>
    <row r="1090" spans="2:13">
      <c r="B1090" s="335"/>
      <c r="C1090" s="320"/>
      <c r="D1090" s="299" t="s">
        <v>199</v>
      </c>
      <c r="E1090" s="349">
        <f>MAX(E1058:E1062,E1064:E1068,E1070:E1074,E1076:E1080,E1082:E1086)</f>
        <v>3.835</v>
      </c>
      <c r="F1090" s="349">
        <f t="shared" ref="F1090:K1090" si="316">MAX(F1058:F1062,F1064:F1068,F1070:F1074,F1076:F1080,F1082:F1086)</f>
        <v>4.0940000000000003</v>
      </c>
      <c r="G1090" s="349">
        <f t="shared" si="316"/>
        <v>3.3607710000000002</v>
      </c>
      <c r="H1090" s="349">
        <f t="shared" si="316"/>
        <v>4.9499519999999997</v>
      </c>
      <c r="I1090" s="350">
        <f t="shared" si="316"/>
        <v>0.13830000000000001</v>
      </c>
      <c r="J1090" s="350">
        <f t="shared" si="316"/>
        <v>0.1061</v>
      </c>
      <c r="K1090" s="351">
        <f t="shared" si="316"/>
        <v>39.403272000000001</v>
      </c>
      <c r="L1090" s="321"/>
      <c r="M1090" s="399"/>
    </row>
    <row r="1091" spans="2:13">
      <c r="B1091" s="335"/>
      <c r="C1091" s="320"/>
      <c r="D1091" s="299" t="s">
        <v>200</v>
      </c>
      <c r="E1091" s="349">
        <f>MIN(E1058:E1062,E1064:E1068,E1070:E1074,E1076:E1080,E1082:E1086)</f>
        <v>3.8149999999999999</v>
      </c>
      <c r="F1091" s="349">
        <f t="shared" ref="F1091:K1091" si="317">MIN(F1058:F1062,F1064:F1068,F1070:F1074,F1076:F1080,F1082:F1086)</f>
        <v>3.9940000000000002</v>
      </c>
      <c r="G1091" s="349">
        <f t="shared" si="317"/>
        <v>3.2829700000000002</v>
      </c>
      <c r="H1091" s="349">
        <f t="shared" si="317"/>
        <v>4.7977959999999999</v>
      </c>
      <c r="I1091" s="350">
        <f t="shared" si="317"/>
        <v>0.13739999999999999</v>
      </c>
      <c r="J1091" s="350">
        <f t="shared" si="317"/>
        <v>0.1038</v>
      </c>
      <c r="K1091" s="351">
        <f t="shared" si="317"/>
        <v>37.924528000000002</v>
      </c>
      <c r="L1091" s="321"/>
      <c r="M1091" s="399"/>
    </row>
    <row r="1092" spans="2:13">
      <c r="B1092" s="335"/>
      <c r="C1092" s="320"/>
      <c r="D1092" s="299" t="s">
        <v>201</v>
      </c>
      <c r="E1092" s="349">
        <f>E1090-E1091</f>
        <v>2.0000000000000018E-2</v>
      </c>
      <c r="F1092" s="349">
        <f t="shared" ref="F1092:K1092" si="318">F1090-F1091</f>
        <v>0.10000000000000009</v>
      </c>
      <c r="G1092" s="349">
        <f t="shared" si="318"/>
        <v>7.7801000000000009E-2</v>
      </c>
      <c r="H1092" s="349">
        <f t="shared" si="318"/>
        <v>0.15215599999999974</v>
      </c>
      <c r="I1092" s="350">
        <f t="shared" si="318"/>
        <v>9.000000000000119E-4</v>
      </c>
      <c r="J1092" s="350">
        <f t="shared" si="318"/>
        <v>2.2999999999999965E-3</v>
      </c>
      <c r="K1092" s="349">
        <f t="shared" si="318"/>
        <v>1.4787439999999989</v>
      </c>
      <c r="L1092" s="321"/>
      <c r="M1092" s="399"/>
    </row>
    <row r="1093" spans="2:13" ht="17.25" thickBot="1">
      <c r="B1093" s="336"/>
      <c r="C1093" s="323"/>
      <c r="D1093" s="293" t="s">
        <v>202</v>
      </c>
      <c r="E1093" s="352">
        <f>STDEVA(E1058:E1062,E1064:E1068,E1070:E1074,E1076:E1080,E1082:E1086)</f>
        <v>6.241527590795954E-3</v>
      </c>
      <c r="F1093" s="352">
        <f t="shared" ref="F1093:K1093" si="319">STDEVA(F1058:F1062,F1064:F1068,F1070:F1074,F1076:F1080,F1082:F1086)</f>
        <v>3.723385556184055E-2</v>
      </c>
      <c r="G1093" s="352">
        <f t="shared" si="319"/>
        <v>2.6187225830736613E-2</v>
      </c>
      <c r="H1093" s="352">
        <f t="shared" si="319"/>
        <v>5.3128752143825092E-2</v>
      </c>
      <c r="I1093" s="353">
        <f t="shared" si="319"/>
        <v>2.7276363393971916E-4</v>
      </c>
      <c r="J1093" s="353">
        <f t="shared" si="319"/>
        <v>7.9582242575422155E-4</v>
      </c>
      <c r="K1093" s="352">
        <f t="shared" si="319"/>
        <v>0.50928622906795751</v>
      </c>
      <c r="L1093" s="324"/>
      <c r="M1093" s="399"/>
    </row>
    <row r="1095" spans="2:13">
      <c r="B1095" s="240" t="s">
        <v>499</v>
      </c>
      <c r="C1095" s="240"/>
      <c r="E1095" s="240"/>
      <c r="F1095" s="240"/>
      <c r="G1095" s="240"/>
      <c r="H1095" s="240"/>
      <c r="I1095" s="240"/>
      <c r="J1095" s="240"/>
      <c r="K1095" s="240"/>
    </row>
    <row r="1096" spans="2:13" ht="17.25" thickBot="1">
      <c r="B1096" s="240" t="s">
        <v>469</v>
      </c>
      <c r="C1096" s="240"/>
      <c r="E1096" s="240"/>
      <c r="F1096" s="240"/>
      <c r="G1096" s="240"/>
      <c r="H1096" s="240"/>
      <c r="I1096" s="240"/>
      <c r="J1096" s="240"/>
      <c r="K1096" s="240"/>
    </row>
    <row r="1097" spans="2:13" ht="17.25" thickBot="1">
      <c r="B1097" s="313" t="s">
        <v>11</v>
      </c>
      <c r="C1097" s="250" t="s">
        <v>0</v>
      </c>
      <c r="D1097" s="250" t="s">
        <v>1</v>
      </c>
      <c r="E1097" s="250" t="s">
        <v>2</v>
      </c>
      <c r="F1097" s="250" t="s">
        <v>3</v>
      </c>
      <c r="G1097" s="250" t="s">
        <v>192</v>
      </c>
      <c r="H1097" s="250" t="s">
        <v>16</v>
      </c>
      <c r="I1097" s="250" t="s">
        <v>6</v>
      </c>
      <c r="J1097" s="251" t="s">
        <v>7</v>
      </c>
      <c r="K1097" s="252" t="s">
        <v>8</v>
      </c>
      <c r="L1097" s="254" t="s">
        <v>470</v>
      </c>
      <c r="M1097" s="404"/>
    </row>
    <row r="1098" spans="2:13">
      <c r="B1098" s="314">
        <v>1</v>
      </c>
      <c r="C1098" s="271" t="s">
        <v>335</v>
      </c>
      <c r="D1098" s="291" t="s">
        <v>213</v>
      </c>
      <c r="E1098" s="307">
        <v>3.8180000000000001</v>
      </c>
      <c r="F1098" s="307">
        <v>4.5439999999999996</v>
      </c>
      <c r="G1098" s="272">
        <v>3.738969</v>
      </c>
      <c r="H1098" s="360">
        <v>5.6005409999999998</v>
      </c>
      <c r="I1098" s="273">
        <v>0.1389</v>
      </c>
      <c r="J1098" s="273">
        <v>0.1004</v>
      </c>
      <c r="K1098" s="272">
        <v>45.258963999999999</v>
      </c>
      <c r="L1098" s="275"/>
      <c r="M1098" s="397"/>
    </row>
    <row r="1099" spans="2:13">
      <c r="B1099" s="315">
        <v>2</v>
      </c>
      <c r="C1099" s="316"/>
      <c r="D1099" s="299" t="s">
        <v>214</v>
      </c>
      <c r="E1099" s="309">
        <v>3.8239999999999998</v>
      </c>
      <c r="F1099" s="309">
        <v>4.5650000000000004</v>
      </c>
      <c r="G1099" s="317">
        <v>3.7503549999999999</v>
      </c>
      <c r="H1099" s="361">
        <v>5.6370750000000003</v>
      </c>
      <c r="I1099" s="318">
        <v>0.13880000000000001</v>
      </c>
      <c r="J1099" s="318">
        <v>0.1004</v>
      </c>
      <c r="K1099" s="317">
        <v>45.468127000000003</v>
      </c>
      <c r="L1099" s="319"/>
      <c r="M1099" s="398"/>
    </row>
    <row r="1100" spans="2:13">
      <c r="B1100" s="315">
        <v>3</v>
      </c>
      <c r="C1100" s="320"/>
      <c r="D1100" s="299" t="s">
        <v>217</v>
      </c>
      <c r="E1100" s="309">
        <v>3.827</v>
      </c>
      <c r="F1100" s="309">
        <v>4.5469999999999997</v>
      </c>
      <c r="G1100" s="317">
        <v>3.7326389999999998</v>
      </c>
      <c r="H1100" s="361">
        <v>5.607545</v>
      </c>
      <c r="I1100" s="318">
        <v>0.13880000000000001</v>
      </c>
      <c r="J1100" s="318">
        <v>0.1004</v>
      </c>
      <c r="K1100" s="317">
        <v>45.288845000000002</v>
      </c>
      <c r="L1100" s="356"/>
      <c r="M1100" s="400"/>
    </row>
    <row r="1101" spans="2:13">
      <c r="B1101" s="315">
        <v>4</v>
      </c>
      <c r="C1101" s="320"/>
      <c r="D1101" s="299" t="s">
        <v>218</v>
      </c>
      <c r="E1101" s="309">
        <v>3.83</v>
      </c>
      <c r="F1101" s="309">
        <v>4.5540000000000003</v>
      </c>
      <c r="G1101" s="317">
        <v>3.7354569999999998</v>
      </c>
      <c r="H1101" s="361">
        <v>5.6025619999999998</v>
      </c>
      <c r="I1101" s="318">
        <v>0.13880000000000001</v>
      </c>
      <c r="J1101" s="318">
        <v>0.10050000000000001</v>
      </c>
      <c r="K1101" s="317">
        <v>45.313433000000003</v>
      </c>
      <c r="L1101" s="356"/>
      <c r="M1101" s="400"/>
    </row>
    <row r="1102" spans="2:13" ht="17.25" thickBot="1">
      <c r="B1102" s="322">
        <v>5</v>
      </c>
      <c r="C1102" s="323"/>
      <c r="D1102" s="354" t="s">
        <v>240</v>
      </c>
      <c r="E1102" s="311">
        <v>3.83</v>
      </c>
      <c r="F1102" s="311">
        <v>4.55</v>
      </c>
      <c r="G1102" s="278">
        <v>3.7321759999999999</v>
      </c>
      <c r="H1102" s="362">
        <v>5.6149459999999998</v>
      </c>
      <c r="I1102" s="279">
        <v>0.1389</v>
      </c>
      <c r="J1102" s="279">
        <v>0.10050000000000001</v>
      </c>
      <c r="K1102" s="278">
        <v>45.273631999999999</v>
      </c>
      <c r="L1102" s="324"/>
      <c r="M1102" s="399"/>
    </row>
    <row r="1103" spans="2:13" ht="17.25" thickBot="1">
      <c r="B1103" s="325"/>
      <c r="C1103" s="326"/>
      <c r="D1103" s="327" t="s">
        <v>463</v>
      </c>
      <c r="E1103" s="328">
        <f>AVERAGE(E1098:E1102)</f>
        <v>3.8257999999999996</v>
      </c>
      <c r="F1103" s="328">
        <f t="shared" ref="F1103:K1103" si="320">AVERAGE(F1098:F1102)</f>
        <v>4.5520000000000005</v>
      </c>
      <c r="G1103" s="328">
        <f t="shared" si="320"/>
        <v>3.7379191999999994</v>
      </c>
      <c r="H1103" s="328">
        <f t="shared" si="320"/>
        <v>5.6125337999999996</v>
      </c>
      <c r="I1103" s="329">
        <f t="shared" si="320"/>
        <v>0.13884000000000002</v>
      </c>
      <c r="J1103" s="329">
        <f t="shared" si="320"/>
        <v>0.10044000000000002</v>
      </c>
      <c r="K1103" s="330">
        <f t="shared" si="320"/>
        <v>45.320600200000001</v>
      </c>
      <c r="L1103" s="331"/>
      <c r="M1103" s="399"/>
    </row>
    <row r="1104" spans="2:13">
      <c r="B1104" s="314">
        <v>6</v>
      </c>
      <c r="C1104" s="271" t="s">
        <v>334</v>
      </c>
      <c r="D1104" s="291" t="s">
        <v>241</v>
      </c>
      <c r="E1104" s="307">
        <v>3.819</v>
      </c>
      <c r="F1104" s="307">
        <v>4.5679999999999996</v>
      </c>
      <c r="G1104" s="272">
        <v>3.757733</v>
      </c>
      <c r="H1104" s="360">
        <v>5.6299229999999998</v>
      </c>
      <c r="I1104" s="273">
        <v>0.13880000000000001</v>
      </c>
      <c r="J1104" s="273">
        <v>0.1004</v>
      </c>
      <c r="K1104" s="272">
        <v>45.498007999999999</v>
      </c>
      <c r="L1104" s="332"/>
      <c r="M1104" s="399"/>
    </row>
    <row r="1105" spans="2:13">
      <c r="B1105" s="315">
        <v>7</v>
      </c>
      <c r="C1105" s="320"/>
      <c r="D1105" s="299" t="s">
        <v>242</v>
      </c>
      <c r="E1105" s="309">
        <v>3.8250000000000002</v>
      </c>
      <c r="F1105" s="309">
        <v>4.5860000000000003</v>
      </c>
      <c r="G1105" s="317">
        <v>3.7666230000000001</v>
      </c>
      <c r="H1105" s="361">
        <v>5.657978</v>
      </c>
      <c r="I1105" s="318">
        <v>0.1389</v>
      </c>
      <c r="J1105" s="318">
        <v>0.10050000000000001</v>
      </c>
      <c r="K1105" s="317">
        <v>45.631841000000001</v>
      </c>
      <c r="L1105" s="321"/>
      <c r="M1105" s="399"/>
    </row>
    <row r="1106" spans="2:13">
      <c r="B1106" s="315">
        <v>8</v>
      </c>
      <c r="C1106" s="320"/>
      <c r="D1106" s="299" t="s">
        <v>222</v>
      </c>
      <c r="E1106" s="309">
        <v>3.8279999999999998</v>
      </c>
      <c r="F1106" s="309">
        <v>4.5679999999999996</v>
      </c>
      <c r="G1106" s="317">
        <v>3.7488980000000001</v>
      </c>
      <c r="H1106" s="361">
        <v>5.6263439999999996</v>
      </c>
      <c r="I1106" s="318">
        <v>0.1389</v>
      </c>
      <c r="J1106" s="318">
        <v>0.10059999999999999</v>
      </c>
      <c r="K1106" s="317">
        <v>45.407555000000002</v>
      </c>
      <c r="L1106" s="321"/>
      <c r="M1106" s="399"/>
    </row>
    <row r="1107" spans="2:13">
      <c r="B1107" s="315">
        <v>9</v>
      </c>
      <c r="C1107" s="320"/>
      <c r="D1107" s="299" t="s">
        <v>223</v>
      </c>
      <c r="E1107" s="309">
        <v>3.831</v>
      </c>
      <c r="F1107" s="309">
        <v>4.5659999999999998</v>
      </c>
      <c r="G1107" s="317">
        <v>3.7443230000000001</v>
      </c>
      <c r="H1107" s="361">
        <v>5.6195820000000003</v>
      </c>
      <c r="I1107" s="318">
        <v>0.1389</v>
      </c>
      <c r="J1107" s="318">
        <v>0.10059999999999999</v>
      </c>
      <c r="K1107" s="317">
        <v>45.387673999999997</v>
      </c>
      <c r="L1107" s="321"/>
      <c r="M1107" s="399"/>
    </row>
    <row r="1108" spans="2:13" ht="17.25" thickBot="1">
      <c r="B1108" s="322">
        <v>10</v>
      </c>
      <c r="C1108" s="323"/>
      <c r="D1108" s="293" t="s">
        <v>243</v>
      </c>
      <c r="E1108" s="311">
        <v>3.83</v>
      </c>
      <c r="F1108" s="311">
        <v>4.5250000000000004</v>
      </c>
      <c r="G1108" s="278">
        <v>3.7116699999999998</v>
      </c>
      <c r="H1108" s="362">
        <v>5.5824579999999999</v>
      </c>
      <c r="I1108" s="279">
        <v>0.1389</v>
      </c>
      <c r="J1108" s="279">
        <v>0.10050000000000001</v>
      </c>
      <c r="K1108" s="278">
        <v>45.024875999999999</v>
      </c>
      <c r="L1108" s="324"/>
      <c r="M1108" s="399"/>
    </row>
    <row r="1109" spans="2:13" ht="17.25" thickBot="1">
      <c r="B1109" s="325" t="s">
        <v>464</v>
      </c>
      <c r="C1109" s="326"/>
      <c r="D1109" s="327" t="s">
        <v>463</v>
      </c>
      <c r="E1109" s="328">
        <f t="shared" ref="E1109:K1109" si="321">AVERAGE(E1104:E1108)</f>
        <v>3.8266</v>
      </c>
      <c r="F1109" s="328">
        <f t="shared" si="321"/>
        <v>4.5626000000000007</v>
      </c>
      <c r="G1109" s="328">
        <f t="shared" si="321"/>
        <v>3.7458494</v>
      </c>
      <c r="H1109" s="328">
        <f t="shared" si="321"/>
        <v>5.6232570000000006</v>
      </c>
      <c r="I1109" s="329">
        <f t="shared" si="321"/>
        <v>0.13888</v>
      </c>
      <c r="J1109" s="329">
        <f t="shared" si="321"/>
        <v>0.10052000000000001</v>
      </c>
      <c r="K1109" s="330">
        <f t="shared" si="321"/>
        <v>45.389990800000007</v>
      </c>
      <c r="L1109" s="331"/>
      <c r="M1109" s="399"/>
    </row>
    <row r="1110" spans="2:13">
      <c r="B1110" s="333">
        <v>11</v>
      </c>
      <c r="C1110" s="334" t="s">
        <v>296</v>
      </c>
      <c r="D1110" s="291" t="s">
        <v>244</v>
      </c>
      <c r="E1110" s="307">
        <v>3.806</v>
      </c>
      <c r="F1110" s="307">
        <v>4.476</v>
      </c>
      <c r="G1110" s="272">
        <v>3.6946289999999999</v>
      </c>
      <c r="H1110" s="307">
        <v>5.520194</v>
      </c>
      <c r="I1110" s="273">
        <v>0.1384</v>
      </c>
      <c r="J1110" s="273">
        <v>0.1008</v>
      </c>
      <c r="K1110" s="272">
        <v>44.404761999999998</v>
      </c>
      <c r="L1110" s="332"/>
      <c r="M1110" s="399"/>
    </row>
    <row r="1111" spans="2:13">
      <c r="B1111" s="335">
        <v>12</v>
      </c>
      <c r="C1111" s="320"/>
      <c r="D1111" s="299" t="s">
        <v>245</v>
      </c>
      <c r="E1111" s="309">
        <v>3.8119999999999998</v>
      </c>
      <c r="F1111" s="309">
        <v>4.4989999999999997</v>
      </c>
      <c r="G1111" s="317">
        <v>3.7077680000000002</v>
      </c>
      <c r="H1111" s="309">
        <v>5.5429589999999997</v>
      </c>
      <c r="I1111" s="318">
        <v>0.1384</v>
      </c>
      <c r="J1111" s="318">
        <v>0.10100000000000001</v>
      </c>
      <c r="K1111" s="317">
        <v>44.544553999999998</v>
      </c>
      <c r="L1111" s="321"/>
      <c r="M1111" s="399"/>
    </row>
    <row r="1112" spans="2:13">
      <c r="B1112" s="335">
        <v>13</v>
      </c>
      <c r="C1112" s="320"/>
      <c r="D1112" s="299" t="s">
        <v>227</v>
      </c>
      <c r="E1112" s="309">
        <v>3.8159999999999998</v>
      </c>
      <c r="F1112" s="309">
        <v>4.49</v>
      </c>
      <c r="G1112" s="317">
        <v>3.6964730000000001</v>
      </c>
      <c r="H1112" s="309">
        <v>5.5261810000000002</v>
      </c>
      <c r="I1112" s="318">
        <v>0.13830000000000001</v>
      </c>
      <c r="J1112" s="318">
        <v>0.10100000000000001</v>
      </c>
      <c r="K1112" s="317">
        <v>44.455446000000002</v>
      </c>
      <c r="L1112" s="321"/>
      <c r="M1112" s="399"/>
    </row>
    <row r="1113" spans="2:13">
      <c r="B1113" s="335">
        <v>14</v>
      </c>
      <c r="C1113" s="320"/>
      <c r="D1113" s="299" t="s">
        <v>228</v>
      </c>
      <c r="E1113" s="309">
        <v>3.8180000000000001</v>
      </c>
      <c r="F1113" s="309">
        <v>4.4930000000000003</v>
      </c>
      <c r="G1113" s="317">
        <v>3.6970049999999999</v>
      </c>
      <c r="H1113" s="309">
        <v>5.5302509999999998</v>
      </c>
      <c r="I1113" s="318">
        <v>0.1384</v>
      </c>
      <c r="J1113" s="318">
        <v>0.1011</v>
      </c>
      <c r="K1113" s="317">
        <v>44.441147000000001</v>
      </c>
      <c r="L1113" s="321"/>
      <c r="M1113" s="399"/>
    </row>
    <row r="1114" spans="2:13" ht="17.25" thickBot="1">
      <c r="B1114" s="336">
        <v>15</v>
      </c>
      <c r="C1114" s="323"/>
      <c r="D1114" s="293" t="s">
        <v>246</v>
      </c>
      <c r="E1114" s="311">
        <v>3.8159999999999998</v>
      </c>
      <c r="F1114" s="311">
        <v>4.4420000000000002</v>
      </c>
      <c r="G1114" s="278">
        <v>3.6569560000000001</v>
      </c>
      <c r="H1114" s="311">
        <v>5.472372</v>
      </c>
      <c r="I1114" s="279">
        <v>0.1384</v>
      </c>
      <c r="J1114" s="279">
        <v>0.10100000000000001</v>
      </c>
      <c r="K1114" s="278">
        <v>43.980198000000001</v>
      </c>
      <c r="L1114" s="324"/>
      <c r="M1114" s="399"/>
    </row>
    <row r="1115" spans="2:13" ht="17.25" thickBot="1">
      <c r="B1115" s="337"/>
      <c r="C1115" s="326"/>
      <c r="D1115" s="327" t="s">
        <v>463</v>
      </c>
      <c r="E1115" s="328">
        <f>AVERAGE(E1110:E1114)</f>
        <v>3.8136000000000001</v>
      </c>
      <c r="F1115" s="328">
        <f t="shared" ref="F1115:K1115" si="322">AVERAGE(F1110:F1114)</f>
        <v>4.4799999999999995</v>
      </c>
      <c r="G1115" s="328">
        <f t="shared" si="322"/>
        <v>3.6905662000000006</v>
      </c>
      <c r="H1115" s="328">
        <f t="shared" si="322"/>
        <v>5.5183914000000005</v>
      </c>
      <c r="I1115" s="329">
        <f t="shared" si="322"/>
        <v>0.13838</v>
      </c>
      <c r="J1115" s="329">
        <f t="shared" si="322"/>
        <v>0.10098</v>
      </c>
      <c r="K1115" s="330">
        <f t="shared" si="322"/>
        <v>44.365221400000003</v>
      </c>
      <c r="L1115" s="331"/>
      <c r="M1115" s="399"/>
    </row>
    <row r="1116" spans="2:13">
      <c r="B1116" s="333">
        <v>16</v>
      </c>
      <c r="C1116" s="271" t="s">
        <v>334</v>
      </c>
      <c r="D1116" s="291" t="s">
        <v>247</v>
      </c>
      <c r="E1116" s="307">
        <v>3.8069999999999999</v>
      </c>
      <c r="F1116" s="307">
        <v>4.4470000000000001</v>
      </c>
      <c r="G1116" s="272">
        <v>3.669727</v>
      </c>
      <c r="H1116" s="307">
        <v>5.4784750000000004</v>
      </c>
      <c r="I1116" s="273">
        <v>0.1389</v>
      </c>
      <c r="J1116" s="273">
        <v>0.10050000000000001</v>
      </c>
      <c r="K1116" s="272">
        <v>44.248756</v>
      </c>
      <c r="L1116" s="359"/>
      <c r="M1116" s="401"/>
    </row>
    <row r="1117" spans="2:13">
      <c r="B1117" s="335">
        <v>17</v>
      </c>
      <c r="C1117" s="320"/>
      <c r="D1117" s="299" t="s">
        <v>248</v>
      </c>
      <c r="E1117" s="309">
        <v>3.8130000000000002</v>
      </c>
      <c r="F1117" s="309">
        <v>4.4610000000000003</v>
      </c>
      <c r="G1117" s="317">
        <v>3.6754869999999999</v>
      </c>
      <c r="H1117" s="309">
        <v>5.5043129999999998</v>
      </c>
      <c r="I1117" s="318">
        <v>0.1389</v>
      </c>
      <c r="J1117" s="318">
        <v>0.10059999999999999</v>
      </c>
      <c r="K1117" s="317">
        <v>44.343935999999999</v>
      </c>
      <c r="L1117" s="321"/>
      <c r="M1117" s="399"/>
    </row>
    <row r="1118" spans="2:13">
      <c r="B1118" s="335">
        <v>18</v>
      </c>
      <c r="C1118" s="320"/>
      <c r="D1118" s="299" t="s">
        <v>232</v>
      </c>
      <c r="E1118" s="309">
        <v>3.8170000000000002</v>
      </c>
      <c r="F1118" s="309">
        <v>4.4669999999999996</v>
      </c>
      <c r="G1118" s="317">
        <v>3.676574</v>
      </c>
      <c r="H1118" s="309">
        <v>5.511266</v>
      </c>
      <c r="I1118" s="318">
        <v>0.1389</v>
      </c>
      <c r="J1118" s="318">
        <v>0.1007</v>
      </c>
      <c r="K1118" s="317">
        <v>44.359484000000002</v>
      </c>
      <c r="L1118" s="321"/>
      <c r="M1118" s="399"/>
    </row>
    <row r="1119" spans="2:13">
      <c r="B1119" s="335">
        <v>19</v>
      </c>
      <c r="C1119" s="320"/>
      <c r="D1119" s="299" t="s">
        <v>233</v>
      </c>
      <c r="E1119" s="309">
        <v>3.82</v>
      </c>
      <c r="F1119" s="309">
        <v>4.4640000000000004</v>
      </c>
      <c r="G1119" s="317">
        <v>3.6712189999999998</v>
      </c>
      <c r="H1119" s="309">
        <v>5.4931549999999998</v>
      </c>
      <c r="I1119" s="318">
        <v>0.13900000000000001</v>
      </c>
      <c r="J1119" s="318">
        <v>0.1008</v>
      </c>
      <c r="K1119" s="317">
        <v>44.285713999999999</v>
      </c>
      <c r="L1119" s="321"/>
      <c r="M1119" s="399"/>
    </row>
    <row r="1120" spans="2:13" ht="17.25" thickBot="1">
      <c r="B1120" s="336">
        <v>20</v>
      </c>
      <c r="C1120" s="323"/>
      <c r="D1120" s="293" t="s">
        <v>249</v>
      </c>
      <c r="E1120" s="311">
        <v>3.82</v>
      </c>
      <c r="F1120" s="311">
        <v>4.4450000000000003</v>
      </c>
      <c r="G1120" s="278">
        <v>3.6555939999999998</v>
      </c>
      <c r="H1120" s="311">
        <v>5.4634660000000004</v>
      </c>
      <c r="I1120" s="279">
        <v>0.1389</v>
      </c>
      <c r="J1120" s="279">
        <v>0.1007</v>
      </c>
      <c r="K1120" s="278">
        <v>44.141013000000001</v>
      </c>
      <c r="L1120" s="324"/>
      <c r="M1120" s="399"/>
    </row>
    <row r="1121" spans="2:13" ht="17.25" thickBot="1">
      <c r="B1121" s="337"/>
      <c r="C1121" s="326"/>
      <c r="D1121" s="327" t="s">
        <v>463</v>
      </c>
      <c r="E1121" s="328">
        <f>AVERAGE(E1116:E1120)</f>
        <v>3.8154000000000003</v>
      </c>
      <c r="F1121" s="328">
        <f t="shared" ref="F1121:K1121" si="323">AVERAGE(F1116:F1120)</f>
        <v>4.4567999999999994</v>
      </c>
      <c r="G1121" s="328">
        <f t="shared" si="323"/>
        <v>3.6697202000000004</v>
      </c>
      <c r="H1121" s="328">
        <f t="shared" si="323"/>
        <v>5.4901350000000004</v>
      </c>
      <c r="I1121" s="329">
        <f t="shared" si="323"/>
        <v>0.13891999999999999</v>
      </c>
      <c r="J1121" s="329">
        <f t="shared" si="323"/>
        <v>0.10066</v>
      </c>
      <c r="K1121" s="328">
        <f t="shared" si="323"/>
        <v>44.275780599999997</v>
      </c>
      <c r="L1121" s="331"/>
      <c r="M1121" s="399"/>
    </row>
    <row r="1122" spans="2:13">
      <c r="B1122" s="333">
        <v>21</v>
      </c>
      <c r="C1122" s="271" t="s">
        <v>334</v>
      </c>
      <c r="D1122" s="291" t="s">
        <v>250</v>
      </c>
      <c r="E1122" s="307">
        <v>3.806</v>
      </c>
      <c r="F1122" s="307">
        <v>4.4459999999999997</v>
      </c>
      <c r="G1122" s="272">
        <v>3.6698659999999999</v>
      </c>
      <c r="H1122" s="307">
        <v>5.4692999999999996</v>
      </c>
      <c r="I1122" s="273">
        <v>0.1389</v>
      </c>
      <c r="J1122" s="273">
        <v>0.10050000000000001</v>
      </c>
      <c r="K1122" s="272">
        <v>44.238805999999997</v>
      </c>
      <c r="L1122" s="332"/>
      <c r="M1122" s="399"/>
    </row>
    <row r="1123" spans="2:13">
      <c r="B1123" s="335">
        <v>22</v>
      </c>
      <c r="C1123" s="320"/>
      <c r="D1123" s="299" t="s">
        <v>251</v>
      </c>
      <c r="E1123" s="309">
        <v>3.8109999999999999</v>
      </c>
      <c r="F1123" s="309">
        <v>4.444</v>
      </c>
      <c r="G1123" s="317">
        <v>3.663402</v>
      </c>
      <c r="H1123" s="309">
        <v>5.473001</v>
      </c>
      <c r="I1123" s="318">
        <v>0.1389</v>
      </c>
      <c r="J1123" s="318">
        <v>0.10059999999999999</v>
      </c>
      <c r="K1123" s="317">
        <v>44.174950000000003</v>
      </c>
      <c r="L1123" s="321"/>
      <c r="M1123" s="399"/>
    </row>
    <row r="1124" spans="2:13">
      <c r="B1124" s="335">
        <v>23</v>
      </c>
      <c r="C1124" s="320"/>
      <c r="D1124" s="299" t="s">
        <v>237</v>
      </c>
      <c r="E1124" s="309">
        <v>3.8140000000000001</v>
      </c>
      <c r="F1124" s="309">
        <v>4.4539999999999997</v>
      </c>
      <c r="G1124" s="317">
        <v>3.668758</v>
      </c>
      <c r="H1124" s="309">
        <v>5.4818870000000004</v>
      </c>
      <c r="I1124" s="318">
        <v>0.1389</v>
      </c>
      <c r="J1124" s="318">
        <v>0.10059999999999999</v>
      </c>
      <c r="K1124" s="317">
        <v>44.274354000000002</v>
      </c>
      <c r="L1124" s="321"/>
      <c r="M1124" s="399"/>
    </row>
    <row r="1125" spans="2:13">
      <c r="B1125" s="335">
        <v>24</v>
      </c>
      <c r="C1125" s="320"/>
      <c r="D1125" s="299" t="s">
        <v>238</v>
      </c>
      <c r="E1125" s="309">
        <v>3.8170000000000002</v>
      </c>
      <c r="F1125" s="309">
        <v>4.4420000000000002</v>
      </c>
      <c r="G1125" s="317">
        <v>3.6559979999999999</v>
      </c>
      <c r="H1125" s="309">
        <v>5.4706070000000002</v>
      </c>
      <c r="I1125" s="318">
        <v>0.1389</v>
      </c>
      <c r="J1125" s="318">
        <v>0.10059999999999999</v>
      </c>
      <c r="K1125" s="317">
        <v>44.155070000000002</v>
      </c>
      <c r="L1125" s="321"/>
      <c r="M1125" s="399"/>
    </row>
    <row r="1126" spans="2:13" ht="17.25" thickBot="1">
      <c r="B1126" s="336">
        <v>25</v>
      </c>
      <c r="C1126" s="323"/>
      <c r="D1126" s="293" t="s">
        <v>252</v>
      </c>
      <c r="E1126" s="311">
        <v>3.8170000000000002</v>
      </c>
      <c r="F1126" s="311">
        <v>4.4269999999999996</v>
      </c>
      <c r="G1126" s="278">
        <v>3.6436519999999999</v>
      </c>
      <c r="H1126" s="311">
        <v>5.4487709999999998</v>
      </c>
      <c r="I1126" s="279">
        <v>0.1389</v>
      </c>
      <c r="J1126" s="279">
        <v>0.10059999999999999</v>
      </c>
      <c r="K1126" s="278">
        <v>44.005963999999999</v>
      </c>
      <c r="L1126" s="324"/>
      <c r="M1126" s="399"/>
    </row>
    <row r="1127" spans="2:13" ht="17.25" thickBot="1">
      <c r="B1127" s="339" t="s">
        <v>464</v>
      </c>
      <c r="C1127" s="340"/>
      <c r="D1127" s="341" t="s">
        <v>465</v>
      </c>
      <c r="E1127" s="342">
        <f>AVERAGE(E1122:E1126)</f>
        <v>3.8130000000000002</v>
      </c>
      <c r="F1127" s="342">
        <f t="shared" ref="F1127:K1127" si="324">AVERAGE(F1122:F1126)</f>
        <v>4.4426000000000005</v>
      </c>
      <c r="G1127" s="342">
        <f t="shared" si="324"/>
        <v>3.6603352</v>
      </c>
      <c r="H1127" s="342">
        <f t="shared" si="324"/>
        <v>5.4687132000000007</v>
      </c>
      <c r="I1127" s="343">
        <f t="shared" si="324"/>
        <v>0.1389</v>
      </c>
      <c r="J1127" s="343">
        <f t="shared" si="324"/>
        <v>0.10058</v>
      </c>
      <c r="K1127" s="342">
        <f t="shared" si="324"/>
        <v>44.169828799999998</v>
      </c>
      <c r="L1127" s="344"/>
      <c r="M1127" s="399"/>
    </row>
    <row r="1128" spans="2:13">
      <c r="B1128" s="333"/>
      <c r="C1128" s="345"/>
      <c r="D1128" s="291" t="s">
        <v>466</v>
      </c>
      <c r="E1128" s="346">
        <f>MEDIAN(E1098:E1102,E1104:E1108,E1110:E1114,E1116:E1120,E1122:E1126)</f>
        <v>3.8180000000000001</v>
      </c>
      <c r="F1128" s="346">
        <f t="shared" ref="F1128:K1128" si="325">MEDIAN(F1098:F1102,F1104:F1108,F1110:F1114,F1116:F1120,F1122:F1126)</f>
        <v>4.49</v>
      </c>
      <c r="G1128" s="346">
        <f t="shared" si="325"/>
        <v>3.6964730000000001</v>
      </c>
      <c r="H1128" s="346">
        <f t="shared" si="325"/>
        <v>5.5261810000000002</v>
      </c>
      <c r="I1128" s="347">
        <f t="shared" si="325"/>
        <v>0.1389</v>
      </c>
      <c r="J1128" s="347">
        <f t="shared" si="325"/>
        <v>0.10059999999999999</v>
      </c>
      <c r="K1128" s="348">
        <f t="shared" si="325"/>
        <v>44.441147000000001</v>
      </c>
      <c r="L1128" s="332"/>
      <c r="M1128" s="399"/>
    </row>
    <row r="1129" spans="2:13">
      <c r="B1129" s="335"/>
      <c r="C1129" s="320"/>
      <c r="D1129" s="299" t="s">
        <v>467</v>
      </c>
      <c r="E1129" s="349">
        <f>AVERAGE(E1098:E1102,E1104:E1108,E1110:E1114,E1116:E1120,E1122:E1126)</f>
        <v>3.8188799999999992</v>
      </c>
      <c r="F1129" s="349">
        <f t="shared" ref="F1129:K1129" si="326">AVERAGE(F1098:F1102,F1104:F1108,F1110:F1114,F1116:F1120,F1122:F1126)</f>
        <v>4.4988000000000001</v>
      </c>
      <c r="G1129" s="349">
        <f t="shared" si="326"/>
        <v>3.7008780399999988</v>
      </c>
      <c r="H1129" s="349">
        <f t="shared" si="326"/>
        <v>5.5426060799999997</v>
      </c>
      <c r="I1129" s="350">
        <f t="shared" si="326"/>
        <v>0.13878400000000002</v>
      </c>
      <c r="J1129" s="350">
        <f t="shared" si="326"/>
        <v>0.10063599999999999</v>
      </c>
      <c r="K1129" s="351">
        <f t="shared" si="326"/>
        <v>44.704284359999996</v>
      </c>
      <c r="L1129" s="321"/>
      <c r="M1129" s="399"/>
    </row>
    <row r="1130" spans="2:13">
      <c r="B1130" s="335"/>
      <c r="C1130" s="320"/>
      <c r="D1130" s="299" t="s">
        <v>199</v>
      </c>
      <c r="E1130" s="349">
        <f>MAX(E1098:E1102,E1104:E1108,E1110:E1114,E1116:E1120,E1122:E1126)</f>
        <v>3.831</v>
      </c>
      <c r="F1130" s="349">
        <f t="shared" ref="F1130:K1130" si="327">MAX(F1098:F1102,F1104:F1108,F1110:F1114,F1116:F1120,F1122:F1126)</f>
        <v>4.5860000000000003</v>
      </c>
      <c r="G1130" s="349">
        <f t="shared" si="327"/>
        <v>3.7666230000000001</v>
      </c>
      <c r="H1130" s="349">
        <f t="shared" si="327"/>
        <v>5.657978</v>
      </c>
      <c r="I1130" s="350">
        <f t="shared" si="327"/>
        <v>0.13900000000000001</v>
      </c>
      <c r="J1130" s="350">
        <f t="shared" si="327"/>
        <v>0.1011</v>
      </c>
      <c r="K1130" s="351">
        <f t="shared" si="327"/>
        <v>45.631841000000001</v>
      </c>
      <c r="L1130" s="321"/>
      <c r="M1130" s="399"/>
    </row>
    <row r="1131" spans="2:13">
      <c r="B1131" s="335"/>
      <c r="C1131" s="320"/>
      <c r="D1131" s="299" t="s">
        <v>200</v>
      </c>
      <c r="E1131" s="349">
        <f>MIN(E1098:E1102,E1104:E1108,E1110:E1114,E1116:E1120,E1122:E1126)</f>
        <v>3.806</v>
      </c>
      <c r="F1131" s="349">
        <f t="shared" ref="F1131:K1131" si="328">MIN(F1098:F1102,F1104:F1108,F1110:F1114,F1116:F1120,F1122:F1126)</f>
        <v>4.4269999999999996</v>
      </c>
      <c r="G1131" s="349">
        <f t="shared" si="328"/>
        <v>3.6436519999999999</v>
      </c>
      <c r="H1131" s="349">
        <f t="shared" si="328"/>
        <v>5.4487709999999998</v>
      </c>
      <c r="I1131" s="350">
        <f t="shared" si="328"/>
        <v>0.13830000000000001</v>
      </c>
      <c r="J1131" s="350">
        <f t="shared" si="328"/>
        <v>0.1004</v>
      </c>
      <c r="K1131" s="351">
        <f t="shared" si="328"/>
        <v>43.980198000000001</v>
      </c>
      <c r="L1131" s="321"/>
      <c r="M1131" s="399"/>
    </row>
    <row r="1132" spans="2:13">
      <c r="B1132" s="335"/>
      <c r="C1132" s="320"/>
      <c r="D1132" s="299" t="s">
        <v>201</v>
      </c>
      <c r="E1132" s="349">
        <f>E1130-E1131</f>
        <v>2.4999999999999911E-2</v>
      </c>
      <c r="F1132" s="349">
        <f t="shared" ref="F1132:K1132" si="329">F1130-F1131</f>
        <v>0.1590000000000007</v>
      </c>
      <c r="G1132" s="349">
        <f t="shared" si="329"/>
        <v>0.12297100000000016</v>
      </c>
      <c r="H1132" s="349">
        <f t="shared" si="329"/>
        <v>0.20920700000000014</v>
      </c>
      <c r="I1132" s="350">
        <f t="shared" si="329"/>
        <v>7.0000000000000617E-4</v>
      </c>
      <c r="J1132" s="350">
        <f t="shared" si="329"/>
        <v>6.999999999999923E-4</v>
      </c>
      <c r="K1132" s="349">
        <f t="shared" si="329"/>
        <v>1.651643</v>
      </c>
      <c r="L1132" s="321"/>
      <c r="M1132" s="399"/>
    </row>
    <row r="1133" spans="2:13" ht="17.25" thickBot="1">
      <c r="B1133" s="336"/>
      <c r="C1133" s="323"/>
      <c r="D1133" s="293" t="s">
        <v>202</v>
      </c>
      <c r="E1133" s="352">
        <f>STDEVA(E1098:E1102,E1104:E1108,E1110:E1114,E1116:E1120,E1122:E1126)</f>
        <v>7.6448239569877141E-3</v>
      </c>
      <c r="F1133" s="352">
        <f t="shared" ref="F1133:K1133" si="330">STDEVA(F1098:F1102,F1104:F1108,F1110:F1114,F1116:F1120,F1122:F1126)</f>
        <v>5.2466656077931988E-2</v>
      </c>
      <c r="G1133" s="352">
        <f t="shared" si="330"/>
        <v>3.8090210184158015E-2</v>
      </c>
      <c r="H1133" s="352">
        <f t="shared" si="330"/>
        <v>6.7641225304863634E-2</v>
      </c>
      <c r="I1133" s="353">
        <f t="shared" si="330"/>
        <v>2.1150256105620404E-4</v>
      </c>
      <c r="J1133" s="353">
        <f t="shared" si="330"/>
        <v>2.0591260281973967E-4</v>
      </c>
      <c r="K1133" s="352">
        <f t="shared" si="330"/>
        <v>0.56543518456508945</v>
      </c>
      <c r="L1133" s="324"/>
      <c r="M1133" s="399"/>
    </row>
    <row r="1135" spans="2:13">
      <c r="B1135" s="240" t="s">
        <v>500</v>
      </c>
      <c r="C1135" s="240"/>
      <c r="E1135" s="240"/>
      <c r="F1135" s="240"/>
      <c r="G1135" s="240"/>
      <c r="H1135" s="240"/>
      <c r="I1135" s="240"/>
      <c r="J1135" s="240"/>
      <c r="K1135" s="240"/>
    </row>
    <row r="1136" spans="2:13" ht="17.25" thickBot="1">
      <c r="B1136" s="240" t="s">
        <v>469</v>
      </c>
      <c r="C1136" s="240"/>
      <c r="E1136" s="240"/>
      <c r="F1136" s="240"/>
      <c r="G1136" s="240"/>
      <c r="H1136" s="240"/>
      <c r="I1136" s="240"/>
      <c r="J1136" s="240"/>
      <c r="K1136" s="240"/>
    </row>
    <row r="1137" spans="2:13" ht="17.25" thickBot="1">
      <c r="B1137" s="313" t="s">
        <v>11</v>
      </c>
      <c r="C1137" s="250" t="s">
        <v>0</v>
      </c>
      <c r="D1137" s="250" t="s">
        <v>1</v>
      </c>
      <c r="E1137" s="250" t="s">
        <v>2</v>
      </c>
      <c r="F1137" s="250" t="s">
        <v>3</v>
      </c>
      <c r="G1137" s="250" t="s">
        <v>192</v>
      </c>
      <c r="H1137" s="250" t="s">
        <v>16</v>
      </c>
      <c r="I1137" s="250" t="s">
        <v>6</v>
      </c>
      <c r="J1137" s="251" t="s">
        <v>7</v>
      </c>
      <c r="K1137" s="252" t="s">
        <v>8</v>
      </c>
      <c r="L1137" s="254" t="s">
        <v>470</v>
      </c>
      <c r="M1137" s="404"/>
    </row>
    <row r="1138" spans="2:13">
      <c r="B1138" s="314">
        <v>1</v>
      </c>
      <c r="C1138" s="271" t="s">
        <v>341</v>
      </c>
      <c r="D1138" s="291" t="s">
        <v>213</v>
      </c>
      <c r="E1138" s="307">
        <v>4.032</v>
      </c>
      <c r="F1138" s="307">
        <v>4.7830000000000004</v>
      </c>
      <c r="G1138" s="272">
        <v>3.7267420000000002</v>
      </c>
      <c r="H1138" s="360">
        <v>5.8635130000000002</v>
      </c>
      <c r="I1138" s="273">
        <v>0.1386</v>
      </c>
      <c r="J1138" s="273">
        <v>0.1013</v>
      </c>
      <c r="K1138" s="272">
        <v>47.216189999999997</v>
      </c>
      <c r="L1138" s="275"/>
      <c r="M1138" s="397"/>
    </row>
    <row r="1139" spans="2:13">
      <c r="B1139" s="315">
        <v>2</v>
      </c>
      <c r="C1139" s="316"/>
      <c r="D1139" s="299" t="s">
        <v>214</v>
      </c>
      <c r="E1139" s="309">
        <v>4.0380000000000003</v>
      </c>
      <c r="F1139" s="309">
        <v>4.7930000000000001</v>
      </c>
      <c r="G1139" s="317">
        <v>3.7289850000000002</v>
      </c>
      <c r="H1139" s="361">
        <v>5.8708080000000002</v>
      </c>
      <c r="I1139" s="318">
        <v>0.1386</v>
      </c>
      <c r="J1139" s="318">
        <v>0.1014</v>
      </c>
      <c r="K1139" s="317">
        <v>47.268245</v>
      </c>
      <c r="L1139" s="319"/>
      <c r="M1139" s="398"/>
    </row>
    <row r="1140" spans="2:13">
      <c r="B1140" s="315">
        <v>3</v>
      </c>
      <c r="C1140" s="320"/>
      <c r="D1140" s="299" t="s">
        <v>217</v>
      </c>
      <c r="E1140" s="309">
        <v>4.04</v>
      </c>
      <c r="F1140" s="309">
        <v>4.7990000000000004</v>
      </c>
      <c r="G1140" s="317">
        <v>3.731805</v>
      </c>
      <c r="H1140" s="361">
        <v>5.8760130000000004</v>
      </c>
      <c r="I1140" s="318">
        <v>0.1386</v>
      </c>
      <c r="J1140" s="318">
        <v>0.1014</v>
      </c>
      <c r="K1140" s="317">
        <v>47.327415999999999</v>
      </c>
      <c r="L1140" s="356"/>
      <c r="M1140" s="400"/>
    </row>
    <row r="1141" spans="2:13">
      <c r="B1141" s="315">
        <v>4</v>
      </c>
      <c r="C1141" s="320"/>
      <c r="D1141" s="299" t="s">
        <v>218</v>
      </c>
      <c r="E1141" s="309">
        <v>4.0380000000000003</v>
      </c>
      <c r="F1141" s="309">
        <v>4.79</v>
      </c>
      <c r="G1141" s="317">
        <v>3.7266509999999999</v>
      </c>
      <c r="H1141" s="361">
        <v>5.8725050000000003</v>
      </c>
      <c r="I1141" s="318">
        <v>0.1386</v>
      </c>
      <c r="J1141" s="318">
        <v>0.1014</v>
      </c>
      <c r="K1141" s="317">
        <v>47.238658999999998</v>
      </c>
      <c r="L1141" s="356"/>
      <c r="M1141" s="400"/>
    </row>
    <row r="1142" spans="2:13" ht="17.25" thickBot="1">
      <c r="B1142" s="322">
        <v>5</v>
      </c>
      <c r="C1142" s="323"/>
      <c r="D1142" s="354" t="s">
        <v>240</v>
      </c>
      <c r="E1142" s="311">
        <v>4.0350000000000001</v>
      </c>
      <c r="F1142" s="311">
        <v>4.7859999999999996</v>
      </c>
      <c r="G1142" s="278">
        <v>3.7263069999999998</v>
      </c>
      <c r="H1142" s="362">
        <v>5.8722279999999998</v>
      </c>
      <c r="I1142" s="279">
        <v>0.13869999999999999</v>
      </c>
      <c r="J1142" s="279">
        <v>0.1014</v>
      </c>
      <c r="K1142" s="278">
        <v>47.199210999999998</v>
      </c>
      <c r="L1142" s="324"/>
      <c r="M1142" s="399"/>
    </row>
    <row r="1143" spans="2:13" ht="17.25" thickBot="1">
      <c r="B1143" s="325"/>
      <c r="C1143" s="326"/>
      <c r="D1143" s="327" t="s">
        <v>463</v>
      </c>
      <c r="E1143" s="328">
        <f>AVERAGE(E1138:E1142)</f>
        <v>4.0366</v>
      </c>
      <c r="F1143" s="328">
        <f t="shared" ref="F1143:K1143" si="331">AVERAGE(F1138:F1142)</f>
        <v>4.7902000000000005</v>
      </c>
      <c r="G1143" s="328">
        <f t="shared" si="331"/>
        <v>3.7280980000000001</v>
      </c>
      <c r="H1143" s="328">
        <f t="shared" si="331"/>
        <v>5.8710134000000007</v>
      </c>
      <c r="I1143" s="329">
        <f t="shared" si="331"/>
        <v>0.13862000000000002</v>
      </c>
      <c r="J1143" s="329">
        <f t="shared" si="331"/>
        <v>0.10138</v>
      </c>
      <c r="K1143" s="330">
        <f t="shared" si="331"/>
        <v>47.249944199999995</v>
      </c>
      <c r="L1143" s="331"/>
      <c r="M1143" s="399"/>
    </row>
    <row r="1144" spans="2:13">
      <c r="B1144" s="314">
        <v>6</v>
      </c>
      <c r="C1144" s="271" t="s">
        <v>340</v>
      </c>
      <c r="D1144" s="291" t="s">
        <v>241</v>
      </c>
      <c r="E1144" s="307">
        <v>4.0460000000000003</v>
      </c>
      <c r="F1144" s="307">
        <v>4.7949999999999999</v>
      </c>
      <c r="G1144" s="272">
        <v>3.7231649999999998</v>
      </c>
      <c r="H1144" s="360">
        <v>5.8696279999999996</v>
      </c>
      <c r="I1144" s="273">
        <v>0.1386</v>
      </c>
      <c r="J1144" s="273">
        <v>0.1014</v>
      </c>
      <c r="K1144" s="272">
        <v>47.287967999999999</v>
      </c>
      <c r="L1144" s="332"/>
      <c r="M1144" s="399"/>
    </row>
    <row r="1145" spans="2:13">
      <c r="B1145" s="315">
        <v>7</v>
      </c>
      <c r="C1145" s="320"/>
      <c r="D1145" s="299" t="s">
        <v>242</v>
      </c>
      <c r="E1145" s="309">
        <v>4.149</v>
      </c>
      <c r="F1145" s="309">
        <v>4.8079999999999998</v>
      </c>
      <c r="G1145" s="317">
        <v>3.6405799999999999</v>
      </c>
      <c r="H1145" s="361">
        <v>5.899788</v>
      </c>
      <c r="I1145" s="318">
        <v>0.1386</v>
      </c>
      <c r="J1145" s="318">
        <v>0.10150000000000001</v>
      </c>
      <c r="K1145" s="317">
        <v>47.369458000000002</v>
      </c>
      <c r="L1145" s="321"/>
      <c r="M1145" s="399"/>
    </row>
    <row r="1146" spans="2:13">
      <c r="B1146" s="315">
        <v>8</v>
      </c>
      <c r="C1146" s="320"/>
      <c r="D1146" s="299" t="s">
        <v>222</v>
      </c>
      <c r="E1146" s="309">
        <v>4.0430000000000001</v>
      </c>
      <c r="F1146" s="309">
        <v>4.8079999999999998</v>
      </c>
      <c r="G1146" s="317">
        <v>3.7360289999999998</v>
      </c>
      <c r="H1146" s="361">
        <v>5.8928440000000002</v>
      </c>
      <c r="I1146" s="318">
        <v>0.1386</v>
      </c>
      <c r="J1146" s="318">
        <v>0.10150000000000001</v>
      </c>
      <c r="K1146" s="317">
        <v>47.369458000000002</v>
      </c>
      <c r="L1146" s="321"/>
      <c r="M1146" s="399"/>
    </row>
    <row r="1147" spans="2:13">
      <c r="B1147" s="315">
        <v>9</v>
      </c>
      <c r="C1147" s="320"/>
      <c r="D1147" s="299" t="s">
        <v>223</v>
      </c>
      <c r="E1147" s="309">
        <v>4.0430000000000001</v>
      </c>
      <c r="F1147" s="309">
        <v>4.7949999999999999</v>
      </c>
      <c r="G1147" s="317">
        <v>3.725927</v>
      </c>
      <c r="H1147" s="361">
        <v>5.8746039999999997</v>
      </c>
      <c r="I1147" s="318">
        <v>0.13850000000000001</v>
      </c>
      <c r="J1147" s="318">
        <v>0.1014</v>
      </c>
      <c r="K1147" s="317">
        <v>47.287967999999999</v>
      </c>
      <c r="L1147" s="321"/>
      <c r="M1147" s="399"/>
    </row>
    <row r="1148" spans="2:13" ht="17.25" thickBot="1">
      <c r="B1148" s="322">
        <v>10</v>
      </c>
      <c r="C1148" s="323"/>
      <c r="D1148" s="293" t="s">
        <v>243</v>
      </c>
      <c r="E1148" s="311">
        <v>4.0359999999999996</v>
      </c>
      <c r="F1148" s="311">
        <v>4.7889999999999997</v>
      </c>
      <c r="G1148" s="278">
        <v>3.727719</v>
      </c>
      <c r="H1148" s="362">
        <v>5.8588529999999999</v>
      </c>
      <c r="I1148" s="279">
        <v>0.1386</v>
      </c>
      <c r="J1148" s="279">
        <v>0.10150000000000001</v>
      </c>
      <c r="K1148" s="278">
        <v>47.182265999999998</v>
      </c>
      <c r="L1148" s="324"/>
      <c r="M1148" s="399"/>
    </row>
    <row r="1149" spans="2:13" ht="17.25" thickBot="1">
      <c r="B1149" s="325" t="s">
        <v>464</v>
      </c>
      <c r="C1149" s="326"/>
      <c r="D1149" s="327" t="s">
        <v>463</v>
      </c>
      <c r="E1149" s="328">
        <f t="shared" ref="E1149:K1149" si="332">AVERAGE(E1144:E1148)</f>
        <v>4.0633999999999997</v>
      </c>
      <c r="F1149" s="328">
        <f t="shared" si="332"/>
        <v>4.7989999999999995</v>
      </c>
      <c r="G1149" s="328">
        <f t="shared" si="332"/>
        <v>3.7106839999999996</v>
      </c>
      <c r="H1149" s="328">
        <f t="shared" si="332"/>
        <v>5.8791434000000002</v>
      </c>
      <c r="I1149" s="329">
        <f t="shared" si="332"/>
        <v>0.13858000000000001</v>
      </c>
      <c r="J1149" s="329">
        <f t="shared" si="332"/>
        <v>0.10145999999999999</v>
      </c>
      <c r="K1149" s="330">
        <f t="shared" si="332"/>
        <v>47.299423599999997</v>
      </c>
      <c r="L1149" s="331"/>
      <c r="M1149" s="399"/>
    </row>
    <row r="1150" spans="2:13">
      <c r="B1150" s="333">
        <v>11</v>
      </c>
      <c r="C1150" s="334" t="s">
        <v>296</v>
      </c>
      <c r="D1150" s="291" t="s">
        <v>244</v>
      </c>
      <c r="E1150" s="307">
        <v>4.0339999999999998</v>
      </c>
      <c r="F1150" s="307">
        <v>4.7919999999999998</v>
      </c>
      <c r="G1150" s="272">
        <v>3.7319040000000001</v>
      </c>
      <c r="H1150" s="307">
        <v>5.8673200000000003</v>
      </c>
      <c r="I1150" s="273">
        <v>0.13869999999999999</v>
      </c>
      <c r="J1150" s="273">
        <v>0.1014</v>
      </c>
      <c r="K1150" s="272">
        <v>47.258383000000002</v>
      </c>
      <c r="L1150" s="332"/>
      <c r="M1150" s="399"/>
    </row>
    <row r="1151" spans="2:13">
      <c r="B1151" s="335">
        <v>12</v>
      </c>
      <c r="C1151" s="320"/>
      <c r="D1151" s="299" t="s">
        <v>245</v>
      </c>
      <c r="E1151" s="309">
        <v>4.0709999999999997</v>
      </c>
      <c r="F1151" s="309">
        <v>4.8049999999999997</v>
      </c>
      <c r="G1151" s="317">
        <v>3.708018</v>
      </c>
      <c r="H1151" s="309">
        <v>5.8904839999999998</v>
      </c>
      <c r="I1151" s="318">
        <v>0.1386</v>
      </c>
      <c r="J1151" s="318">
        <v>0.10150000000000001</v>
      </c>
      <c r="K1151" s="317">
        <v>47.339900999999998</v>
      </c>
      <c r="L1151" s="321"/>
      <c r="M1151" s="399"/>
    </row>
    <row r="1152" spans="2:13">
      <c r="B1152" s="335">
        <v>13</v>
      </c>
      <c r="C1152" s="320"/>
      <c r="D1152" s="299" t="s">
        <v>227</v>
      </c>
      <c r="E1152" s="309">
        <v>4.0590000000000002</v>
      </c>
      <c r="F1152" s="309">
        <v>4.7969999999999997</v>
      </c>
      <c r="G1152" s="317">
        <v>3.7127880000000002</v>
      </c>
      <c r="H1152" s="309">
        <v>5.8776330000000003</v>
      </c>
      <c r="I1152" s="318">
        <v>0.1386</v>
      </c>
      <c r="J1152" s="318">
        <v>0.10150000000000001</v>
      </c>
      <c r="K1152" s="317">
        <v>47.261083999999997</v>
      </c>
      <c r="L1152" s="321"/>
      <c r="M1152" s="399"/>
    </row>
    <row r="1153" spans="2:13">
      <c r="B1153" s="335">
        <v>14</v>
      </c>
      <c r="C1153" s="320"/>
      <c r="D1153" s="299" t="s">
        <v>228</v>
      </c>
      <c r="E1153" s="309">
        <v>4.04</v>
      </c>
      <c r="F1153" s="309">
        <v>4.7930000000000001</v>
      </c>
      <c r="G1153" s="317">
        <v>3.7271390000000002</v>
      </c>
      <c r="H1153" s="309">
        <v>5.8731600000000004</v>
      </c>
      <c r="I1153" s="318">
        <v>0.13850000000000001</v>
      </c>
      <c r="J1153" s="318">
        <v>0.10150000000000001</v>
      </c>
      <c r="K1153" s="317">
        <v>47.221674999999998</v>
      </c>
      <c r="L1153" s="321"/>
      <c r="M1153" s="399"/>
    </row>
    <row r="1154" spans="2:13" ht="17.25" thickBot="1">
      <c r="B1154" s="336">
        <v>15</v>
      </c>
      <c r="C1154" s="323"/>
      <c r="D1154" s="293" t="s">
        <v>246</v>
      </c>
      <c r="E1154" s="311">
        <v>4.0339999999999998</v>
      </c>
      <c r="F1154" s="311">
        <v>4.7889999999999997</v>
      </c>
      <c r="G1154" s="278">
        <v>3.7295669999999999</v>
      </c>
      <c r="H1154" s="311">
        <v>5.8681789999999996</v>
      </c>
      <c r="I1154" s="279">
        <v>0.1386</v>
      </c>
      <c r="J1154" s="279">
        <v>0.10150000000000001</v>
      </c>
      <c r="K1154" s="278">
        <v>47.182265999999998</v>
      </c>
      <c r="L1154" s="324"/>
      <c r="M1154" s="399"/>
    </row>
    <row r="1155" spans="2:13" ht="17.25" thickBot="1">
      <c r="B1155" s="337"/>
      <c r="C1155" s="326"/>
      <c r="D1155" s="327" t="s">
        <v>463</v>
      </c>
      <c r="E1155" s="328">
        <f>AVERAGE(E1150:E1154)</f>
        <v>4.0476000000000001</v>
      </c>
      <c r="F1155" s="328">
        <f t="shared" ref="F1155:K1155" si="333">AVERAGE(F1150:F1154)</f>
        <v>4.7951999999999995</v>
      </c>
      <c r="G1155" s="328">
        <f t="shared" si="333"/>
        <v>3.7218831999999997</v>
      </c>
      <c r="H1155" s="328">
        <f t="shared" si="333"/>
        <v>5.8753551999999996</v>
      </c>
      <c r="I1155" s="329">
        <f t="shared" si="333"/>
        <v>0.1386</v>
      </c>
      <c r="J1155" s="329">
        <f t="shared" si="333"/>
        <v>0.10148000000000001</v>
      </c>
      <c r="K1155" s="330">
        <f t="shared" si="333"/>
        <v>47.252661800000006</v>
      </c>
      <c r="L1155" s="331"/>
      <c r="M1155" s="399"/>
    </row>
    <row r="1156" spans="2:13">
      <c r="B1156" s="333">
        <v>16</v>
      </c>
      <c r="C1156" s="271" t="s">
        <v>340</v>
      </c>
      <c r="D1156" s="291" t="s">
        <v>247</v>
      </c>
      <c r="E1156" s="307">
        <v>3.9849999999999999</v>
      </c>
      <c r="F1156" s="307">
        <v>4.3479999999999999</v>
      </c>
      <c r="G1156" s="272">
        <v>3.427762</v>
      </c>
      <c r="H1156" s="307">
        <v>5.3003400000000003</v>
      </c>
      <c r="I1156" s="273">
        <v>0.1386</v>
      </c>
      <c r="J1156" s="273">
        <v>0.1023</v>
      </c>
      <c r="K1156" s="272">
        <v>42.502443999999997</v>
      </c>
      <c r="L1156" s="359"/>
      <c r="M1156" s="401"/>
    </row>
    <row r="1157" spans="2:13">
      <c r="B1157" s="335">
        <v>17</v>
      </c>
      <c r="C1157" s="320"/>
      <c r="D1157" s="299" t="s">
        <v>248</v>
      </c>
      <c r="E1157" s="309">
        <v>3.996</v>
      </c>
      <c r="F1157" s="309">
        <v>4.3710000000000004</v>
      </c>
      <c r="G1157" s="317">
        <v>3.4364089999999998</v>
      </c>
      <c r="H1157" s="309">
        <v>5.3404499999999997</v>
      </c>
      <c r="I1157" s="318">
        <v>0.13850000000000001</v>
      </c>
      <c r="J1157" s="318">
        <v>0.1022</v>
      </c>
      <c r="K1157" s="317">
        <v>42.769080000000002</v>
      </c>
      <c r="L1157" s="321"/>
      <c r="M1157" s="399"/>
    </row>
    <row r="1158" spans="2:13">
      <c r="B1158" s="335">
        <v>18</v>
      </c>
      <c r="C1158" s="320"/>
      <c r="D1158" s="299" t="s">
        <v>232</v>
      </c>
      <c r="E1158" s="309">
        <v>3.9980000000000002</v>
      </c>
      <c r="F1158" s="309">
        <v>4.375</v>
      </c>
      <c r="G1158" s="317">
        <v>3.4378329999999999</v>
      </c>
      <c r="H1158" s="309">
        <v>5.3404550000000004</v>
      </c>
      <c r="I1158" s="318">
        <v>0.1384</v>
      </c>
      <c r="J1158" s="318">
        <v>0.1022</v>
      </c>
      <c r="K1158" s="317">
        <v>42.808219000000001</v>
      </c>
      <c r="L1158" s="321"/>
      <c r="M1158" s="399"/>
    </row>
    <row r="1159" spans="2:13">
      <c r="B1159" s="335">
        <v>19</v>
      </c>
      <c r="C1159" s="320"/>
      <c r="D1159" s="299" t="s">
        <v>233</v>
      </c>
      <c r="E1159" s="309">
        <v>4</v>
      </c>
      <c r="F1159" s="309">
        <v>4.3719999999999999</v>
      </c>
      <c r="G1159" s="317">
        <v>3.4337580000000001</v>
      </c>
      <c r="H1159" s="309">
        <v>5.3244819999999997</v>
      </c>
      <c r="I1159" s="318">
        <v>0.1384</v>
      </c>
      <c r="J1159" s="318">
        <v>0.1023</v>
      </c>
      <c r="K1159" s="317">
        <v>42.737048000000001</v>
      </c>
      <c r="L1159" s="321"/>
      <c r="M1159" s="399"/>
    </row>
    <row r="1160" spans="2:13" ht="17.25" thickBot="1">
      <c r="B1160" s="336">
        <v>20</v>
      </c>
      <c r="C1160" s="323"/>
      <c r="D1160" s="293" t="s">
        <v>249</v>
      </c>
      <c r="E1160" s="311">
        <v>3.9950000000000001</v>
      </c>
      <c r="F1160" s="311">
        <v>4.3769999999999998</v>
      </c>
      <c r="G1160" s="278">
        <v>3.4419870000000001</v>
      </c>
      <c r="H1160" s="311">
        <v>5.3353599999999997</v>
      </c>
      <c r="I1160" s="279">
        <v>0.1384</v>
      </c>
      <c r="J1160" s="279">
        <v>0.1022</v>
      </c>
      <c r="K1160" s="278">
        <v>42.827789000000003</v>
      </c>
      <c r="L1160" s="324"/>
      <c r="M1160" s="399"/>
    </row>
    <row r="1161" spans="2:13" ht="17.25" thickBot="1">
      <c r="B1161" s="337"/>
      <c r="C1161" s="326"/>
      <c r="D1161" s="327" t="s">
        <v>463</v>
      </c>
      <c r="E1161" s="328">
        <f>AVERAGE(E1156:E1160)</f>
        <v>3.9948000000000001</v>
      </c>
      <c r="F1161" s="328">
        <f t="shared" ref="F1161:K1161" si="334">AVERAGE(F1156:F1160)</f>
        <v>4.3685999999999998</v>
      </c>
      <c r="G1161" s="328">
        <f t="shared" si="334"/>
        <v>3.4355498000000004</v>
      </c>
      <c r="H1161" s="328">
        <f t="shared" si="334"/>
        <v>5.3282173999999998</v>
      </c>
      <c r="I1161" s="329">
        <f t="shared" si="334"/>
        <v>0.13845999999999997</v>
      </c>
      <c r="J1161" s="329">
        <f t="shared" si="334"/>
        <v>0.10224</v>
      </c>
      <c r="K1161" s="328">
        <f t="shared" si="334"/>
        <v>42.728916000000005</v>
      </c>
      <c r="L1161" s="331"/>
      <c r="M1161" s="399"/>
    </row>
    <row r="1162" spans="2:13">
      <c r="B1162" s="333">
        <v>21</v>
      </c>
      <c r="C1162" s="271" t="s">
        <v>296</v>
      </c>
      <c r="D1162" s="291" t="s">
        <v>250</v>
      </c>
      <c r="E1162" s="307">
        <v>3.98</v>
      </c>
      <c r="F1162" s="307">
        <v>4.306</v>
      </c>
      <c r="G1162" s="272">
        <v>3.3989159999999998</v>
      </c>
      <c r="H1162" s="307">
        <v>5.2527039999999996</v>
      </c>
      <c r="I1162" s="273">
        <v>0.1386</v>
      </c>
      <c r="J1162" s="273">
        <v>0.1021</v>
      </c>
      <c r="K1162" s="272">
        <v>42.174339000000003</v>
      </c>
      <c r="L1162" s="332"/>
      <c r="M1162" s="399"/>
    </row>
    <row r="1163" spans="2:13">
      <c r="B1163" s="335">
        <v>22</v>
      </c>
      <c r="C1163" s="320"/>
      <c r="D1163" s="299" t="s">
        <v>251</v>
      </c>
      <c r="E1163" s="309">
        <v>3.9860000000000002</v>
      </c>
      <c r="F1163" s="309">
        <v>4.3410000000000002</v>
      </c>
      <c r="G1163" s="317">
        <v>3.4213849999999999</v>
      </c>
      <c r="H1163" s="309">
        <v>5.288157</v>
      </c>
      <c r="I1163" s="318">
        <v>0.13850000000000001</v>
      </c>
      <c r="J1163" s="318">
        <v>0.1022</v>
      </c>
      <c r="K1163" s="317">
        <v>42.475538</v>
      </c>
      <c r="L1163" s="321"/>
      <c r="M1163" s="399"/>
    </row>
    <row r="1164" spans="2:13">
      <c r="B1164" s="335">
        <v>23</v>
      </c>
      <c r="C1164" s="320"/>
      <c r="D1164" s="299" t="s">
        <v>237</v>
      </c>
      <c r="E1164" s="309">
        <v>3.9910000000000001</v>
      </c>
      <c r="F1164" s="309">
        <v>4.351</v>
      </c>
      <c r="G1164" s="317">
        <v>3.4249710000000002</v>
      </c>
      <c r="H1164" s="309">
        <v>5.3000619999999996</v>
      </c>
      <c r="I1164" s="318">
        <v>0.1384</v>
      </c>
      <c r="J1164" s="318">
        <v>0.1022</v>
      </c>
      <c r="K1164" s="317">
        <v>42.573385999999999</v>
      </c>
      <c r="L1164" s="321"/>
      <c r="M1164" s="399"/>
    </row>
    <row r="1165" spans="2:13">
      <c r="B1165" s="335">
        <v>24</v>
      </c>
      <c r="C1165" s="320"/>
      <c r="D1165" s="299" t="s">
        <v>238</v>
      </c>
      <c r="E1165" s="309">
        <v>3.9929999999999999</v>
      </c>
      <c r="F1165" s="309">
        <v>4.3680000000000003</v>
      </c>
      <c r="G1165" s="317">
        <v>3.4366300000000001</v>
      </c>
      <c r="H1165" s="309">
        <v>5.3289749999999998</v>
      </c>
      <c r="I1165" s="318">
        <v>0.13850000000000001</v>
      </c>
      <c r="J1165" s="318">
        <v>0.1022</v>
      </c>
      <c r="K1165" s="317">
        <v>42.739725999999997</v>
      </c>
      <c r="L1165" s="321"/>
      <c r="M1165" s="399"/>
    </row>
    <row r="1166" spans="2:13" ht="17.25" thickBot="1">
      <c r="B1166" s="336">
        <v>25</v>
      </c>
      <c r="C1166" s="323"/>
      <c r="D1166" s="293" t="s">
        <v>252</v>
      </c>
      <c r="E1166" s="311">
        <v>3.992</v>
      </c>
      <c r="F1166" s="311">
        <v>4.3849999999999998</v>
      </c>
      <c r="G1166" s="278">
        <v>3.4508700000000001</v>
      </c>
      <c r="H1166" s="311">
        <v>5.3535839999999997</v>
      </c>
      <c r="I1166" s="279">
        <v>0.13850000000000001</v>
      </c>
      <c r="J1166" s="279">
        <v>0.1022</v>
      </c>
      <c r="K1166" s="278">
        <v>42.906067</v>
      </c>
      <c r="L1166" s="324"/>
      <c r="M1166" s="399"/>
    </row>
    <row r="1167" spans="2:13" ht="17.25" thickBot="1">
      <c r="B1167" s="339" t="s">
        <v>464</v>
      </c>
      <c r="C1167" s="340"/>
      <c r="D1167" s="341" t="s">
        <v>465</v>
      </c>
      <c r="E1167" s="342">
        <f>AVERAGE(E1162:E1166)</f>
        <v>3.9883999999999999</v>
      </c>
      <c r="F1167" s="342">
        <f t="shared" ref="F1167:K1167" si="335">AVERAGE(F1162:F1166)</f>
        <v>4.3501999999999992</v>
      </c>
      <c r="G1167" s="342">
        <f t="shared" si="335"/>
        <v>3.4265544000000006</v>
      </c>
      <c r="H1167" s="342">
        <f t="shared" si="335"/>
        <v>5.3046964000000001</v>
      </c>
      <c r="I1167" s="343">
        <f t="shared" si="335"/>
        <v>0.13850000000000001</v>
      </c>
      <c r="J1167" s="343">
        <f t="shared" si="335"/>
        <v>0.10218000000000001</v>
      </c>
      <c r="K1167" s="342">
        <f t="shared" si="335"/>
        <v>42.573811200000002</v>
      </c>
      <c r="L1167" s="344"/>
      <c r="M1167" s="399"/>
    </row>
    <row r="1168" spans="2:13">
      <c r="B1168" s="333"/>
      <c r="C1168" s="345"/>
      <c r="D1168" s="291" t="s">
        <v>466</v>
      </c>
      <c r="E1168" s="346">
        <f>MEDIAN(E1138:E1142,E1144:E1148,E1150:E1154,E1156:E1160,E1162:E1166)</f>
        <v>4.0339999999999998</v>
      </c>
      <c r="F1168" s="346">
        <f t="shared" ref="F1168:K1168" si="336">MEDIAN(F1138:F1142,F1144:F1148,F1150:F1154,F1156:F1160,F1162:F1166)</f>
        <v>4.7889999999999997</v>
      </c>
      <c r="G1168" s="346">
        <f t="shared" si="336"/>
        <v>3.7127880000000002</v>
      </c>
      <c r="H1168" s="346">
        <f t="shared" si="336"/>
        <v>5.8673200000000003</v>
      </c>
      <c r="I1168" s="347">
        <f t="shared" si="336"/>
        <v>0.1386</v>
      </c>
      <c r="J1168" s="347">
        <f t="shared" si="336"/>
        <v>0.10150000000000001</v>
      </c>
      <c r="K1168" s="348">
        <f t="shared" si="336"/>
        <v>47.199210999999998</v>
      </c>
      <c r="L1168" s="332"/>
      <c r="M1168" s="399"/>
    </row>
    <row r="1169" spans="2:13">
      <c r="B1169" s="335"/>
      <c r="C1169" s="320"/>
      <c r="D1169" s="299" t="s">
        <v>467</v>
      </c>
      <c r="E1169" s="349">
        <f>AVERAGE(E1138:E1142,E1144:E1148,E1150:E1154,E1156:E1160,E1162:E1166)</f>
        <v>4.0261600000000008</v>
      </c>
      <c r="F1169" s="349">
        <f t="shared" ref="F1169:K1169" si="337">AVERAGE(F1138:F1142,F1144:F1148,F1150:F1154,F1156:F1160,F1162:F1166)</f>
        <v>4.6206399999999999</v>
      </c>
      <c r="G1169" s="349">
        <f t="shared" si="337"/>
        <v>3.6045538799999997</v>
      </c>
      <c r="H1169" s="349">
        <f t="shared" si="337"/>
        <v>5.6516851600000022</v>
      </c>
      <c r="I1169" s="350">
        <f t="shared" si="337"/>
        <v>0.13855200000000001</v>
      </c>
      <c r="J1169" s="350">
        <f t="shared" si="337"/>
        <v>0.10174799999999998</v>
      </c>
      <c r="K1169" s="351">
        <f t="shared" si="337"/>
        <v>45.420951359999989</v>
      </c>
      <c r="L1169" s="321"/>
      <c r="M1169" s="399"/>
    </row>
    <row r="1170" spans="2:13">
      <c r="B1170" s="335"/>
      <c r="C1170" s="320"/>
      <c r="D1170" s="299" t="s">
        <v>199</v>
      </c>
      <c r="E1170" s="349">
        <f>MAX(E1138:E1142,E1144:E1148,E1150:E1154,E1156:E1160,E1162:E1166)</f>
        <v>4.149</v>
      </c>
      <c r="F1170" s="349">
        <f t="shared" ref="F1170:K1170" si="338">MAX(F1138:F1142,F1144:F1148,F1150:F1154,F1156:F1160,F1162:F1166)</f>
        <v>4.8079999999999998</v>
      </c>
      <c r="G1170" s="349">
        <f t="shared" si="338"/>
        <v>3.7360289999999998</v>
      </c>
      <c r="H1170" s="349">
        <f t="shared" si="338"/>
        <v>5.899788</v>
      </c>
      <c r="I1170" s="350">
        <f t="shared" si="338"/>
        <v>0.13869999999999999</v>
      </c>
      <c r="J1170" s="350">
        <f t="shared" si="338"/>
        <v>0.1023</v>
      </c>
      <c r="K1170" s="351">
        <f t="shared" si="338"/>
        <v>47.369458000000002</v>
      </c>
      <c r="L1170" s="321"/>
      <c r="M1170" s="399"/>
    </row>
    <row r="1171" spans="2:13">
      <c r="B1171" s="335"/>
      <c r="C1171" s="320"/>
      <c r="D1171" s="299" t="s">
        <v>200</v>
      </c>
      <c r="E1171" s="349">
        <f>MIN(E1138:E1142,E1144:E1148,E1150:E1154,E1156:E1160,E1162:E1166)</f>
        <v>3.98</v>
      </c>
      <c r="F1171" s="349">
        <f t="shared" ref="F1171:K1171" si="339">MIN(F1138:F1142,F1144:F1148,F1150:F1154,F1156:F1160,F1162:F1166)</f>
        <v>4.306</v>
      </c>
      <c r="G1171" s="349">
        <f t="shared" si="339"/>
        <v>3.3989159999999998</v>
      </c>
      <c r="H1171" s="349">
        <f t="shared" si="339"/>
        <v>5.2527039999999996</v>
      </c>
      <c r="I1171" s="350">
        <f t="shared" si="339"/>
        <v>0.1384</v>
      </c>
      <c r="J1171" s="350">
        <f t="shared" si="339"/>
        <v>0.1013</v>
      </c>
      <c r="K1171" s="351">
        <f t="shared" si="339"/>
        <v>42.174339000000003</v>
      </c>
      <c r="L1171" s="321"/>
      <c r="M1171" s="399"/>
    </row>
    <row r="1172" spans="2:13">
      <c r="B1172" s="335"/>
      <c r="C1172" s="320"/>
      <c r="D1172" s="299" t="s">
        <v>201</v>
      </c>
      <c r="E1172" s="349">
        <f>E1170-E1171</f>
        <v>0.16900000000000004</v>
      </c>
      <c r="F1172" s="349">
        <f t="shared" ref="F1172:K1172" si="340">F1170-F1171</f>
        <v>0.50199999999999978</v>
      </c>
      <c r="G1172" s="349">
        <f t="shared" si="340"/>
        <v>0.337113</v>
      </c>
      <c r="H1172" s="349">
        <f t="shared" si="340"/>
        <v>0.64708400000000044</v>
      </c>
      <c r="I1172" s="350">
        <f t="shared" si="340"/>
        <v>2.9999999999999472E-4</v>
      </c>
      <c r="J1172" s="350">
        <f t="shared" si="340"/>
        <v>1.0000000000000009E-3</v>
      </c>
      <c r="K1172" s="349">
        <f t="shared" si="340"/>
        <v>5.1951189999999983</v>
      </c>
      <c r="L1172" s="321"/>
      <c r="M1172" s="399"/>
    </row>
    <row r="1173" spans="2:13" ht="17.25" thickBot="1">
      <c r="B1173" s="336"/>
      <c r="C1173" s="323"/>
      <c r="D1173" s="293" t="s">
        <v>202</v>
      </c>
      <c r="E1173" s="352">
        <f>STDEVA(E1138:E1142,E1144:E1148,E1150:E1154,E1156:E1160,E1162:E1166)</f>
        <v>3.6761256779386638E-2</v>
      </c>
      <c r="F1173" s="352">
        <f t="shared" ref="F1173:K1173" si="341">STDEVA(F1138:F1142,F1144:F1148,F1150:F1154,F1156:F1160,F1162:F1166)</f>
        <v>0.21825078846745696</v>
      </c>
      <c r="G1173" s="352">
        <f t="shared" si="341"/>
        <v>0.14591830959573465</v>
      </c>
      <c r="H1173" s="352">
        <f t="shared" si="341"/>
        <v>0.28011983529519424</v>
      </c>
      <c r="I1173" s="353">
        <f t="shared" si="341"/>
        <v>8.7177978870811918E-5</v>
      </c>
      <c r="J1173" s="353">
        <f t="shared" si="341"/>
        <v>3.8957241517677396E-4</v>
      </c>
      <c r="K1173" s="352">
        <f t="shared" si="341"/>
        <v>2.3124237236640521</v>
      </c>
      <c r="L1173" s="324"/>
      <c r="M1173" s="399"/>
    </row>
    <row r="1175" spans="2:13">
      <c r="B1175" s="240" t="s">
        <v>501</v>
      </c>
      <c r="C1175" s="240"/>
      <c r="E1175" s="240"/>
      <c r="F1175" s="240"/>
      <c r="G1175" s="240"/>
      <c r="H1175" s="240"/>
      <c r="I1175" s="240"/>
      <c r="J1175" s="240"/>
      <c r="K1175" s="240"/>
    </row>
    <row r="1176" spans="2:13" ht="17.25" thickBot="1">
      <c r="B1176" s="240" t="s">
        <v>469</v>
      </c>
      <c r="C1176" s="240"/>
      <c r="E1176" s="240"/>
      <c r="F1176" s="240"/>
      <c r="G1176" s="240"/>
      <c r="H1176" s="240"/>
      <c r="I1176" s="240"/>
      <c r="J1176" s="240"/>
      <c r="K1176" s="240"/>
    </row>
    <row r="1177" spans="2:13" ht="17.25" thickBot="1">
      <c r="B1177" s="313" t="s">
        <v>11</v>
      </c>
      <c r="C1177" s="250" t="s">
        <v>0</v>
      </c>
      <c r="D1177" s="250" t="s">
        <v>1</v>
      </c>
      <c r="E1177" s="250" t="s">
        <v>2</v>
      </c>
      <c r="F1177" s="250" t="s">
        <v>3</v>
      </c>
      <c r="G1177" s="250" t="s">
        <v>192</v>
      </c>
      <c r="H1177" s="250" t="s">
        <v>16</v>
      </c>
      <c r="I1177" s="250" t="s">
        <v>6</v>
      </c>
      <c r="J1177" s="251" t="s">
        <v>7</v>
      </c>
      <c r="K1177" s="252" t="s">
        <v>8</v>
      </c>
      <c r="L1177" s="254" t="s">
        <v>470</v>
      </c>
      <c r="M1177" s="404"/>
    </row>
    <row r="1178" spans="2:13">
      <c r="B1178" s="314">
        <v>1</v>
      </c>
      <c r="C1178" s="271" t="s">
        <v>340</v>
      </c>
      <c r="D1178" s="291" t="s">
        <v>213</v>
      </c>
      <c r="E1178" s="307">
        <v>3.927</v>
      </c>
      <c r="F1178" s="307">
        <v>4.3330000000000002</v>
      </c>
      <c r="G1178" s="272">
        <v>3.4663889999999999</v>
      </c>
      <c r="H1178" s="360">
        <v>5.3334599999999996</v>
      </c>
      <c r="I1178" s="273">
        <v>0.13930000000000001</v>
      </c>
      <c r="J1178" s="273">
        <v>0.10050000000000001</v>
      </c>
      <c r="K1178" s="272">
        <v>43.114427999999997</v>
      </c>
      <c r="L1178" s="275"/>
      <c r="M1178" s="397"/>
    </row>
    <row r="1179" spans="2:13">
      <c r="B1179" s="315">
        <v>2</v>
      </c>
      <c r="C1179" s="316"/>
      <c r="D1179" s="299" t="s">
        <v>214</v>
      </c>
      <c r="E1179" s="309">
        <v>3.9289999999999998</v>
      </c>
      <c r="F1179" s="309">
        <v>4.3529999999999998</v>
      </c>
      <c r="G1179" s="317">
        <v>3.4806159999999999</v>
      </c>
      <c r="H1179" s="361">
        <v>5.3637600000000001</v>
      </c>
      <c r="I1179" s="318">
        <v>0.13919999999999999</v>
      </c>
      <c r="J1179" s="318">
        <v>0.1004</v>
      </c>
      <c r="K1179" s="317">
        <v>43.356574000000002</v>
      </c>
      <c r="L1179" s="319"/>
      <c r="M1179" s="398"/>
    </row>
    <row r="1180" spans="2:13">
      <c r="B1180" s="315">
        <v>3</v>
      </c>
      <c r="C1180" s="320"/>
      <c r="D1180" s="299" t="s">
        <v>217</v>
      </c>
      <c r="E1180" s="309">
        <v>3.9319999999999999</v>
      </c>
      <c r="F1180" s="309">
        <v>4.3620000000000001</v>
      </c>
      <c r="G1180" s="317">
        <v>3.4851510000000001</v>
      </c>
      <c r="H1180" s="361">
        <v>5.371594</v>
      </c>
      <c r="I1180" s="318">
        <v>0.13919999999999999</v>
      </c>
      <c r="J1180" s="318">
        <v>0.1004</v>
      </c>
      <c r="K1180" s="317">
        <v>43.446215000000002</v>
      </c>
      <c r="L1180" s="356"/>
      <c r="M1180" s="400"/>
    </row>
    <row r="1181" spans="2:13">
      <c r="B1181" s="315">
        <v>4</v>
      </c>
      <c r="C1181" s="320"/>
      <c r="D1181" s="299" t="s">
        <v>218</v>
      </c>
      <c r="E1181" s="309">
        <v>3.93</v>
      </c>
      <c r="F1181" s="309">
        <v>4.3600000000000003</v>
      </c>
      <c r="G1181" s="317">
        <v>3.4853260000000001</v>
      </c>
      <c r="H1181" s="361">
        <v>5.3747889999999998</v>
      </c>
      <c r="I1181" s="318">
        <v>0.13919999999999999</v>
      </c>
      <c r="J1181" s="318">
        <v>0.1004</v>
      </c>
      <c r="K1181" s="317">
        <v>43.426295000000003</v>
      </c>
      <c r="L1181" s="356"/>
      <c r="M1181" s="400"/>
    </row>
    <row r="1182" spans="2:13" ht="17.25" thickBot="1">
      <c r="B1182" s="322">
        <v>5</v>
      </c>
      <c r="C1182" s="323"/>
      <c r="D1182" s="354" t="s">
        <v>240</v>
      </c>
      <c r="E1182" s="311">
        <v>3.927</v>
      </c>
      <c r="F1182" s="311">
        <v>4.3490000000000002</v>
      </c>
      <c r="G1182" s="278">
        <v>3.4791889999999999</v>
      </c>
      <c r="H1182" s="362">
        <v>5.3640429999999997</v>
      </c>
      <c r="I1182" s="279">
        <v>0.13930000000000001</v>
      </c>
      <c r="J1182" s="279">
        <v>0.1003</v>
      </c>
      <c r="K1182" s="278">
        <v>43.359920000000002</v>
      </c>
      <c r="L1182" s="324"/>
      <c r="M1182" s="399"/>
    </row>
    <row r="1183" spans="2:13" ht="17.25" thickBot="1">
      <c r="B1183" s="325"/>
      <c r="C1183" s="326"/>
      <c r="D1183" s="327" t="s">
        <v>463</v>
      </c>
      <c r="E1183" s="328">
        <f>AVERAGE(E1178:E1182)</f>
        <v>3.9289999999999998</v>
      </c>
      <c r="F1183" s="328">
        <f t="shared" ref="F1183:K1183" si="342">AVERAGE(F1178:F1182)</f>
        <v>4.3513999999999999</v>
      </c>
      <c r="G1183" s="328">
        <f t="shared" si="342"/>
        <v>3.4793341999999994</v>
      </c>
      <c r="H1183" s="328">
        <f t="shared" si="342"/>
        <v>5.3615291999999997</v>
      </c>
      <c r="I1183" s="329">
        <f t="shared" si="342"/>
        <v>0.13923999999999997</v>
      </c>
      <c r="J1183" s="329">
        <f t="shared" si="342"/>
        <v>0.1004</v>
      </c>
      <c r="K1183" s="330">
        <f t="shared" si="342"/>
        <v>43.340686400000003</v>
      </c>
      <c r="L1183" s="331"/>
      <c r="M1183" s="399"/>
    </row>
    <row r="1184" spans="2:13">
      <c r="B1184" s="314">
        <v>6</v>
      </c>
      <c r="C1184" s="271" t="s">
        <v>340</v>
      </c>
      <c r="D1184" s="291" t="s">
        <v>241</v>
      </c>
      <c r="E1184" s="307">
        <v>3.927</v>
      </c>
      <c r="F1184" s="307">
        <v>4.327</v>
      </c>
      <c r="G1184" s="272">
        <v>3.461589</v>
      </c>
      <c r="H1184" s="360">
        <v>5.3310389999999996</v>
      </c>
      <c r="I1184" s="273">
        <v>0.13919999999999999</v>
      </c>
      <c r="J1184" s="273">
        <v>0.10050000000000001</v>
      </c>
      <c r="K1184" s="272">
        <v>43.054726000000002</v>
      </c>
      <c r="L1184" s="332"/>
      <c r="M1184" s="399"/>
    </row>
    <row r="1185" spans="2:13">
      <c r="B1185" s="315">
        <v>7</v>
      </c>
      <c r="C1185" s="320"/>
      <c r="D1185" s="299" t="s">
        <v>242</v>
      </c>
      <c r="E1185" s="309">
        <v>3.9390000000000001</v>
      </c>
      <c r="F1185" s="309">
        <v>4.3529999999999998</v>
      </c>
      <c r="G1185" s="317">
        <v>3.4717799999999999</v>
      </c>
      <c r="H1185" s="361">
        <v>5.3630389999999997</v>
      </c>
      <c r="I1185" s="318">
        <v>0.13919999999999999</v>
      </c>
      <c r="J1185" s="318">
        <v>0.1003</v>
      </c>
      <c r="K1185" s="317">
        <v>43.399800999999997</v>
      </c>
      <c r="L1185" s="321"/>
      <c r="M1185" s="399"/>
    </row>
    <row r="1186" spans="2:13">
      <c r="B1186" s="315">
        <v>8</v>
      </c>
      <c r="C1186" s="320"/>
      <c r="D1186" s="299" t="s">
        <v>222</v>
      </c>
      <c r="E1186" s="309">
        <v>3.94</v>
      </c>
      <c r="F1186" s="309">
        <v>4.3559999999999999</v>
      </c>
      <c r="G1186" s="317">
        <v>3.4732910000000001</v>
      </c>
      <c r="H1186" s="361">
        <v>5.3675930000000003</v>
      </c>
      <c r="I1186" s="318">
        <v>0.1391</v>
      </c>
      <c r="J1186" s="318">
        <v>0.1003</v>
      </c>
      <c r="K1186" s="317">
        <v>43.429710999999998</v>
      </c>
      <c r="L1186" s="321"/>
      <c r="M1186" s="399"/>
    </row>
    <row r="1187" spans="2:13">
      <c r="B1187" s="315">
        <v>9</v>
      </c>
      <c r="C1187" s="320"/>
      <c r="D1187" s="299" t="s">
        <v>223</v>
      </c>
      <c r="E1187" s="309">
        <v>3.9329999999999998</v>
      </c>
      <c r="F1187" s="309">
        <v>4.3620000000000001</v>
      </c>
      <c r="G1187" s="317">
        <v>3.4842650000000002</v>
      </c>
      <c r="H1187" s="361">
        <v>5.3785470000000002</v>
      </c>
      <c r="I1187" s="318">
        <v>0.13919999999999999</v>
      </c>
      <c r="J1187" s="318">
        <v>0.1003</v>
      </c>
      <c r="K1187" s="317">
        <v>43.489530999999999</v>
      </c>
      <c r="L1187" s="321"/>
      <c r="M1187" s="399"/>
    </row>
    <row r="1188" spans="2:13" ht="17.25" thickBot="1">
      <c r="B1188" s="322">
        <v>10</v>
      </c>
      <c r="C1188" s="323"/>
      <c r="D1188" s="293" t="s">
        <v>243</v>
      </c>
      <c r="E1188" s="311">
        <v>3.93</v>
      </c>
      <c r="F1188" s="311">
        <v>4.3529999999999998</v>
      </c>
      <c r="G1188" s="278">
        <v>3.4797310000000001</v>
      </c>
      <c r="H1188" s="362">
        <v>5.3658849999999996</v>
      </c>
      <c r="I1188" s="279">
        <v>0.13919999999999999</v>
      </c>
      <c r="J1188" s="279">
        <v>0.1003</v>
      </c>
      <c r="K1188" s="278">
        <v>43.399800999999997</v>
      </c>
      <c r="L1188" s="324"/>
      <c r="M1188" s="399"/>
    </row>
    <row r="1189" spans="2:13" ht="17.25" thickBot="1">
      <c r="B1189" s="325" t="s">
        <v>464</v>
      </c>
      <c r="C1189" s="326"/>
      <c r="D1189" s="327" t="s">
        <v>463</v>
      </c>
      <c r="E1189" s="328">
        <f t="shared" ref="E1189:K1189" si="343">AVERAGE(E1184:E1188)</f>
        <v>3.9338000000000002</v>
      </c>
      <c r="F1189" s="328">
        <f t="shared" si="343"/>
        <v>4.3501999999999992</v>
      </c>
      <c r="G1189" s="328">
        <f t="shared" si="343"/>
        <v>3.4741312</v>
      </c>
      <c r="H1189" s="328">
        <f t="shared" si="343"/>
        <v>5.3612206000000002</v>
      </c>
      <c r="I1189" s="329">
        <f t="shared" si="343"/>
        <v>0.13918</v>
      </c>
      <c r="J1189" s="329">
        <f t="shared" si="343"/>
        <v>0.10034000000000001</v>
      </c>
      <c r="K1189" s="330">
        <f t="shared" si="343"/>
        <v>43.354713999999994</v>
      </c>
      <c r="L1189" s="331"/>
      <c r="M1189" s="399"/>
    </row>
    <row r="1190" spans="2:13">
      <c r="B1190" s="333">
        <v>11</v>
      </c>
      <c r="C1190" s="334" t="s">
        <v>340</v>
      </c>
      <c r="D1190" s="291" t="s">
        <v>244</v>
      </c>
      <c r="E1190" s="307">
        <v>3.9279999999999999</v>
      </c>
      <c r="F1190" s="307">
        <v>4.3250000000000002</v>
      </c>
      <c r="G1190" s="272">
        <v>3.4591080000000001</v>
      </c>
      <c r="H1190" s="307">
        <v>5.3228359999999997</v>
      </c>
      <c r="I1190" s="273">
        <v>0.1391</v>
      </c>
      <c r="J1190" s="273">
        <v>0.10050000000000001</v>
      </c>
      <c r="K1190" s="272">
        <v>43.034826000000002</v>
      </c>
      <c r="L1190" s="332"/>
      <c r="M1190" s="399"/>
    </row>
    <row r="1191" spans="2:13">
      <c r="B1191" s="335">
        <v>12</v>
      </c>
      <c r="C1191" s="320"/>
      <c r="D1191" s="299" t="s">
        <v>245</v>
      </c>
      <c r="E1191" s="309">
        <v>3.9340000000000002</v>
      </c>
      <c r="F1191" s="309">
        <v>4.3579999999999997</v>
      </c>
      <c r="G1191" s="317">
        <v>3.4801850000000001</v>
      </c>
      <c r="H1191" s="309">
        <v>5.361497</v>
      </c>
      <c r="I1191" s="318">
        <v>0.13919999999999999</v>
      </c>
      <c r="J1191" s="318">
        <v>0.1004</v>
      </c>
      <c r="K1191" s="317">
        <v>43.406374999999997</v>
      </c>
      <c r="L1191" s="321"/>
      <c r="M1191" s="399"/>
    </row>
    <row r="1192" spans="2:13">
      <c r="B1192" s="335">
        <v>13</v>
      </c>
      <c r="C1192" s="320"/>
      <c r="D1192" s="299" t="s">
        <v>227</v>
      </c>
      <c r="E1192" s="309">
        <v>3.9390000000000001</v>
      </c>
      <c r="F1192" s="309">
        <v>4.3600000000000003</v>
      </c>
      <c r="G1192" s="317">
        <v>3.477363</v>
      </c>
      <c r="H1192" s="309">
        <v>5.3724689999999997</v>
      </c>
      <c r="I1192" s="318">
        <v>0.13919999999999999</v>
      </c>
      <c r="J1192" s="318">
        <v>0.1004</v>
      </c>
      <c r="K1192" s="317">
        <v>43.426295000000003</v>
      </c>
      <c r="L1192" s="321"/>
      <c r="M1192" s="399"/>
    </row>
    <row r="1193" spans="2:13">
      <c r="B1193" s="335">
        <v>14</v>
      </c>
      <c r="C1193" s="320"/>
      <c r="D1193" s="299" t="s">
        <v>228</v>
      </c>
      <c r="E1193" s="309">
        <v>3.9390000000000001</v>
      </c>
      <c r="F1193" s="309">
        <v>4.3630000000000004</v>
      </c>
      <c r="G1193" s="317">
        <v>3.4797560000000001</v>
      </c>
      <c r="H1193" s="309">
        <v>5.3935110000000002</v>
      </c>
      <c r="I1193" s="318">
        <v>0.1391</v>
      </c>
      <c r="J1193" s="318">
        <v>0.1003</v>
      </c>
      <c r="K1193" s="317">
        <v>43.499501000000002</v>
      </c>
      <c r="L1193" s="321"/>
      <c r="M1193" s="399"/>
    </row>
    <row r="1194" spans="2:13" ht="17.25" thickBot="1">
      <c r="B1194" s="336">
        <v>15</v>
      </c>
      <c r="C1194" s="323"/>
      <c r="D1194" s="293" t="s">
        <v>246</v>
      </c>
      <c r="E1194" s="311">
        <v>3.9319999999999999</v>
      </c>
      <c r="F1194" s="311">
        <v>4.3630000000000004</v>
      </c>
      <c r="G1194" s="278">
        <v>3.4859499999999999</v>
      </c>
      <c r="H1194" s="311">
        <v>5.381081</v>
      </c>
      <c r="I1194" s="279">
        <v>0.13919999999999999</v>
      </c>
      <c r="J1194" s="279">
        <v>0.1003</v>
      </c>
      <c r="K1194" s="278">
        <v>43.499501000000002</v>
      </c>
      <c r="L1194" s="324"/>
      <c r="M1194" s="399"/>
    </row>
    <row r="1195" spans="2:13" ht="17.25" thickBot="1">
      <c r="B1195" s="337"/>
      <c r="C1195" s="326"/>
      <c r="D1195" s="327" t="s">
        <v>463</v>
      </c>
      <c r="E1195" s="328">
        <f>AVERAGE(E1190:E1194)</f>
        <v>3.9344000000000001</v>
      </c>
      <c r="F1195" s="328">
        <f t="shared" ref="F1195:K1195" si="344">AVERAGE(F1190:F1194)</f>
        <v>4.3537999999999997</v>
      </c>
      <c r="G1195" s="328">
        <f t="shared" si="344"/>
        <v>3.4764724</v>
      </c>
      <c r="H1195" s="328">
        <f t="shared" si="344"/>
        <v>5.366278799999999</v>
      </c>
      <c r="I1195" s="329">
        <f t="shared" si="344"/>
        <v>0.13916000000000001</v>
      </c>
      <c r="J1195" s="329">
        <f t="shared" si="344"/>
        <v>0.10038</v>
      </c>
      <c r="K1195" s="330">
        <f t="shared" si="344"/>
        <v>43.37329960000001</v>
      </c>
      <c r="L1195" s="331"/>
      <c r="M1195" s="399"/>
    </row>
    <row r="1196" spans="2:13">
      <c r="B1196" s="333">
        <v>16</v>
      </c>
      <c r="C1196" s="271" t="s">
        <v>296</v>
      </c>
      <c r="D1196" s="291" t="s">
        <v>247</v>
      </c>
      <c r="E1196" s="307">
        <v>3.9129999999999998</v>
      </c>
      <c r="F1196" s="307">
        <v>4.157</v>
      </c>
      <c r="G1196" s="272">
        <v>3.337488</v>
      </c>
      <c r="H1196" s="307">
        <v>5.1196089999999996</v>
      </c>
      <c r="I1196" s="273">
        <v>0.13900000000000001</v>
      </c>
      <c r="J1196" s="273">
        <v>0.1008</v>
      </c>
      <c r="K1196" s="272">
        <v>41.240079000000001</v>
      </c>
      <c r="L1196" s="359"/>
      <c r="M1196" s="401"/>
    </row>
    <row r="1197" spans="2:13">
      <c r="B1197" s="335">
        <v>17</v>
      </c>
      <c r="C1197" s="320"/>
      <c r="D1197" s="299" t="s">
        <v>248</v>
      </c>
      <c r="E1197" s="309">
        <v>3.919</v>
      </c>
      <c r="F1197" s="309">
        <v>4.1950000000000003</v>
      </c>
      <c r="G1197" s="317">
        <v>3.3628399999999998</v>
      </c>
      <c r="H1197" s="309">
        <v>5.1570600000000004</v>
      </c>
      <c r="I1197" s="318">
        <v>0.1389</v>
      </c>
      <c r="J1197" s="318">
        <v>0.1008</v>
      </c>
      <c r="K1197" s="317">
        <v>41.617063000000002</v>
      </c>
      <c r="L1197" s="321"/>
      <c r="M1197" s="399"/>
    </row>
    <row r="1198" spans="2:13">
      <c r="B1198" s="335">
        <v>18</v>
      </c>
      <c r="C1198" s="320"/>
      <c r="D1198" s="299" t="s">
        <v>232</v>
      </c>
      <c r="E1198" s="309">
        <v>3.9239999999999999</v>
      </c>
      <c r="F1198" s="309">
        <v>4.2119999999999997</v>
      </c>
      <c r="G1198" s="317">
        <v>3.3721649999999999</v>
      </c>
      <c r="H1198" s="309">
        <v>5.1802820000000001</v>
      </c>
      <c r="I1198" s="318">
        <v>0.1389</v>
      </c>
      <c r="J1198" s="318">
        <v>0.1008</v>
      </c>
      <c r="K1198" s="317">
        <v>41.785713999999999</v>
      </c>
      <c r="L1198" s="321"/>
      <c r="M1198" s="399"/>
    </row>
    <row r="1199" spans="2:13">
      <c r="B1199" s="335">
        <v>19</v>
      </c>
      <c r="C1199" s="320"/>
      <c r="D1199" s="299" t="s">
        <v>233</v>
      </c>
      <c r="E1199" s="309">
        <v>3.9209999999999998</v>
      </c>
      <c r="F1199" s="309">
        <v>4.2140000000000004</v>
      </c>
      <c r="G1199" s="317">
        <v>3.3763480000000001</v>
      </c>
      <c r="H1199" s="309">
        <v>5.1883249999999999</v>
      </c>
      <c r="I1199" s="318">
        <v>0.1389</v>
      </c>
      <c r="J1199" s="318">
        <v>0.1007</v>
      </c>
      <c r="K1199" s="317">
        <v>41.847071</v>
      </c>
      <c r="L1199" s="321"/>
      <c r="M1199" s="399"/>
    </row>
    <row r="1200" spans="2:13" ht="17.25" thickBot="1">
      <c r="B1200" s="336">
        <v>20</v>
      </c>
      <c r="C1200" s="323"/>
      <c r="D1200" s="293" t="s">
        <v>249</v>
      </c>
      <c r="E1200" s="311">
        <v>3.919</v>
      </c>
      <c r="F1200" s="311">
        <v>4.2149999999999999</v>
      </c>
      <c r="G1200" s="278">
        <v>3.378873</v>
      </c>
      <c r="H1200" s="311">
        <v>5.1902290000000004</v>
      </c>
      <c r="I1200" s="279">
        <v>0.13880000000000001</v>
      </c>
      <c r="J1200" s="279">
        <v>0.10059999999999999</v>
      </c>
      <c r="K1200" s="278">
        <v>41.898608000000003</v>
      </c>
      <c r="L1200" s="324"/>
      <c r="M1200" s="399"/>
    </row>
    <row r="1201" spans="2:13" ht="17.25" thickBot="1">
      <c r="B1201" s="337"/>
      <c r="C1201" s="326"/>
      <c r="D1201" s="327" t="s">
        <v>463</v>
      </c>
      <c r="E1201" s="328">
        <f>AVERAGE(E1196:E1200)</f>
        <v>3.9192</v>
      </c>
      <c r="F1201" s="328">
        <f t="shared" ref="F1201:K1201" si="345">AVERAGE(F1196:F1200)</f>
        <v>4.1985999999999999</v>
      </c>
      <c r="G1201" s="328">
        <f t="shared" si="345"/>
        <v>3.3655428000000001</v>
      </c>
      <c r="H1201" s="328">
        <f t="shared" si="345"/>
        <v>5.1671009999999997</v>
      </c>
      <c r="I1201" s="329">
        <f t="shared" si="345"/>
        <v>0.13890000000000002</v>
      </c>
      <c r="J1201" s="329">
        <f t="shared" si="345"/>
        <v>0.10074000000000001</v>
      </c>
      <c r="K1201" s="328">
        <f t="shared" si="345"/>
        <v>41.677707000000005</v>
      </c>
      <c r="L1201" s="331"/>
      <c r="M1201" s="399"/>
    </row>
    <row r="1202" spans="2:13">
      <c r="B1202" s="333">
        <v>21</v>
      </c>
      <c r="C1202" s="271" t="s">
        <v>296</v>
      </c>
      <c r="D1202" s="291" t="s">
        <v>250</v>
      </c>
      <c r="E1202" s="307">
        <v>3.911</v>
      </c>
      <c r="F1202" s="307">
        <v>4.1399999999999997</v>
      </c>
      <c r="G1202" s="272">
        <v>3.325539</v>
      </c>
      <c r="H1202" s="307">
        <v>5.0860839999999996</v>
      </c>
      <c r="I1202" s="273">
        <v>0.13900000000000001</v>
      </c>
      <c r="J1202" s="273">
        <v>0.1008</v>
      </c>
      <c r="K1202" s="272">
        <v>41.071429000000002</v>
      </c>
      <c r="L1202" s="332"/>
      <c r="M1202" s="399"/>
    </row>
    <row r="1203" spans="2:13">
      <c r="B1203" s="335">
        <v>22</v>
      </c>
      <c r="C1203" s="320"/>
      <c r="D1203" s="299" t="s">
        <v>251</v>
      </c>
      <c r="E1203" s="309">
        <v>3.9159999999999999</v>
      </c>
      <c r="F1203" s="309">
        <v>4.1909999999999998</v>
      </c>
      <c r="G1203" s="317">
        <v>3.3622070000000002</v>
      </c>
      <c r="H1203" s="309">
        <v>5.1570939999999998</v>
      </c>
      <c r="I1203" s="318">
        <v>0.1389</v>
      </c>
      <c r="J1203" s="318">
        <v>0.1008</v>
      </c>
      <c r="K1203" s="317">
        <v>41.577381000000003</v>
      </c>
      <c r="L1203" s="321"/>
      <c r="M1203" s="399"/>
    </row>
    <row r="1204" spans="2:13">
      <c r="B1204" s="335">
        <v>23</v>
      </c>
      <c r="C1204" s="320"/>
      <c r="D1204" s="299" t="s">
        <v>237</v>
      </c>
      <c r="E1204" s="309">
        <v>3.9180000000000001</v>
      </c>
      <c r="F1204" s="309">
        <v>4.2089999999999996</v>
      </c>
      <c r="G1204" s="317">
        <v>3.374924</v>
      </c>
      <c r="H1204" s="309">
        <v>5.1859460000000004</v>
      </c>
      <c r="I1204" s="318">
        <v>0.1389</v>
      </c>
      <c r="J1204" s="318">
        <v>0.1008</v>
      </c>
      <c r="K1204" s="317">
        <v>41.755952000000001</v>
      </c>
      <c r="L1204" s="321"/>
      <c r="M1204" s="399"/>
    </row>
    <row r="1205" spans="2:13">
      <c r="B1205" s="335">
        <v>24</v>
      </c>
      <c r="C1205" s="320"/>
      <c r="D1205" s="299" t="s">
        <v>238</v>
      </c>
      <c r="E1205" s="309">
        <v>3.92</v>
      </c>
      <c r="F1205" s="309">
        <v>4.2300000000000004</v>
      </c>
      <c r="G1205" s="317">
        <v>3.3900320000000002</v>
      </c>
      <c r="H1205" s="309">
        <v>5.2118370000000001</v>
      </c>
      <c r="I1205" s="318">
        <v>0.1389</v>
      </c>
      <c r="J1205" s="318">
        <v>0.1007</v>
      </c>
      <c r="K1205" s="317">
        <v>42.005958</v>
      </c>
      <c r="L1205" s="321"/>
      <c r="M1205" s="399"/>
    </row>
    <row r="1206" spans="2:13" ht="17.25" thickBot="1">
      <c r="B1206" s="336">
        <v>25</v>
      </c>
      <c r="C1206" s="323"/>
      <c r="D1206" s="293" t="s">
        <v>252</v>
      </c>
      <c r="E1206" s="311">
        <v>3.9180000000000001</v>
      </c>
      <c r="F1206" s="311">
        <v>4.242</v>
      </c>
      <c r="G1206" s="278">
        <v>3.4013849999999999</v>
      </c>
      <c r="H1206" s="311">
        <v>5.2216930000000001</v>
      </c>
      <c r="I1206" s="279">
        <v>0.1389</v>
      </c>
      <c r="J1206" s="279">
        <v>0.10059999999999999</v>
      </c>
      <c r="K1206" s="278">
        <v>42.166998</v>
      </c>
      <c r="L1206" s="324"/>
      <c r="M1206" s="399"/>
    </row>
    <row r="1207" spans="2:13" ht="17.25" thickBot="1">
      <c r="B1207" s="339" t="s">
        <v>464</v>
      </c>
      <c r="C1207" s="340"/>
      <c r="D1207" s="341" t="s">
        <v>465</v>
      </c>
      <c r="E1207" s="342">
        <f>AVERAGE(E1202:E1206)</f>
        <v>3.9166000000000003</v>
      </c>
      <c r="F1207" s="342">
        <f t="shared" ref="F1207:K1207" si="346">AVERAGE(F1202:F1206)</f>
        <v>4.2023999999999999</v>
      </c>
      <c r="G1207" s="342">
        <f t="shared" si="346"/>
        <v>3.3708174</v>
      </c>
      <c r="H1207" s="342">
        <f t="shared" si="346"/>
        <v>5.1725307999999997</v>
      </c>
      <c r="I1207" s="343">
        <f t="shared" si="346"/>
        <v>0.13892000000000002</v>
      </c>
      <c r="J1207" s="343">
        <f t="shared" si="346"/>
        <v>0.10074000000000001</v>
      </c>
      <c r="K1207" s="342">
        <f t="shared" si="346"/>
        <v>41.715543600000004</v>
      </c>
      <c r="L1207" s="344"/>
      <c r="M1207" s="399"/>
    </row>
    <row r="1208" spans="2:13">
      <c r="B1208" s="333"/>
      <c r="C1208" s="345"/>
      <c r="D1208" s="291" t="s">
        <v>466</v>
      </c>
      <c r="E1208" s="346">
        <f>MEDIAN(E1178:E1182,E1184:E1188,E1190:E1194,E1196:E1200,E1202:E1206)</f>
        <v>3.927</v>
      </c>
      <c r="F1208" s="346">
        <f t="shared" ref="F1208:K1208" si="347">MEDIAN(F1178:F1182,F1184:F1188,F1190:F1194,F1196:F1200,F1202:F1206)</f>
        <v>4.3330000000000002</v>
      </c>
      <c r="G1208" s="346">
        <f t="shared" si="347"/>
        <v>3.4663889999999999</v>
      </c>
      <c r="H1208" s="346">
        <f t="shared" si="347"/>
        <v>5.3334599999999996</v>
      </c>
      <c r="I1208" s="347">
        <f t="shared" si="347"/>
        <v>0.1391</v>
      </c>
      <c r="J1208" s="347">
        <f t="shared" si="347"/>
        <v>0.10050000000000001</v>
      </c>
      <c r="K1208" s="348">
        <f t="shared" si="347"/>
        <v>43.114427999999997</v>
      </c>
      <c r="L1208" s="332"/>
      <c r="M1208" s="399"/>
    </row>
    <row r="1209" spans="2:13">
      <c r="B1209" s="335"/>
      <c r="C1209" s="320"/>
      <c r="D1209" s="299" t="s">
        <v>467</v>
      </c>
      <c r="E1209" s="349">
        <f>AVERAGE(E1178:E1182,E1184:E1188,E1190:E1194,E1196:E1200,E1202:E1206)</f>
        <v>3.926600000000001</v>
      </c>
      <c r="F1209" s="349">
        <f t="shared" ref="F1209:K1209" si="348">AVERAGE(F1178:F1182,F1184:F1188,F1190:F1194,F1196:F1200,F1202:F1206)</f>
        <v>4.2912800000000013</v>
      </c>
      <c r="G1209" s="349">
        <f t="shared" si="348"/>
        <v>3.4332596000000009</v>
      </c>
      <c r="H1209" s="349">
        <f t="shared" si="348"/>
        <v>5.2857320799999998</v>
      </c>
      <c r="I1209" s="350">
        <f t="shared" si="348"/>
        <v>0.13907999999999998</v>
      </c>
      <c r="J1209" s="350">
        <f t="shared" si="348"/>
        <v>0.10052000000000001</v>
      </c>
      <c r="K1209" s="351">
        <f t="shared" si="348"/>
        <v>42.692390119999992</v>
      </c>
      <c r="L1209" s="321"/>
      <c r="M1209" s="399"/>
    </row>
    <row r="1210" spans="2:13">
      <c r="B1210" s="335"/>
      <c r="C1210" s="320"/>
      <c r="D1210" s="299" t="s">
        <v>199</v>
      </c>
      <c r="E1210" s="349">
        <f>MAX(E1178:E1182,E1184:E1188,E1190:E1194,E1196:E1200,E1202:E1206)</f>
        <v>3.94</v>
      </c>
      <c r="F1210" s="349">
        <f t="shared" ref="F1210:K1210" si="349">MAX(F1178:F1182,F1184:F1188,F1190:F1194,F1196:F1200,F1202:F1206)</f>
        <v>4.3630000000000004</v>
      </c>
      <c r="G1210" s="349">
        <f t="shared" si="349"/>
        <v>3.4859499999999999</v>
      </c>
      <c r="H1210" s="349">
        <f t="shared" si="349"/>
        <v>5.3935110000000002</v>
      </c>
      <c r="I1210" s="350">
        <f t="shared" si="349"/>
        <v>0.13930000000000001</v>
      </c>
      <c r="J1210" s="350">
        <f t="shared" si="349"/>
        <v>0.1008</v>
      </c>
      <c r="K1210" s="351">
        <f t="shared" si="349"/>
        <v>43.499501000000002</v>
      </c>
      <c r="L1210" s="321"/>
      <c r="M1210" s="399"/>
    </row>
    <row r="1211" spans="2:13">
      <c r="B1211" s="335"/>
      <c r="C1211" s="320"/>
      <c r="D1211" s="299" t="s">
        <v>200</v>
      </c>
      <c r="E1211" s="349">
        <f>MIN(E1178:E1182,E1184:E1188,E1190:E1194,E1196:E1200,E1202:E1206)</f>
        <v>3.911</v>
      </c>
      <c r="F1211" s="349">
        <f t="shared" ref="F1211:K1211" si="350">MIN(F1178:F1182,F1184:F1188,F1190:F1194,F1196:F1200,F1202:F1206)</f>
        <v>4.1399999999999997</v>
      </c>
      <c r="G1211" s="349">
        <f t="shared" si="350"/>
        <v>3.325539</v>
      </c>
      <c r="H1211" s="349">
        <f t="shared" si="350"/>
        <v>5.0860839999999996</v>
      </c>
      <c r="I1211" s="350">
        <f t="shared" si="350"/>
        <v>0.13880000000000001</v>
      </c>
      <c r="J1211" s="350">
        <f t="shared" si="350"/>
        <v>0.1003</v>
      </c>
      <c r="K1211" s="351">
        <f t="shared" si="350"/>
        <v>41.071429000000002</v>
      </c>
      <c r="L1211" s="321"/>
      <c r="M1211" s="399"/>
    </row>
    <row r="1212" spans="2:13">
      <c r="B1212" s="335"/>
      <c r="C1212" s="320"/>
      <c r="D1212" s="299" t="s">
        <v>201</v>
      </c>
      <c r="E1212" s="349">
        <f>E1210-E1211</f>
        <v>2.8999999999999915E-2</v>
      </c>
      <c r="F1212" s="349">
        <f t="shared" ref="F1212:K1212" si="351">F1210-F1211</f>
        <v>0.22300000000000075</v>
      </c>
      <c r="G1212" s="349">
        <f t="shared" si="351"/>
        <v>0.16041099999999986</v>
      </c>
      <c r="H1212" s="349">
        <f t="shared" si="351"/>
        <v>0.30742700000000056</v>
      </c>
      <c r="I1212" s="350">
        <f t="shared" si="351"/>
        <v>5.0000000000000044E-4</v>
      </c>
      <c r="J1212" s="350">
        <f t="shared" si="351"/>
        <v>5.0000000000000044E-4</v>
      </c>
      <c r="K1212" s="349">
        <f t="shared" si="351"/>
        <v>2.4280720000000002</v>
      </c>
      <c r="L1212" s="321"/>
      <c r="M1212" s="399"/>
    </row>
    <row r="1213" spans="2:13" ht="17.25" thickBot="1">
      <c r="B1213" s="336"/>
      <c r="C1213" s="323"/>
      <c r="D1213" s="293" t="s">
        <v>202</v>
      </c>
      <c r="E1213" s="352">
        <f>STDEVA(E1178:E1182,E1184:E1188,E1190:E1194,E1196:E1200,E1202:E1206)</f>
        <v>8.4459063062132991E-3</v>
      </c>
      <c r="F1213" s="352">
        <f t="shared" ref="F1213:K1213" si="352">STDEVA(F1178:F1182,F1184:F1188,F1190:F1194,F1196:F1200,F1202:F1206)</f>
        <v>7.8676828439721333E-2</v>
      </c>
      <c r="G1213" s="352">
        <f t="shared" si="352"/>
        <v>5.6368264435022901E-2</v>
      </c>
      <c r="H1213" s="352">
        <f t="shared" si="352"/>
        <v>0.10098012804669371</v>
      </c>
      <c r="I1213" s="353">
        <f t="shared" si="352"/>
        <v>1.5275252316519284E-4</v>
      </c>
      <c r="J1213" s="353">
        <f t="shared" si="352"/>
        <v>1.9999999999999939E-4</v>
      </c>
      <c r="K1213" s="352">
        <f t="shared" si="352"/>
        <v>0.86310021668842674</v>
      </c>
      <c r="L1213" s="324"/>
      <c r="M1213" s="399"/>
    </row>
    <row r="1215" spans="2:13">
      <c r="B1215" s="240" t="s">
        <v>502</v>
      </c>
      <c r="C1215" s="240"/>
      <c r="E1215" s="240"/>
      <c r="F1215" s="240"/>
      <c r="G1215" s="240"/>
      <c r="H1215" s="240"/>
      <c r="I1215" s="240"/>
      <c r="J1215" s="240"/>
      <c r="K1215" s="240"/>
    </row>
    <row r="1216" spans="2:13" ht="17.25" thickBot="1">
      <c r="B1216" s="240" t="s">
        <v>469</v>
      </c>
      <c r="C1216" s="240"/>
      <c r="E1216" s="240"/>
      <c r="F1216" s="240"/>
      <c r="G1216" s="240"/>
      <c r="H1216" s="240"/>
      <c r="I1216" s="240"/>
      <c r="J1216" s="240"/>
      <c r="K1216" s="240"/>
    </row>
    <row r="1217" spans="2:13" ht="17.25" thickBot="1">
      <c r="B1217" s="313" t="s">
        <v>11</v>
      </c>
      <c r="C1217" s="250" t="s">
        <v>0</v>
      </c>
      <c r="D1217" s="250" t="s">
        <v>1</v>
      </c>
      <c r="E1217" s="250" t="s">
        <v>2</v>
      </c>
      <c r="F1217" s="250" t="s">
        <v>3</v>
      </c>
      <c r="G1217" s="250" t="s">
        <v>192</v>
      </c>
      <c r="H1217" s="250" t="s">
        <v>16</v>
      </c>
      <c r="I1217" s="250" t="s">
        <v>6</v>
      </c>
      <c r="J1217" s="251" t="s">
        <v>7</v>
      </c>
      <c r="K1217" s="252" t="s">
        <v>8</v>
      </c>
      <c r="L1217" s="254" t="s">
        <v>470</v>
      </c>
      <c r="M1217" s="404"/>
    </row>
    <row r="1218" spans="2:13">
      <c r="B1218" s="314">
        <v>1</v>
      </c>
      <c r="C1218" s="271" t="s">
        <v>343</v>
      </c>
      <c r="D1218" s="291" t="s">
        <v>213</v>
      </c>
      <c r="E1218" s="307">
        <v>3.839</v>
      </c>
      <c r="F1218" s="307">
        <v>4.9249999999999998</v>
      </c>
      <c r="G1218" s="272">
        <v>4.0303019999999998</v>
      </c>
      <c r="H1218" s="360">
        <v>6.1329269999999996</v>
      </c>
      <c r="I1218" s="273">
        <v>0.1391</v>
      </c>
      <c r="J1218" s="273">
        <v>9.9099999999999994E-2</v>
      </c>
      <c r="K1218" s="272">
        <v>49.697274999999998</v>
      </c>
      <c r="L1218" s="275"/>
      <c r="M1218" s="397"/>
    </row>
    <row r="1219" spans="2:13">
      <c r="B1219" s="315">
        <v>2</v>
      </c>
      <c r="C1219" s="316"/>
      <c r="D1219" s="299" t="s">
        <v>214</v>
      </c>
      <c r="E1219" s="309">
        <v>3.8460000000000001</v>
      </c>
      <c r="F1219" s="309">
        <v>4.9480000000000004</v>
      </c>
      <c r="G1219" s="317">
        <v>4.0417540000000001</v>
      </c>
      <c r="H1219" s="361">
        <v>6.1603810000000001</v>
      </c>
      <c r="I1219" s="318">
        <v>0.13900000000000001</v>
      </c>
      <c r="J1219" s="318">
        <v>9.9099999999999994E-2</v>
      </c>
      <c r="K1219" s="317">
        <v>49.929364</v>
      </c>
      <c r="L1219" s="319"/>
      <c r="M1219" s="398"/>
    </row>
    <row r="1220" spans="2:13">
      <c r="B1220" s="315">
        <v>3</v>
      </c>
      <c r="C1220" s="320"/>
      <c r="D1220" s="299" t="s">
        <v>217</v>
      </c>
      <c r="E1220" s="309">
        <v>3.8519999999999999</v>
      </c>
      <c r="F1220" s="309">
        <v>4.9669999999999996</v>
      </c>
      <c r="G1220" s="317">
        <v>4.0509550000000001</v>
      </c>
      <c r="H1220" s="361">
        <v>6.1769499999999997</v>
      </c>
      <c r="I1220" s="318">
        <v>0.13900000000000001</v>
      </c>
      <c r="J1220" s="318">
        <v>9.9099999999999994E-2</v>
      </c>
      <c r="K1220" s="317">
        <v>50.121090000000002</v>
      </c>
      <c r="L1220" s="356"/>
      <c r="M1220" s="400"/>
    </row>
    <row r="1221" spans="2:13">
      <c r="B1221" s="315">
        <v>4</v>
      </c>
      <c r="C1221" s="320"/>
      <c r="D1221" s="299" t="s">
        <v>218</v>
      </c>
      <c r="E1221" s="309">
        <v>3.8540000000000001</v>
      </c>
      <c r="F1221" s="309">
        <v>4.9740000000000002</v>
      </c>
      <c r="G1221" s="317">
        <v>4.0545590000000002</v>
      </c>
      <c r="H1221" s="361">
        <v>6.1930930000000002</v>
      </c>
      <c r="I1221" s="318">
        <v>0.13900000000000001</v>
      </c>
      <c r="J1221" s="318">
        <v>9.9000000000000005E-2</v>
      </c>
      <c r="K1221" s="317">
        <v>50.242424</v>
      </c>
      <c r="L1221" s="356"/>
      <c r="M1221" s="400"/>
    </row>
    <row r="1222" spans="2:13" ht="17.25" thickBot="1">
      <c r="B1222" s="322">
        <v>5</v>
      </c>
      <c r="C1222" s="323"/>
      <c r="D1222" s="354" t="s">
        <v>240</v>
      </c>
      <c r="E1222" s="311">
        <v>3.8540000000000001</v>
      </c>
      <c r="F1222" s="311">
        <v>4.9580000000000002</v>
      </c>
      <c r="G1222" s="278">
        <v>4.0415159999999997</v>
      </c>
      <c r="H1222" s="362">
        <v>6.1797040000000001</v>
      </c>
      <c r="I1222" s="279">
        <v>0.13900000000000001</v>
      </c>
      <c r="J1222" s="279">
        <v>9.8799999999999999E-2</v>
      </c>
      <c r="K1222" s="278">
        <v>50.182186000000002</v>
      </c>
      <c r="L1222" s="324"/>
      <c r="M1222" s="399"/>
    </row>
    <row r="1223" spans="2:13" ht="17.25" thickBot="1">
      <c r="B1223" s="325"/>
      <c r="C1223" s="326"/>
      <c r="D1223" s="327" t="s">
        <v>463</v>
      </c>
      <c r="E1223" s="328">
        <f>AVERAGE(E1218:E1222)</f>
        <v>3.8490000000000002</v>
      </c>
      <c r="F1223" s="328">
        <f t="shared" ref="F1223:K1223" si="353">AVERAGE(F1218:F1222)</f>
        <v>4.9543999999999997</v>
      </c>
      <c r="G1223" s="328">
        <f t="shared" si="353"/>
        <v>4.0438171999999994</v>
      </c>
      <c r="H1223" s="328">
        <f t="shared" si="353"/>
        <v>6.1686110000000003</v>
      </c>
      <c r="I1223" s="329">
        <f t="shared" si="353"/>
        <v>0.13902</v>
      </c>
      <c r="J1223" s="329">
        <f t="shared" si="353"/>
        <v>9.9019999999999997E-2</v>
      </c>
      <c r="K1223" s="330">
        <f t="shared" si="353"/>
        <v>50.034467800000002</v>
      </c>
      <c r="L1223" s="331"/>
      <c r="M1223" s="399"/>
    </row>
    <row r="1224" spans="2:13">
      <c r="B1224" s="314">
        <v>6</v>
      </c>
      <c r="C1224" s="271" t="s">
        <v>343</v>
      </c>
      <c r="D1224" s="291" t="s">
        <v>241</v>
      </c>
      <c r="E1224" s="307">
        <v>3.839</v>
      </c>
      <c r="F1224" s="307">
        <v>4.944</v>
      </c>
      <c r="G1224" s="272">
        <v>4.0458509999999999</v>
      </c>
      <c r="H1224" s="360">
        <v>6.1492459999999998</v>
      </c>
      <c r="I1224" s="273">
        <v>0.1391</v>
      </c>
      <c r="J1224" s="273">
        <v>9.9099999999999994E-2</v>
      </c>
      <c r="K1224" s="272">
        <v>49.889001</v>
      </c>
      <c r="L1224" s="332"/>
      <c r="M1224" s="399"/>
    </row>
    <row r="1225" spans="2:13">
      <c r="B1225" s="315">
        <v>7</v>
      </c>
      <c r="C1225" s="320"/>
      <c r="D1225" s="299" t="s">
        <v>242</v>
      </c>
      <c r="E1225" s="309">
        <v>3.847</v>
      </c>
      <c r="F1225" s="309">
        <v>4.976</v>
      </c>
      <c r="G1225" s="317">
        <v>4.0635690000000002</v>
      </c>
      <c r="H1225" s="361">
        <v>6.1861319999999997</v>
      </c>
      <c r="I1225" s="318">
        <v>0.13900000000000001</v>
      </c>
      <c r="J1225" s="318">
        <v>9.9099999999999994E-2</v>
      </c>
      <c r="K1225" s="317">
        <v>50.211906999999997</v>
      </c>
      <c r="L1225" s="321"/>
      <c r="M1225" s="399"/>
    </row>
    <row r="1226" spans="2:13">
      <c r="B1226" s="315">
        <v>8</v>
      </c>
      <c r="C1226" s="320"/>
      <c r="D1226" s="299" t="s">
        <v>222</v>
      </c>
      <c r="E1226" s="309">
        <v>3.8519999999999999</v>
      </c>
      <c r="F1226" s="309">
        <v>4.992</v>
      </c>
      <c r="G1226" s="317">
        <v>4.0713439999999999</v>
      </c>
      <c r="H1226" s="361">
        <v>6.2126029999999997</v>
      </c>
      <c r="I1226" s="318">
        <v>0.1389</v>
      </c>
      <c r="J1226" s="318">
        <v>9.9199999999999997E-2</v>
      </c>
      <c r="K1226" s="317">
        <v>50.322581</v>
      </c>
      <c r="L1226" s="321"/>
      <c r="M1226" s="399"/>
    </row>
    <row r="1227" spans="2:13">
      <c r="B1227" s="315">
        <v>9</v>
      </c>
      <c r="C1227" s="320"/>
      <c r="D1227" s="299" t="s">
        <v>223</v>
      </c>
      <c r="E1227" s="309">
        <v>3.855</v>
      </c>
      <c r="F1227" s="309">
        <v>4.9850000000000003</v>
      </c>
      <c r="G1227" s="317">
        <v>4.0624710000000004</v>
      </c>
      <c r="H1227" s="361">
        <v>6.2129899999999996</v>
      </c>
      <c r="I1227" s="318">
        <v>0.1389</v>
      </c>
      <c r="J1227" s="318">
        <v>9.9000000000000005E-2</v>
      </c>
      <c r="K1227" s="317">
        <v>50.353535000000001</v>
      </c>
      <c r="L1227" s="321"/>
      <c r="M1227" s="399"/>
    </row>
    <row r="1228" spans="2:13" ht="17.25" thickBot="1">
      <c r="B1228" s="322">
        <v>10</v>
      </c>
      <c r="C1228" s="323"/>
      <c r="D1228" s="293" t="s">
        <v>243</v>
      </c>
      <c r="E1228" s="311">
        <v>3.855</v>
      </c>
      <c r="F1228" s="311">
        <v>4.9790000000000001</v>
      </c>
      <c r="G1228" s="278">
        <v>4.0575809999999999</v>
      </c>
      <c r="H1228" s="362">
        <v>6.204434</v>
      </c>
      <c r="I1228" s="279">
        <v>0.1389</v>
      </c>
      <c r="J1228" s="279">
        <v>9.8799999999999999E-2</v>
      </c>
      <c r="K1228" s="278">
        <v>50.394736999999999</v>
      </c>
      <c r="L1228" s="324"/>
      <c r="M1228" s="399"/>
    </row>
    <row r="1229" spans="2:13" ht="17.25" thickBot="1">
      <c r="B1229" s="325" t="s">
        <v>464</v>
      </c>
      <c r="C1229" s="326"/>
      <c r="D1229" s="327" t="s">
        <v>463</v>
      </c>
      <c r="E1229" s="328">
        <f t="shared" ref="E1229:K1229" si="354">AVERAGE(E1224:E1228)</f>
        <v>3.8496000000000001</v>
      </c>
      <c r="F1229" s="328">
        <f t="shared" si="354"/>
        <v>4.9751999999999992</v>
      </c>
      <c r="G1229" s="328">
        <f t="shared" si="354"/>
        <v>4.0601631999999999</v>
      </c>
      <c r="H1229" s="328">
        <f t="shared" si="354"/>
        <v>6.1930809999999994</v>
      </c>
      <c r="I1229" s="329">
        <f t="shared" si="354"/>
        <v>0.13896000000000003</v>
      </c>
      <c r="J1229" s="329">
        <f t="shared" si="354"/>
        <v>9.9039999999999989E-2</v>
      </c>
      <c r="K1229" s="330">
        <f t="shared" si="354"/>
        <v>50.234352200000004</v>
      </c>
      <c r="L1229" s="331"/>
      <c r="M1229" s="399"/>
    </row>
    <row r="1230" spans="2:13">
      <c r="B1230" s="333">
        <v>11</v>
      </c>
      <c r="C1230" s="334" t="s">
        <v>343</v>
      </c>
      <c r="D1230" s="291" t="s">
        <v>244</v>
      </c>
      <c r="E1230" s="307">
        <v>3.8380000000000001</v>
      </c>
      <c r="F1230" s="307">
        <v>4.96</v>
      </c>
      <c r="G1230" s="272">
        <v>4.0600019999999999</v>
      </c>
      <c r="H1230" s="307">
        <v>6.176787</v>
      </c>
      <c r="I1230" s="273">
        <v>0.13900000000000001</v>
      </c>
      <c r="J1230" s="273">
        <v>9.9099999999999994E-2</v>
      </c>
      <c r="K1230" s="272">
        <v>50.050454000000002</v>
      </c>
      <c r="L1230" s="332"/>
      <c r="M1230" s="399"/>
    </row>
    <row r="1231" spans="2:13">
      <c r="B1231" s="335">
        <v>12</v>
      </c>
      <c r="C1231" s="320"/>
      <c r="D1231" s="299" t="s">
        <v>245</v>
      </c>
      <c r="E1231" s="309">
        <v>3.8460000000000001</v>
      </c>
      <c r="F1231" s="309">
        <v>4.9809999999999999</v>
      </c>
      <c r="G1231" s="317">
        <v>4.0687100000000003</v>
      </c>
      <c r="H1231" s="309">
        <v>6.2007099999999999</v>
      </c>
      <c r="I1231" s="318">
        <v>0.1389</v>
      </c>
      <c r="J1231" s="318">
        <v>9.9099999999999994E-2</v>
      </c>
      <c r="K1231" s="317">
        <v>50.262360999999999</v>
      </c>
      <c r="L1231" s="321"/>
      <c r="M1231" s="399"/>
    </row>
    <row r="1232" spans="2:13">
      <c r="B1232" s="335">
        <v>13</v>
      </c>
      <c r="C1232" s="320"/>
      <c r="D1232" s="299" t="s">
        <v>227</v>
      </c>
      <c r="E1232" s="309">
        <v>3.85</v>
      </c>
      <c r="F1232" s="309">
        <v>4.9859999999999998</v>
      </c>
      <c r="G1232" s="317">
        <v>4.0685630000000002</v>
      </c>
      <c r="H1232" s="309">
        <v>6.2202989999999998</v>
      </c>
      <c r="I1232" s="318">
        <v>0.13880000000000001</v>
      </c>
      <c r="J1232" s="318">
        <v>9.9099999999999994E-2</v>
      </c>
      <c r="K1232" s="317">
        <v>50.312815000000001</v>
      </c>
      <c r="L1232" s="321"/>
      <c r="M1232" s="399"/>
    </row>
    <row r="1233" spans="2:13">
      <c r="B1233" s="335">
        <v>14</v>
      </c>
      <c r="C1233" s="320"/>
      <c r="D1233" s="299" t="s">
        <v>228</v>
      </c>
      <c r="E1233" s="309">
        <v>3.8530000000000002</v>
      </c>
      <c r="F1233" s="309">
        <v>4.9939999999999998</v>
      </c>
      <c r="G1233" s="317">
        <v>4.0719180000000001</v>
      </c>
      <c r="H1233" s="309">
        <v>6.2317400000000003</v>
      </c>
      <c r="I1233" s="318">
        <v>0.13880000000000001</v>
      </c>
      <c r="J1233" s="318">
        <v>9.9000000000000005E-2</v>
      </c>
      <c r="K1233" s="317">
        <v>50.444443999999997</v>
      </c>
      <c r="L1233" s="321"/>
      <c r="M1233" s="399"/>
    </row>
    <row r="1234" spans="2:13" ht="17.25" thickBot="1">
      <c r="B1234" s="336">
        <v>15</v>
      </c>
      <c r="C1234" s="323"/>
      <c r="D1234" s="293" t="s">
        <v>246</v>
      </c>
      <c r="E1234" s="311">
        <v>3.8519999999999999</v>
      </c>
      <c r="F1234" s="311">
        <v>4.9779999999999998</v>
      </c>
      <c r="G1234" s="278">
        <v>4.0599259999999999</v>
      </c>
      <c r="H1234" s="311">
        <v>6.231077</v>
      </c>
      <c r="I1234" s="279">
        <v>0.13880000000000001</v>
      </c>
      <c r="J1234" s="279">
        <v>9.8799999999999999E-2</v>
      </c>
      <c r="K1234" s="278">
        <v>50.384614999999997</v>
      </c>
      <c r="L1234" s="324"/>
      <c r="M1234" s="399"/>
    </row>
    <row r="1235" spans="2:13" ht="17.25" thickBot="1">
      <c r="B1235" s="337"/>
      <c r="C1235" s="326"/>
      <c r="D1235" s="327" t="s">
        <v>463</v>
      </c>
      <c r="E1235" s="328">
        <f>AVERAGE(E1230:E1234)</f>
        <v>3.8478000000000003</v>
      </c>
      <c r="F1235" s="328">
        <f t="shared" ref="F1235:K1235" si="355">AVERAGE(F1230:F1234)</f>
        <v>4.9798</v>
      </c>
      <c r="G1235" s="328">
        <f t="shared" si="355"/>
        <v>4.0658238000000004</v>
      </c>
      <c r="H1235" s="328">
        <f t="shared" si="355"/>
        <v>6.2121225999999989</v>
      </c>
      <c r="I1235" s="329">
        <f t="shared" si="355"/>
        <v>0.13886000000000004</v>
      </c>
      <c r="J1235" s="329">
        <f t="shared" si="355"/>
        <v>9.9019999999999997E-2</v>
      </c>
      <c r="K1235" s="330">
        <f t="shared" si="355"/>
        <v>50.290937800000002</v>
      </c>
      <c r="L1235" s="331"/>
      <c r="M1235" s="399"/>
    </row>
    <row r="1236" spans="2:13">
      <c r="B1236" s="333">
        <v>16</v>
      </c>
      <c r="C1236" s="271" t="s">
        <v>296</v>
      </c>
      <c r="D1236" s="291" t="s">
        <v>247</v>
      </c>
      <c r="E1236" s="307">
        <v>3.7959999999999998</v>
      </c>
      <c r="F1236" s="307">
        <v>4.5469999999999997</v>
      </c>
      <c r="G1236" s="272">
        <v>3.7631220000000001</v>
      </c>
      <c r="H1236" s="307">
        <v>5.6395189999999999</v>
      </c>
      <c r="I1236" s="273">
        <v>0.1389</v>
      </c>
      <c r="J1236" s="273">
        <v>9.9599999999999994E-2</v>
      </c>
      <c r="K1236" s="272">
        <v>45.652610000000003</v>
      </c>
      <c r="L1236" s="359"/>
      <c r="M1236" s="401"/>
    </row>
    <row r="1237" spans="2:13">
      <c r="B1237" s="335">
        <v>17</v>
      </c>
      <c r="C1237" s="320"/>
      <c r="D1237" s="299" t="s">
        <v>248</v>
      </c>
      <c r="E1237" s="309">
        <v>3.8029999999999999</v>
      </c>
      <c r="F1237" s="309">
        <v>4.5819999999999999</v>
      </c>
      <c r="G1237" s="317">
        <v>3.7851080000000001</v>
      </c>
      <c r="H1237" s="309">
        <v>5.68771</v>
      </c>
      <c r="I1237" s="318">
        <v>0.13869999999999999</v>
      </c>
      <c r="J1237" s="318">
        <v>9.9599999999999994E-2</v>
      </c>
      <c r="K1237" s="317">
        <v>46.004016</v>
      </c>
      <c r="L1237" s="321"/>
      <c r="M1237" s="399"/>
    </row>
    <row r="1238" spans="2:13">
      <c r="B1238" s="335">
        <v>18</v>
      </c>
      <c r="C1238" s="320"/>
      <c r="D1238" s="299" t="s">
        <v>232</v>
      </c>
      <c r="E1238" s="309">
        <v>3.806</v>
      </c>
      <c r="F1238" s="309">
        <v>4.5919999999999996</v>
      </c>
      <c r="G1238" s="317">
        <v>3.7903790000000002</v>
      </c>
      <c r="H1238" s="309">
        <v>5.7117550000000001</v>
      </c>
      <c r="I1238" s="318">
        <v>0.1386</v>
      </c>
      <c r="J1238" s="318">
        <v>9.9599999999999994E-2</v>
      </c>
      <c r="K1238" s="317">
        <v>46.104418000000003</v>
      </c>
      <c r="L1238" s="321"/>
      <c r="M1238" s="399"/>
    </row>
    <row r="1239" spans="2:13">
      <c r="B1239" s="335">
        <v>19</v>
      </c>
      <c r="C1239" s="320"/>
      <c r="D1239" s="299" t="s">
        <v>233</v>
      </c>
      <c r="E1239" s="309">
        <v>3.8079999999999998</v>
      </c>
      <c r="F1239" s="309">
        <v>4.5990000000000002</v>
      </c>
      <c r="G1239" s="317">
        <v>3.7941630000000002</v>
      </c>
      <c r="H1239" s="309">
        <v>5.7163950000000003</v>
      </c>
      <c r="I1239" s="318">
        <v>0.1386</v>
      </c>
      <c r="J1239" s="318">
        <v>9.9699999999999997E-2</v>
      </c>
      <c r="K1239" s="317">
        <v>46.128385000000002</v>
      </c>
      <c r="L1239" s="321"/>
      <c r="M1239" s="399"/>
    </row>
    <row r="1240" spans="2:13" ht="17.25" thickBot="1">
      <c r="B1240" s="336">
        <v>20</v>
      </c>
      <c r="C1240" s="323"/>
      <c r="D1240" s="293" t="s">
        <v>249</v>
      </c>
      <c r="E1240" s="311">
        <v>3.806</v>
      </c>
      <c r="F1240" s="311">
        <v>4.5810000000000004</v>
      </c>
      <c r="G1240" s="278">
        <v>3.7812990000000002</v>
      </c>
      <c r="H1240" s="311">
        <v>5.6973209999999996</v>
      </c>
      <c r="I1240" s="279">
        <v>0.13869999999999999</v>
      </c>
      <c r="J1240" s="279">
        <v>9.9400000000000002E-2</v>
      </c>
      <c r="K1240" s="278">
        <v>46.086519000000003</v>
      </c>
      <c r="L1240" s="324"/>
      <c r="M1240" s="399"/>
    </row>
    <row r="1241" spans="2:13" ht="17.25" thickBot="1">
      <c r="B1241" s="337"/>
      <c r="C1241" s="326"/>
      <c r="D1241" s="327" t="s">
        <v>463</v>
      </c>
      <c r="E1241" s="328">
        <f>AVERAGE(E1236:E1240)</f>
        <v>3.8038000000000003</v>
      </c>
      <c r="F1241" s="328">
        <f t="shared" ref="F1241:K1241" si="356">AVERAGE(F1236:F1240)</f>
        <v>4.5801999999999996</v>
      </c>
      <c r="G1241" s="328">
        <f t="shared" si="356"/>
        <v>3.7828141999999998</v>
      </c>
      <c r="H1241" s="328">
        <f t="shared" si="356"/>
        <v>5.6905399999999995</v>
      </c>
      <c r="I1241" s="329">
        <f t="shared" si="356"/>
        <v>0.13869999999999999</v>
      </c>
      <c r="J1241" s="329">
        <f t="shared" si="356"/>
        <v>9.9579999999999988E-2</v>
      </c>
      <c r="K1241" s="328">
        <f t="shared" si="356"/>
        <v>45.995189600000003</v>
      </c>
      <c r="L1241" s="331"/>
      <c r="M1241" s="399"/>
    </row>
    <row r="1242" spans="2:13">
      <c r="B1242" s="333">
        <v>21</v>
      </c>
      <c r="C1242" s="271" t="s">
        <v>296</v>
      </c>
      <c r="D1242" s="291" t="s">
        <v>250</v>
      </c>
      <c r="E1242" s="307">
        <v>3.7959999999999998</v>
      </c>
      <c r="F1242" s="307">
        <v>4.5590000000000002</v>
      </c>
      <c r="G1242" s="272">
        <v>3.773053</v>
      </c>
      <c r="H1242" s="307">
        <v>5.6608739999999997</v>
      </c>
      <c r="I1242" s="273">
        <v>0.13880000000000001</v>
      </c>
      <c r="J1242" s="273">
        <v>9.9299999999999999E-2</v>
      </c>
      <c r="K1242" s="272">
        <v>45.911380000000001</v>
      </c>
      <c r="L1242" s="332"/>
      <c r="M1242" s="399"/>
    </row>
    <row r="1243" spans="2:13">
      <c r="B1243" s="335">
        <v>22</v>
      </c>
      <c r="C1243" s="320"/>
      <c r="D1243" s="299" t="s">
        <v>251</v>
      </c>
      <c r="E1243" s="309">
        <v>3.8010000000000002</v>
      </c>
      <c r="F1243" s="309">
        <v>4.585</v>
      </c>
      <c r="G1243" s="317">
        <v>3.7895789999999998</v>
      </c>
      <c r="H1243" s="309">
        <v>5.7064019999999998</v>
      </c>
      <c r="I1243" s="318">
        <v>0.13880000000000001</v>
      </c>
      <c r="J1243" s="318">
        <v>9.9500000000000005E-2</v>
      </c>
      <c r="K1243" s="317">
        <v>46.080401999999999</v>
      </c>
      <c r="L1243" s="321"/>
      <c r="M1243" s="399"/>
    </row>
    <row r="1244" spans="2:13">
      <c r="B1244" s="335">
        <v>23</v>
      </c>
      <c r="C1244" s="320"/>
      <c r="D1244" s="299" t="s">
        <v>237</v>
      </c>
      <c r="E1244" s="309">
        <v>3.8029999999999999</v>
      </c>
      <c r="F1244" s="309">
        <v>4.585</v>
      </c>
      <c r="G1244" s="317">
        <v>3.7875860000000001</v>
      </c>
      <c r="H1244" s="309">
        <v>5.7004979999999996</v>
      </c>
      <c r="I1244" s="318">
        <v>0.13869999999999999</v>
      </c>
      <c r="J1244" s="318">
        <v>9.9500000000000005E-2</v>
      </c>
      <c r="K1244" s="317">
        <v>46.080401999999999</v>
      </c>
      <c r="L1244" s="321"/>
      <c r="M1244" s="399"/>
    </row>
    <row r="1245" spans="2:13">
      <c r="B1245" s="335">
        <v>24</v>
      </c>
      <c r="C1245" s="320"/>
      <c r="D1245" s="299" t="s">
        <v>238</v>
      </c>
      <c r="E1245" s="309">
        <v>3.8029999999999999</v>
      </c>
      <c r="F1245" s="309">
        <v>4.58</v>
      </c>
      <c r="G1245" s="317">
        <v>3.7834560000000002</v>
      </c>
      <c r="H1245" s="309">
        <v>5.6849049999999997</v>
      </c>
      <c r="I1245" s="318">
        <v>0.13869999999999999</v>
      </c>
      <c r="J1245" s="318">
        <v>9.9500000000000005E-2</v>
      </c>
      <c r="K1245" s="317">
        <v>46.030150999999996</v>
      </c>
      <c r="L1245" s="321"/>
      <c r="M1245" s="399"/>
    </row>
    <row r="1246" spans="2:13" ht="17.25" thickBot="1">
      <c r="B1246" s="336">
        <v>25</v>
      </c>
      <c r="C1246" s="323"/>
      <c r="D1246" s="293" t="s">
        <v>252</v>
      </c>
      <c r="E1246" s="311">
        <v>3.8</v>
      </c>
      <c r="F1246" s="311">
        <v>4.5549999999999997</v>
      </c>
      <c r="G1246" s="278">
        <v>3.765774</v>
      </c>
      <c r="H1246" s="311">
        <v>5.670388</v>
      </c>
      <c r="I1246" s="279">
        <v>0.13869999999999999</v>
      </c>
      <c r="J1246" s="279">
        <v>9.9299999999999999E-2</v>
      </c>
      <c r="K1246" s="278">
        <v>45.871098000000003</v>
      </c>
      <c r="L1246" s="324"/>
      <c r="M1246" s="399"/>
    </row>
    <row r="1247" spans="2:13" ht="17.25" thickBot="1">
      <c r="B1247" s="339" t="s">
        <v>464</v>
      </c>
      <c r="C1247" s="340"/>
      <c r="D1247" s="341" t="s">
        <v>465</v>
      </c>
      <c r="E1247" s="342">
        <f>AVERAGE(E1242:E1246)</f>
        <v>3.8006000000000002</v>
      </c>
      <c r="F1247" s="342">
        <f t="shared" ref="F1247:K1247" si="357">AVERAGE(F1242:F1246)</f>
        <v>4.5727999999999991</v>
      </c>
      <c r="G1247" s="342">
        <f t="shared" si="357"/>
        <v>3.7798895999999997</v>
      </c>
      <c r="H1247" s="342">
        <f t="shared" si="357"/>
        <v>5.6846133999999999</v>
      </c>
      <c r="I1247" s="343">
        <f t="shared" si="357"/>
        <v>0.13874</v>
      </c>
      <c r="J1247" s="343">
        <f t="shared" si="357"/>
        <v>9.9420000000000008E-2</v>
      </c>
      <c r="K1247" s="342">
        <f t="shared" si="357"/>
        <v>45.994686600000001</v>
      </c>
      <c r="L1247" s="344"/>
      <c r="M1247" s="399"/>
    </row>
    <row r="1248" spans="2:13">
      <c r="B1248" s="333"/>
      <c r="C1248" s="345"/>
      <c r="D1248" s="291" t="s">
        <v>466</v>
      </c>
      <c r="E1248" s="346">
        <f>MEDIAN(E1218:E1222,E1224:E1228,E1230:E1234,E1236:E1240,E1242:E1246)</f>
        <v>3.839</v>
      </c>
      <c r="F1248" s="346">
        <f t="shared" ref="F1248:K1248" si="358">MEDIAN(F1218:F1222,F1224:F1228,F1230:F1234,F1236:F1240,F1242:F1246)</f>
        <v>4.9480000000000004</v>
      </c>
      <c r="G1248" s="346">
        <f t="shared" si="358"/>
        <v>4.0417540000000001</v>
      </c>
      <c r="H1248" s="346">
        <f t="shared" si="358"/>
        <v>6.1603810000000001</v>
      </c>
      <c r="I1248" s="347">
        <f t="shared" si="358"/>
        <v>0.1389</v>
      </c>
      <c r="J1248" s="347">
        <f t="shared" si="358"/>
        <v>9.9099999999999994E-2</v>
      </c>
      <c r="K1248" s="348">
        <f t="shared" si="358"/>
        <v>49.929364</v>
      </c>
      <c r="L1248" s="332"/>
      <c r="M1248" s="399"/>
    </row>
    <row r="1249" spans="2:13">
      <c r="B1249" s="335"/>
      <c r="C1249" s="320"/>
      <c r="D1249" s="299" t="s">
        <v>467</v>
      </c>
      <c r="E1249" s="349">
        <f>AVERAGE(E1218:E1222,E1224:E1228,E1230:E1234,E1236:E1240,E1242:E1246)</f>
        <v>3.8301599999999998</v>
      </c>
      <c r="F1249" s="349">
        <f t="shared" ref="F1249:K1249" si="359">AVERAGE(F1218:F1222,F1224:F1228,F1230:F1234,F1236:F1240,F1242:F1246)</f>
        <v>4.812479999999999</v>
      </c>
      <c r="G1249" s="349">
        <f t="shared" si="359"/>
        <v>3.9465016000000004</v>
      </c>
      <c r="H1249" s="349">
        <f t="shared" si="359"/>
        <v>5.9897935999999996</v>
      </c>
      <c r="I1249" s="350">
        <f t="shared" si="359"/>
        <v>0.13885599999999998</v>
      </c>
      <c r="J1249" s="350">
        <f t="shared" si="359"/>
        <v>9.9215999999999957E-2</v>
      </c>
      <c r="K1249" s="351">
        <f t="shared" si="359"/>
        <v>48.509926799999995</v>
      </c>
      <c r="L1249" s="321"/>
      <c r="M1249" s="399"/>
    </row>
    <row r="1250" spans="2:13">
      <c r="B1250" s="335"/>
      <c r="C1250" s="320"/>
      <c r="D1250" s="299" t="s">
        <v>199</v>
      </c>
      <c r="E1250" s="349">
        <f>MAX(E1218:E1222,E1224:E1228,E1230:E1234,E1236:E1240,E1242:E1246)</f>
        <v>3.855</v>
      </c>
      <c r="F1250" s="349">
        <f t="shared" ref="F1250:K1250" si="360">MAX(F1218:F1222,F1224:F1228,F1230:F1234,F1236:F1240,F1242:F1246)</f>
        <v>4.9939999999999998</v>
      </c>
      <c r="G1250" s="349">
        <f t="shared" si="360"/>
        <v>4.0719180000000001</v>
      </c>
      <c r="H1250" s="349">
        <f t="shared" si="360"/>
        <v>6.2317400000000003</v>
      </c>
      <c r="I1250" s="350">
        <f t="shared" si="360"/>
        <v>0.1391</v>
      </c>
      <c r="J1250" s="350">
        <f t="shared" si="360"/>
        <v>9.9699999999999997E-2</v>
      </c>
      <c r="K1250" s="351">
        <f t="shared" si="360"/>
        <v>50.444443999999997</v>
      </c>
      <c r="L1250" s="321"/>
      <c r="M1250" s="399"/>
    </row>
    <row r="1251" spans="2:13">
      <c r="B1251" s="335"/>
      <c r="C1251" s="320"/>
      <c r="D1251" s="299" t="s">
        <v>200</v>
      </c>
      <c r="E1251" s="349">
        <f>MIN(E1218:E1222,E1224:E1228,E1230:E1234,E1236:E1240,E1242:E1246)</f>
        <v>3.7959999999999998</v>
      </c>
      <c r="F1251" s="349">
        <f t="shared" ref="F1251:K1251" si="361">MIN(F1218:F1222,F1224:F1228,F1230:F1234,F1236:F1240,F1242:F1246)</f>
        <v>4.5469999999999997</v>
      </c>
      <c r="G1251" s="349">
        <f t="shared" si="361"/>
        <v>3.7631220000000001</v>
      </c>
      <c r="H1251" s="349">
        <f t="shared" si="361"/>
        <v>5.6395189999999999</v>
      </c>
      <c r="I1251" s="350">
        <f t="shared" si="361"/>
        <v>0.1386</v>
      </c>
      <c r="J1251" s="350">
        <f t="shared" si="361"/>
        <v>9.8799999999999999E-2</v>
      </c>
      <c r="K1251" s="351">
        <f t="shared" si="361"/>
        <v>45.652610000000003</v>
      </c>
      <c r="L1251" s="321"/>
      <c r="M1251" s="399"/>
    </row>
    <row r="1252" spans="2:13">
      <c r="B1252" s="335"/>
      <c r="C1252" s="320"/>
      <c r="D1252" s="299" t="s">
        <v>201</v>
      </c>
      <c r="E1252" s="349">
        <f>E1250-E1251</f>
        <v>5.9000000000000163E-2</v>
      </c>
      <c r="F1252" s="349">
        <f t="shared" ref="F1252:K1252" si="362">F1250-F1251</f>
        <v>0.44700000000000006</v>
      </c>
      <c r="G1252" s="349">
        <f t="shared" si="362"/>
        <v>0.30879600000000007</v>
      </c>
      <c r="H1252" s="349">
        <f t="shared" si="362"/>
        <v>0.59222100000000033</v>
      </c>
      <c r="I1252" s="350">
        <f t="shared" si="362"/>
        <v>5.0000000000000044E-4</v>
      </c>
      <c r="J1252" s="350">
        <f t="shared" si="362"/>
        <v>8.9999999999999802E-4</v>
      </c>
      <c r="K1252" s="349">
        <f t="shared" si="362"/>
        <v>4.7918339999999944</v>
      </c>
      <c r="L1252" s="321"/>
      <c r="M1252" s="399"/>
    </row>
    <row r="1253" spans="2:13" ht="17.25" thickBot="1">
      <c r="B1253" s="336"/>
      <c r="C1253" s="323"/>
      <c r="D1253" s="293" t="s">
        <v>202</v>
      </c>
      <c r="E1253" s="352">
        <f>STDEVA(E1218:E1222,E1224:E1228,E1230:E1234,E1236:E1240,E1242:E1246)</f>
        <v>2.387934951654537E-2</v>
      </c>
      <c r="F1253" s="352">
        <f t="shared" ref="F1253:K1253" si="363">STDEVA(F1218:F1222,F1224:F1228,F1230:F1234,F1236:F1240,F1242:F1246)</f>
        <v>0.19748399091234375</v>
      </c>
      <c r="G1253" s="352">
        <f t="shared" si="363"/>
        <v>0.13810138335174874</v>
      </c>
      <c r="H1253" s="352">
        <f t="shared" si="363"/>
        <v>0.25327555894716725</v>
      </c>
      <c r="I1253" s="353">
        <f t="shared" si="363"/>
        <v>1.4742229591664438E-4</v>
      </c>
      <c r="J1253" s="353">
        <f t="shared" si="363"/>
        <v>2.6876259660401665E-4</v>
      </c>
      <c r="K1253" s="352">
        <f t="shared" si="363"/>
        <v>2.1040725221474657</v>
      </c>
      <c r="L1253" s="324"/>
      <c r="M1253" s="399"/>
    </row>
    <row r="1255" spans="2:13">
      <c r="B1255" s="240" t="s">
        <v>503</v>
      </c>
      <c r="C1255" s="240"/>
      <c r="E1255" s="240"/>
      <c r="F1255" s="240"/>
      <c r="G1255" s="240"/>
      <c r="H1255" s="240"/>
      <c r="I1255" s="240"/>
      <c r="J1255" s="240"/>
      <c r="K1255" s="240"/>
    </row>
    <row r="1256" spans="2:13" ht="17.25" thickBot="1">
      <c r="B1256" s="240" t="s">
        <v>469</v>
      </c>
      <c r="C1256" s="240"/>
      <c r="E1256" s="240"/>
      <c r="F1256" s="240"/>
      <c r="G1256" s="240"/>
      <c r="H1256" s="240"/>
      <c r="I1256" s="240"/>
      <c r="J1256" s="240"/>
      <c r="K1256" s="240"/>
    </row>
    <row r="1257" spans="2:13" ht="17.25" thickBot="1">
      <c r="B1257" s="313" t="s">
        <v>11</v>
      </c>
      <c r="C1257" s="250" t="s">
        <v>0</v>
      </c>
      <c r="D1257" s="250" t="s">
        <v>1</v>
      </c>
      <c r="E1257" s="250" t="s">
        <v>2</v>
      </c>
      <c r="F1257" s="250" t="s">
        <v>3</v>
      </c>
      <c r="G1257" s="250" t="s">
        <v>192</v>
      </c>
      <c r="H1257" s="250" t="s">
        <v>16</v>
      </c>
      <c r="I1257" s="250" t="s">
        <v>6</v>
      </c>
      <c r="J1257" s="251" t="s">
        <v>7</v>
      </c>
      <c r="K1257" s="252" t="s">
        <v>8</v>
      </c>
      <c r="L1257" s="254" t="s">
        <v>470</v>
      </c>
      <c r="M1257" s="404"/>
    </row>
    <row r="1258" spans="2:13">
      <c r="B1258" s="314">
        <v>1</v>
      </c>
      <c r="C1258" s="271" t="s">
        <v>343</v>
      </c>
      <c r="D1258" s="291" t="s">
        <v>213</v>
      </c>
      <c r="E1258" s="307">
        <v>3.8420000000000001</v>
      </c>
      <c r="F1258" s="307">
        <v>4.8239999999999998</v>
      </c>
      <c r="G1258" s="272">
        <v>3.9445679999999999</v>
      </c>
      <c r="H1258" s="360">
        <v>5.9667240000000001</v>
      </c>
      <c r="I1258" s="273">
        <v>0.13900000000000001</v>
      </c>
      <c r="J1258" s="273">
        <v>9.98E-2</v>
      </c>
      <c r="K1258" s="272">
        <v>48.336672999999998</v>
      </c>
      <c r="L1258" s="275"/>
      <c r="M1258" s="397"/>
    </row>
    <row r="1259" spans="2:13">
      <c r="B1259" s="315">
        <v>2</v>
      </c>
      <c r="C1259" s="316"/>
      <c r="D1259" s="299" t="s">
        <v>214</v>
      </c>
      <c r="E1259" s="309">
        <v>3.847</v>
      </c>
      <c r="F1259" s="309">
        <v>4.8440000000000003</v>
      </c>
      <c r="G1259" s="317">
        <v>3.9557739999999999</v>
      </c>
      <c r="H1259" s="361">
        <v>6.0033700000000003</v>
      </c>
      <c r="I1259" s="318">
        <v>0.13900000000000001</v>
      </c>
      <c r="J1259" s="318">
        <v>9.98E-2</v>
      </c>
      <c r="K1259" s="317">
        <v>48.537073999999997</v>
      </c>
      <c r="L1259" s="319"/>
      <c r="M1259" s="398"/>
    </row>
    <row r="1260" spans="2:13">
      <c r="B1260" s="315">
        <v>3</v>
      </c>
      <c r="C1260" s="320"/>
      <c r="D1260" s="299" t="s">
        <v>217</v>
      </c>
      <c r="E1260" s="309">
        <v>3.8479999999999999</v>
      </c>
      <c r="F1260" s="309">
        <v>4.8570000000000002</v>
      </c>
      <c r="G1260" s="317">
        <v>3.9653589999999999</v>
      </c>
      <c r="H1260" s="361">
        <v>6.0250240000000002</v>
      </c>
      <c r="I1260" s="318">
        <v>0.13900000000000001</v>
      </c>
      <c r="J1260" s="318">
        <v>9.9699999999999997E-2</v>
      </c>
      <c r="K1260" s="317">
        <v>48.716147999999997</v>
      </c>
      <c r="L1260" s="356"/>
      <c r="M1260" s="400"/>
    </row>
    <row r="1261" spans="2:13">
      <c r="B1261" s="315">
        <v>4</v>
      </c>
      <c r="C1261" s="320"/>
      <c r="D1261" s="299" t="s">
        <v>218</v>
      </c>
      <c r="E1261" s="309">
        <v>3.847</v>
      </c>
      <c r="F1261" s="309">
        <v>4.8529999999999998</v>
      </c>
      <c r="G1261" s="317">
        <v>3.9631240000000001</v>
      </c>
      <c r="H1261" s="361">
        <v>6.0167159999999997</v>
      </c>
      <c r="I1261" s="318">
        <v>0.13900000000000001</v>
      </c>
      <c r="J1261" s="318">
        <v>9.9699999999999997E-2</v>
      </c>
      <c r="K1261" s="317">
        <v>48.676028000000002</v>
      </c>
      <c r="L1261" s="356"/>
      <c r="M1261" s="400"/>
    </row>
    <row r="1262" spans="2:13" ht="17.25" thickBot="1">
      <c r="B1262" s="322">
        <v>5</v>
      </c>
      <c r="C1262" s="323"/>
      <c r="D1262" s="354" t="s">
        <v>240</v>
      </c>
      <c r="E1262" s="311">
        <v>3.843</v>
      </c>
      <c r="F1262" s="311">
        <v>4.8319999999999999</v>
      </c>
      <c r="G1262" s="278">
        <v>3.950081</v>
      </c>
      <c r="H1262" s="362">
        <v>5.9838430000000002</v>
      </c>
      <c r="I1262" s="279">
        <v>0.1389</v>
      </c>
      <c r="J1262" s="279">
        <v>9.9599999999999994E-2</v>
      </c>
      <c r="K1262" s="278">
        <v>48.514055999999997</v>
      </c>
      <c r="L1262" s="324"/>
      <c r="M1262" s="399"/>
    </row>
    <row r="1263" spans="2:13" ht="17.25" thickBot="1">
      <c r="B1263" s="325"/>
      <c r="C1263" s="326"/>
      <c r="D1263" s="327" t="s">
        <v>463</v>
      </c>
      <c r="E1263" s="328">
        <f>AVERAGE(E1258:E1262)</f>
        <v>3.8453999999999993</v>
      </c>
      <c r="F1263" s="328">
        <f t="shared" ref="F1263:K1263" si="364">AVERAGE(F1258:F1262)</f>
        <v>4.8420000000000005</v>
      </c>
      <c r="G1263" s="328">
        <f t="shared" si="364"/>
        <v>3.9557811999999997</v>
      </c>
      <c r="H1263" s="328">
        <f t="shared" si="364"/>
        <v>5.9991353999999992</v>
      </c>
      <c r="I1263" s="329">
        <f t="shared" si="364"/>
        <v>0.13898000000000002</v>
      </c>
      <c r="J1263" s="329">
        <f t="shared" si="364"/>
        <v>9.9720000000000003E-2</v>
      </c>
      <c r="K1263" s="330">
        <f t="shared" si="364"/>
        <v>48.555995799999991</v>
      </c>
      <c r="L1263" s="331"/>
      <c r="M1263" s="399"/>
    </row>
    <row r="1264" spans="2:13">
      <c r="B1264" s="314">
        <v>6</v>
      </c>
      <c r="C1264" s="271" t="s">
        <v>343</v>
      </c>
      <c r="D1264" s="291" t="s">
        <v>241</v>
      </c>
      <c r="E1264" s="307">
        <v>3.8410000000000002</v>
      </c>
      <c r="F1264" s="307">
        <v>4.8239999999999998</v>
      </c>
      <c r="G1264" s="272">
        <v>3.945595</v>
      </c>
      <c r="H1264" s="360">
        <v>5.9527000000000001</v>
      </c>
      <c r="I1264" s="273">
        <v>0.13900000000000001</v>
      </c>
      <c r="J1264" s="273">
        <v>0.1</v>
      </c>
      <c r="K1264" s="272">
        <v>48.24</v>
      </c>
      <c r="L1264" s="332"/>
      <c r="M1264" s="399"/>
    </row>
    <row r="1265" spans="2:13">
      <c r="B1265" s="315">
        <v>7</v>
      </c>
      <c r="C1265" s="320"/>
      <c r="D1265" s="299" t="s">
        <v>242</v>
      </c>
      <c r="E1265" s="309">
        <v>3.8460000000000001</v>
      </c>
      <c r="F1265" s="309">
        <v>4.8460000000000001</v>
      </c>
      <c r="G1265" s="317">
        <v>3.9584359999999998</v>
      </c>
      <c r="H1265" s="361">
        <v>5.9996989999999997</v>
      </c>
      <c r="I1265" s="318">
        <v>0.13900000000000001</v>
      </c>
      <c r="J1265" s="318">
        <v>0.1</v>
      </c>
      <c r="K1265" s="317">
        <v>48.46</v>
      </c>
      <c r="L1265" s="321"/>
      <c r="M1265" s="399"/>
    </row>
    <row r="1266" spans="2:13">
      <c r="B1266" s="315">
        <v>8</v>
      </c>
      <c r="C1266" s="320"/>
      <c r="D1266" s="299" t="s">
        <v>222</v>
      </c>
      <c r="E1266" s="309">
        <v>3.8479999999999999</v>
      </c>
      <c r="F1266" s="309">
        <v>4.8570000000000002</v>
      </c>
      <c r="G1266" s="317">
        <v>3.9653589999999999</v>
      </c>
      <c r="H1266" s="361">
        <v>6.0107100000000004</v>
      </c>
      <c r="I1266" s="318">
        <v>0.1389</v>
      </c>
      <c r="J1266" s="318">
        <v>9.9900000000000003E-2</v>
      </c>
      <c r="K1266" s="317">
        <v>48.618619000000002</v>
      </c>
      <c r="L1266" s="321"/>
      <c r="M1266" s="399"/>
    </row>
    <row r="1267" spans="2:13">
      <c r="B1267" s="315">
        <v>9</v>
      </c>
      <c r="C1267" s="320"/>
      <c r="D1267" s="299" t="s">
        <v>223</v>
      </c>
      <c r="E1267" s="309">
        <v>3.847</v>
      </c>
      <c r="F1267" s="309">
        <v>4.8570000000000002</v>
      </c>
      <c r="G1267" s="317">
        <v>3.9663900000000001</v>
      </c>
      <c r="H1267" s="361">
        <v>6.0223979999999999</v>
      </c>
      <c r="I1267" s="318">
        <v>0.1389</v>
      </c>
      <c r="J1267" s="318">
        <v>9.9900000000000003E-2</v>
      </c>
      <c r="K1267" s="317">
        <v>48.618619000000002</v>
      </c>
      <c r="L1267" s="321"/>
      <c r="M1267" s="399"/>
    </row>
    <row r="1268" spans="2:13" ht="17.25" thickBot="1">
      <c r="B1268" s="322">
        <v>10</v>
      </c>
      <c r="C1268" s="323"/>
      <c r="D1268" s="293" t="s">
        <v>243</v>
      </c>
      <c r="E1268" s="311">
        <v>3.8450000000000002</v>
      </c>
      <c r="F1268" s="311">
        <v>4.8330000000000002</v>
      </c>
      <c r="G1268" s="278">
        <v>3.9488439999999998</v>
      </c>
      <c r="H1268" s="362">
        <v>5.9997129999999999</v>
      </c>
      <c r="I1268" s="279">
        <v>0.13900000000000001</v>
      </c>
      <c r="J1268" s="279">
        <v>9.9699999999999997E-2</v>
      </c>
      <c r="K1268" s="278">
        <v>48.475425999999999</v>
      </c>
      <c r="L1268" s="324"/>
      <c r="M1268" s="399"/>
    </row>
    <row r="1269" spans="2:13" ht="17.25" thickBot="1">
      <c r="B1269" s="325" t="s">
        <v>464</v>
      </c>
      <c r="C1269" s="326"/>
      <c r="D1269" s="327" t="s">
        <v>463</v>
      </c>
      <c r="E1269" s="328">
        <f t="shared" ref="E1269:K1269" si="365">AVERAGE(E1264:E1268)</f>
        <v>3.8454000000000002</v>
      </c>
      <c r="F1269" s="328">
        <f t="shared" si="365"/>
        <v>4.8433999999999999</v>
      </c>
      <c r="G1269" s="328">
        <f t="shared" si="365"/>
        <v>3.9569248000000004</v>
      </c>
      <c r="H1269" s="328">
        <f t="shared" si="365"/>
        <v>5.9970439999999998</v>
      </c>
      <c r="I1269" s="329">
        <f t="shared" si="365"/>
        <v>0.13896000000000003</v>
      </c>
      <c r="J1269" s="329">
        <f t="shared" si="365"/>
        <v>9.9900000000000003E-2</v>
      </c>
      <c r="K1269" s="330">
        <f t="shared" si="365"/>
        <v>48.482532800000001</v>
      </c>
      <c r="L1269" s="331"/>
      <c r="M1269" s="399"/>
    </row>
    <row r="1270" spans="2:13">
      <c r="B1270" s="333">
        <v>11</v>
      </c>
      <c r="C1270" s="334" t="s">
        <v>343</v>
      </c>
      <c r="D1270" s="291" t="s">
        <v>244</v>
      </c>
      <c r="E1270" s="307">
        <v>3.839</v>
      </c>
      <c r="F1270" s="307">
        <v>4.8090000000000002</v>
      </c>
      <c r="G1270" s="272">
        <v>3.9353750000000001</v>
      </c>
      <c r="H1270" s="307">
        <v>5.9388449999999997</v>
      </c>
      <c r="I1270" s="273">
        <v>0.1391</v>
      </c>
      <c r="J1270" s="273">
        <v>0.10009999999999999</v>
      </c>
      <c r="K1270" s="272">
        <v>48.041958000000001</v>
      </c>
      <c r="L1270" s="332"/>
      <c r="M1270" s="399"/>
    </row>
    <row r="1271" spans="2:13">
      <c r="B1271" s="335">
        <v>12</v>
      </c>
      <c r="C1271" s="320"/>
      <c r="D1271" s="299" t="s">
        <v>245</v>
      </c>
      <c r="E1271" s="309">
        <v>3.843</v>
      </c>
      <c r="F1271" s="309">
        <v>4.835</v>
      </c>
      <c r="G1271" s="317">
        <v>3.952534</v>
      </c>
      <c r="H1271" s="309">
        <v>5.97356</v>
      </c>
      <c r="I1271" s="318">
        <v>0.1389</v>
      </c>
      <c r="J1271" s="318">
        <v>0.1</v>
      </c>
      <c r="K1271" s="317">
        <v>48.35</v>
      </c>
      <c r="L1271" s="321"/>
      <c r="M1271" s="399"/>
    </row>
    <row r="1272" spans="2:13">
      <c r="B1272" s="335">
        <v>13</v>
      </c>
      <c r="C1272" s="320"/>
      <c r="D1272" s="299" t="s">
        <v>227</v>
      </c>
      <c r="E1272" s="309">
        <v>3.8460000000000001</v>
      </c>
      <c r="F1272" s="309">
        <v>4.8390000000000004</v>
      </c>
      <c r="G1272" s="317">
        <v>3.952718</v>
      </c>
      <c r="H1272" s="309">
        <v>5.9754959999999997</v>
      </c>
      <c r="I1272" s="318">
        <v>0.1389</v>
      </c>
      <c r="J1272" s="318">
        <v>0.1</v>
      </c>
      <c r="K1272" s="317">
        <v>48.39</v>
      </c>
      <c r="L1272" s="321"/>
      <c r="M1272" s="399"/>
    </row>
    <row r="1273" spans="2:13">
      <c r="B1273" s="335">
        <v>14</v>
      </c>
      <c r="C1273" s="320"/>
      <c r="D1273" s="299" t="s">
        <v>228</v>
      </c>
      <c r="E1273" s="309">
        <v>3.8460000000000001</v>
      </c>
      <c r="F1273" s="309">
        <v>4.8540000000000001</v>
      </c>
      <c r="G1273" s="317">
        <v>3.9649709999999998</v>
      </c>
      <c r="H1273" s="309">
        <v>6.0033750000000001</v>
      </c>
      <c r="I1273" s="318">
        <v>0.1389</v>
      </c>
      <c r="J1273" s="318">
        <v>9.9900000000000003E-2</v>
      </c>
      <c r="K1273" s="317">
        <v>48.588588999999999</v>
      </c>
      <c r="L1273" s="321"/>
      <c r="M1273" s="399"/>
    </row>
    <row r="1274" spans="2:13" ht="17.25" thickBot="1">
      <c r="B1274" s="336">
        <v>15</v>
      </c>
      <c r="C1274" s="323"/>
      <c r="D1274" s="293" t="s">
        <v>246</v>
      </c>
      <c r="E1274" s="311">
        <v>3.8450000000000002</v>
      </c>
      <c r="F1274" s="311">
        <v>4.8470000000000004</v>
      </c>
      <c r="G1274" s="278">
        <v>3.960283</v>
      </c>
      <c r="H1274" s="311">
        <v>6.008413</v>
      </c>
      <c r="I1274" s="279">
        <v>0.1389</v>
      </c>
      <c r="J1274" s="279">
        <v>9.98E-2</v>
      </c>
      <c r="K1274" s="278">
        <v>48.567134000000003</v>
      </c>
      <c r="L1274" s="324"/>
      <c r="M1274" s="399"/>
    </row>
    <row r="1275" spans="2:13" ht="17.25" thickBot="1">
      <c r="B1275" s="337"/>
      <c r="C1275" s="326"/>
      <c r="D1275" s="327" t="s">
        <v>463</v>
      </c>
      <c r="E1275" s="328">
        <f>AVERAGE(E1270:E1274)</f>
        <v>3.8438000000000003</v>
      </c>
      <c r="F1275" s="328">
        <f t="shared" ref="F1275:K1275" si="366">AVERAGE(F1270:F1274)</f>
        <v>4.8368000000000002</v>
      </c>
      <c r="G1275" s="328">
        <f t="shared" si="366"/>
        <v>3.9531762000000001</v>
      </c>
      <c r="H1275" s="328">
        <f t="shared" si="366"/>
        <v>5.9799378000000001</v>
      </c>
      <c r="I1275" s="329">
        <f t="shared" si="366"/>
        <v>0.13894000000000001</v>
      </c>
      <c r="J1275" s="329">
        <f t="shared" si="366"/>
        <v>9.9960000000000007E-2</v>
      </c>
      <c r="K1275" s="330">
        <f t="shared" si="366"/>
        <v>48.3875362</v>
      </c>
      <c r="L1275" s="331"/>
      <c r="M1275" s="399"/>
    </row>
    <row r="1276" spans="2:13">
      <c r="B1276" s="333">
        <v>16</v>
      </c>
      <c r="C1276" s="271" t="s">
        <v>296</v>
      </c>
      <c r="D1276" s="291" t="s">
        <v>247</v>
      </c>
      <c r="E1276" s="307">
        <v>3.819</v>
      </c>
      <c r="F1276" s="307">
        <v>4.6449999999999996</v>
      </c>
      <c r="G1276" s="272">
        <v>3.821075</v>
      </c>
      <c r="H1276" s="307">
        <v>5.7305650000000004</v>
      </c>
      <c r="I1276" s="273">
        <v>0.13880000000000001</v>
      </c>
      <c r="J1276" s="273">
        <v>0.1002</v>
      </c>
      <c r="K1276" s="272">
        <v>46.357284999999997</v>
      </c>
      <c r="L1276" s="359"/>
      <c r="M1276" s="401"/>
    </row>
    <row r="1277" spans="2:13">
      <c r="B1277" s="335">
        <v>17</v>
      </c>
      <c r="C1277" s="320"/>
      <c r="D1277" s="299" t="s">
        <v>248</v>
      </c>
      <c r="E1277" s="309">
        <v>3.8260000000000001</v>
      </c>
      <c r="F1277" s="309">
        <v>4.6879999999999997</v>
      </c>
      <c r="G1277" s="317">
        <v>3.8493919999999999</v>
      </c>
      <c r="H1277" s="309">
        <v>5.7921040000000001</v>
      </c>
      <c r="I1277" s="318">
        <v>0.13869999999999999</v>
      </c>
      <c r="J1277" s="318">
        <v>0.1002</v>
      </c>
      <c r="K1277" s="317">
        <v>46.786427000000003</v>
      </c>
      <c r="L1277" s="321"/>
      <c r="M1277" s="399"/>
    </row>
    <row r="1278" spans="2:13">
      <c r="B1278" s="335">
        <v>18</v>
      </c>
      <c r="C1278" s="320"/>
      <c r="D1278" s="299" t="s">
        <v>232</v>
      </c>
      <c r="E1278" s="309">
        <v>3.8290000000000002</v>
      </c>
      <c r="F1278" s="309">
        <v>4.7069999999999999</v>
      </c>
      <c r="G1278" s="317">
        <v>3.8619650000000001</v>
      </c>
      <c r="H1278" s="309">
        <v>5.81189</v>
      </c>
      <c r="I1278" s="318">
        <v>0.13880000000000001</v>
      </c>
      <c r="J1278" s="318">
        <v>0.1003</v>
      </c>
      <c r="K1278" s="317">
        <v>46.929212</v>
      </c>
      <c r="L1278" s="321"/>
      <c r="M1278" s="399"/>
    </row>
    <row r="1279" spans="2:13">
      <c r="B1279" s="335">
        <v>19</v>
      </c>
      <c r="C1279" s="320"/>
      <c r="D1279" s="299" t="s">
        <v>233</v>
      </c>
      <c r="E1279" s="309">
        <v>3.83</v>
      </c>
      <c r="F1279" s="309">
        <v>4.7160000000000002</v>
      </c>
      <c r="G1279" s="317">
        <v>3.8683390000000002</v>
      </c>
      <c r="H1279" s="309">
        <v>5.825005</v>
      </c>
      <c r="I1279" s="318">
        <v>0.13869999999999999</v>
      </c>
      <c r="J1279" s="318">
        <v>0.1002</v>
      </c>
      <c r="K1279" s="317">
        <v>47.065868000000002</v>
      </c>
      <c r="L1279" s="321"/>
      <c r="M1279" s="399"/>
    </row>
    <row r="1280" spans="2:13" ht="17.25" thickBot="1">
      <c r="B1280" s="336">
        <v>20</v>
      </c>
      <c r="C1280" s="323"/>
      <c r="D1280" s="293" t="s">
        <v>249</v>
      </c>
      <c r="E1280" s="311">
        <v>3.8290000000000002</v>
      </c>
      <c r="F1280" s="311">
        <v>4.7069999999999999</v>
      </c>
      <c r="G1280" s="278">
        <v>3.8619650000000001</v>
      </c>
      <c r="H1280" s="311">
        <v>5.8321699999999996</v>
      </c>
      <c r="I1280" s="279">
        <v>0.13869999999999999</v>
      </c>
      <c r="J1280" s="279">
        <v>9.9900000000000003E-2</v>
      </c>
      <c r="K1280" s="278">
        <v>47.117117</v>
      </c>
      <c r="L1280" s="324"/>
      <c r="M1280" s="399"/>
    </row>
    <row r="1281" spans="2:13" ht="17.25" thickBot="1">
      <c r="B1281" s="337"/>
      <c r="C1281" s="326"/>
      <c r="D1281" s="327" t="s">
        <v>463</v>
      </c>
      <c r="E1281" s="328">
        <f>AVERAGE(E1276:E1280)</f>
        <v>3.8266</v>
      </c>
      <c r="F1281" s="328">
        <f t="shared" ref="F1281:K1281" si="367">AVERAGE(F1276:F1280)</f>
        <v>4.6926000000000005</v>
      </c>
      <c r="G1281" s="328">
        <f t="shared" si="367"/>
        <v>3.8525472000000001</v>
      </c>
      <c r="H1281" s="328">
        <f t="shared" si="367"/>
        <v>5.7983468</v>
      </c>
      <c r="I1281" s="329">
        <f t="shared" si="367"/>
        <v>0.13874</v>
      </c>
      <c r="J1281" s="329">
        <f t="shared" si="367"/>
        <v>0.10016</v>
      </c>
      <c r="K1281" s="328">
        <f t="shared" si="367"/>
        <v>46.851181799999999</v>
      </c>
      <c r="L1281" s="331"/>
      <c r="M1281" s="399"/>
    </row>
    <row r="1282" spans="2:13">
      <c r="B1282" s="333">
        <v>21</v>
      </c>
      <c r="C1282" s="271" t="s">
        <v>296</v>
      </c>
      <c r="D1282" s="291" t="s">
        <v>250</v>
      </c>
      <c r="E1282" s="307">
        <v>3.8149999999999999</v>
      </c>
      <c r="F1282" s="307">
        <v>4.6230000000000002</v>
      </c>
      <c r="G1282" s="272">
        <v>3.8069649999999999</v>
      </c>
      <c r="H1282" s="307">
        <v>5.7066039999999996</v>
      </c>
      <c r="I1282" s="273">
        <v>0.1389</v>
      </c>
      <c r="J1282" s="273">
        <v>0.10009999999999999</v>
      </c>
      <c r="K1282" s="272">
        <v>46.183816</v>
      </c>
      <c r="L1282" s="332"/>
      <c r="M1282" s="399"/>
    </row>
    <row r="1283" spans="2:13">
      <c r="B1283" s="335">
        <v>22</v>
      </c>
      <c r="C1283" s="320"/>
      <c r="D1283" s="299" t="s">
        <v>251</v>
      </c>
      <c r="E1283" s="309">
        <v>3.8220000000000001</v>
      </c>
      <c r="F1283" s="309">
        <v>4.6689999999999996</v>
      </c>
      <c r="G1283" s="317">
        <v>3.8378030000000001</v>
      </c>
      <c r="H1283" s="309">
        <v>5.7696170000000002</v>
      </c>
      <c r="I1283" s="318">
        <v>0.13869999999999999</v>
      </c>
      <c r="J1283" s="318">
        <v>0.10009999999999999</v>
      </c>
      <c r="K1283" s="317">
        <v>46.643357000000002</v>
      </c>
      <c r="L1283" s="321"/>
      <c r="M1283" s="399"/>
    </row>
    <row r="1284" spans="2:13">
      <c r="B1284" s="335">
        <v>23</v>
      </c>
      <c r="C1284" s="320"/>
      <c r="D1284" s="299" t="s">
        <v>237</v>
      </c>
      <c r="E1284" s="309">
        <v>3.8260000000000001</v>
      </c>
      <c r="F1284" s="309">
        <v>4.7039999999999997</v>
      </c>
      <c r="G1284" s="317">
        <v>3.86253</v>
      </c>
      <c r="H1284" s="309">
        <v>5.8068229999999996</v>
      </c>
      <c r="I1284" s="318">
        <v>0.13869999999999999</v>
      </c>
      <c r="J1284" s="318">
        <v>0.1002</v>
      </c>
      <c r="K1284" s="317">
        <v>46.946108000000002</v>
      </c>
      <c r="L1284" s="321"/>
      <c r="M1284" s="399"/>
    </row>
    <row r="1285" spans="2:13">
      <c r="B1285" s="335">
        <v>24</v>
      </c>
      <c r="C1285" s="320"/>
      <c r="D1285" s="299" t="s">
        <v>238</v>
      </c>
      <c r="E1285" s="309">
        <v>3.8279999999999998</v>
      </c>
      <c r="F1285" s="309">
        <v>4.7140000000000004</v>
      </c>
      <c r="G1285" s="317">
        <v>3.868719</v>
      </c>
      <c r="H1285" s="309">
        <v>5.8297949999999998</v>
      </c>
      <c r="I1285" s="318">
        <v>0.13869999999999999</v>
      </c>
      <c r="J1285" s="318">
        <v>0.1</v>
      </c>
      <c r="K1285" s="317">
        <v>47.14</v>
      </c>
      <c r="L1285" s="321"/>
      <c r="M1285" s="399"/>
    </row>
    <row r="1286" spans="2:13" ht="17.25" thickBot="1">
      <c r="B1286" s="336">
        <v>25</v>
      </c>
      <c r="C1286" s="323"/>
      <c r="D1286" s="293" t="s">
        <v>252</v>
      </c>
      <c r="E1286" s="311">
        <v>3.8290000000000002</v>
      </c>
      <c r="F1286" s="311">
        <v>4.7229999999999999</v>
      </c>
      <c r="G1286" s="278">
        <v>3.8750930000000001</v>
      </c>
      <c r="H1286" s="311">
        <v>5.8520250000000003</v>
      </c>
      <c r="I1286" s="279">
        <v>0.1386</v>
      </c>
      <c r="J1286" s="279">
        <v>9.9900000000000003E-2</v>
      </c>
      <c r="K1286" s="278">
        <v>47.277276999999998</v>
      </c>
      <c r="L1286" s="324"/>
      <c r="M1286" s="399"/>
    </row>
    <row r="1287" spans="2:13" ht="17.25" thickBot="1">
      <c r="B1287" s="339" t="s">
        <v>464</v>
      </c>
      <c r="C1287" s="340"/>
      <c r="D1287" s="341" t="s">
        <v>465</v>
      </c>
      <c r="E1287" s="342">
        <f>AVERAGE(E1282:E1286)</f>
        <v>3.8240000000000003</v>
      </c>
      <c r="F1287" s="342">
        <f t="shared" ref="F1287:K1287" si="368">AVERAGE(F1282:F1286)</f>
        <v>4.6866000000000003</v>
      </c>
      <c r="G1287" s="342">
        <f t="shared" si="368"/>
        <v>3.850222</v>
      </c>
      <c r="H1287" s="342">
        <f t="shared" si="368"/>
        <v>5.7929727999999994</v>
      </c>
      <c r="I1287" s="343">
        <f t="shared" si="368"/>
        <v>0.13872000000000001</v>
      </c>
      <c r="J1287" s="343">
        <f t="shared" si="368"/>
        <v>0.10006</v>
      </c>
      <c r="K1287" s="342">
        <f t="shared" si="368"/>
        <v>46.838111599999998</v>
      </c>
      <c r="L1287" s="344"/>
      <c r="M1287" s="399"/>
    </row>
    <row r="1288" spans="2:13">
      <c r="B1288" s="333"/>
      <c r="C1288" s="345"/>
      <c r="D1288" s="291" t="s">
        <v>466</v>
      </c>
      <c r="E1288" s="346">
        <f>MEDIAN(E1258:E1262,E1264:E1268,E1270:E1274,E1276:E1280,E1282:E1286)</f>
        <v>3.8420000000000001</v>
      </c>
      <c r="F1288" s="346">
        <f t="shared" ref="F1288:K1288" si="369">MEDIAN(F1258:F1262,F1264:F1268,F1270:F1274,F1276:F1280,F1282:F1286)</f>
        <v>4.8239999999999998</v>
      </c>
      <c r="G1288" s="346">
        <f t="shared" si="369"/>
        <v>3.945595</v>
      </c>
      <c r="H1288" s="346">
        <f t="shared" si="369"/>
        <v>5.9667240000000001</v>
      </c>
      <c r="I1288" s="347">
        <f t="shared" si="369"/>
        <v>0.1389</v>
      </c>
      <c r="J1288" s="347">
        <f t="shared" si="369"/>
        <v>0.1</v>
      </c>
      <c r="K1288" s="348">
        <f t="shared" si="369"/>
        <v>48.336672999999998</v>
      </c>
      <c r="L1288" s="332"/>
      <c r="M1288" s="399"/>
    </row>
    <row r="1289" spans="2:13">
      <c r="B1289" s="335"/>
      <c r="C1289" s="320"/>
      <c r="D1289" s="299" t="s">
        <v>467</v>
      </c>
      <c r="E1289" s="349">
        <f>AVERAGE(E1258:E1262,E1264:E1268,E1270:E1274,E1276:E1280,E1282:E1286)</f>
        <v>3.8370399999999991</v>
      </c>
      <c r="F1289" s="349">
        <f t="shared" ref="F1289:K1289" si="370">AVERAGE(F1258:F1262,F1264:F1268,F1270:F1274,F1276:F1280,F1282:F1286)</f>
        <v>4.7802799999999985</v>
      </c>
      <c r="G1289" s="349">
        <f t="shared" si="370"/>
        <v>3.9137302800000002</v>
      </c>
      <c r="H1289" s="349">
        <f t="shared" si="370"/>
        <v>5.9134873600000004</v>
      </c>
      <c r="I1289" s="350">
        <f t="shared" si="370"/>
        <v>0.13886799999999999</v>
      </c>
      <c r="J1289" s="350">
        <f t="shared" si="370"/>
        <v>9.9960000000000021E-2</v>
      </c>
      <c r="K1289" s="351">
        <f t="shared" si="370"/>
        <v>47.823071640000009</v>
      </c>
      <c r="L1289" s="321"/>
      <c r="M1289" s="399"/>
    </row>
    <row r="1290" spans="2:13">
      <c r="B1290" s="335"/>
      <c r="C1290" s="320"/>
      <c r="D1290" s="299" t="s">
        <v>199</v>
      </c>
      <c r="E1290" s="349">
        <f>MAX(E1258:E1262,E1264:E1268,E1270:E1274,E1276:E1280,E1282:E1286)</f>
        <v>3.8479999999999999</v>
      </c>
      <c r="F1290" s="349">
        <f t="shared" ref="F1290:K1290" si="371">MAX(F1258:F1262,F1264:F1268,F1270:F1274,F1276:F1280,F1282:F1286)</f>
        <v>4.8570000000000002</v>
      </c>
      <c r="G1290" s="349">
        <f t="shared" si="371"/>
        <v>3.9663900000000001</v>
      </c>
      <c r="H1290" s="349">
        <f t="shared" si="371"/>
        <v>6.0250240000000002</v>
      </c>
      <c r="I1290" s="350">
        <f t="shared" si="371"/>
        <v>0.1391</v>
      </c>
      <c r="J1290" s="350">
        <f t="shared" si="371"/>
        <v>0.1003</v>
      </c>
      <c r="K1290" s="351">
        <f t="shared" si="371"/>
        <v>48.716147999999997</v>
      </c>
      <c r="L1290" s="321"/>
      <c r="M1290" s="399"/>
    </row>
    <row r="1291" spans="2:13">
      <c r="B1291" s="335"/>
      <c r="C1291" s="320"/>
      <c r="D1291" s="299" t="s">
        <v>200</v>
      </c>
      <c r="E1291" s="349">
        <f>MIN(E1258:E1262,E1264:E1268,E1270:E1274,E1276:E1280,E1282:E1286)</f>
        <v>3.8149999999999999</v>
      </c>
      <c r="F1291" s="349">
        <f t="shared" ref="F1291:K1291" si="372">MIN(F1258:F1262,F1264:F1268,F1270:F1274,F1276:F1280,F1282:F1286)</f>
        <v>4.6230000000000002</v>
      </c>
      <c r="G1291" s="349">
        <f t="shared" si="372"/>
        <v>3.8069649999999999</v>
      </c>
      <c r="H1291" s="349">
        <f t="shared" si="372"/>
        <v>5.7066039999999996</v>
      </c>
      <c r="I1291" s="350">
        <f t="shared" si="372"/>
        <v>0.1386</v>
      </c>
      <c r="J1291" s="350">
        <f t="shared" si="372"/>
        <v>9.9599999999999994E-2</v>
      </c>
      <c r="K1291" s="351">
        <f t="shared" si="372"/>
        <v>46.183816</v>
      </c>
      <c r="L1291" s="321"/>
      <c r="M1291" s="399"/>
    </row>
    <row r="1292" spans="2:13">
      <c r="B1292" s="335"/>
      <c r="C1292" s="320"/>
      <c r="D1292" s="299" t="s">
        <v>201</v>
      </c>
      <c r="E1292" s="349">
        <f>E1290-E1291</f>
        <v>3.2999999999999918E-2</v>
      </c>
      <c r="F1292" s="349">
        <f t="shared" ref="F1292:K1292" si="373">F1290-F1291</f>
        <v>0.23399999999999999</v>
      </c>
      <c r="G1292" s="349">
        <f t="shared" si="373"/>
        <v>0.15942500000000015</v>
      </c>
      <c r="H1292" s="349">
        <f t="shared" si="373"/>
        <v>0.31842000000000059</v>
      </c>
      <c r="I1292" s="350">
        <f t="shared" si="373"/>
        <v>5.0000000000000044E-4</v>
      </c>
      <c r="J1292" s="350">
        <f t="shared" si="373"/>
        <v>7.0000000000000617E-4</v>
      </c>
      <c r="K1292" s="349">
        <f t="shared" si="373"/>
        <v>2.5323319999999967</v>
      </c>
      <c r="L1292" s="321"/>
      <c r="M1292" s="399"/>
    </row>
    <row r="1293" spans="2:13" ht="17.25" thickBot="1">
      <c r="B1293" s="336"/>
      <c r="C1293" s="323"/>
      <c r="D1293" s="293" t="s">
        <v>202</v>
      </c>
      <c r="E1293" s="352">
        <f>STDEVA(E1258:E1262,E1264:E1268,E1270:E1274,E1276:E1280,E1282:E1286)</f>
        <v>1.0462154016581219E-2</v>
      </c>
      <c r="F1293" s="352">
        <f t="shared" ref="F1293:K1293" si="374">STDEVA(F1258:F1262,F1264:F1268,F1270:F1274,F1276:F1280,F1282:F1286)</f>
        <v>7.9071971435311292E-2</v>
      </c>
      <c r="G1293" s="352">
        <f t="shared" si="374"/>
        <v>5.4224067793216403E-2</v>
      </c>
      <c r="H1293" s="352">
        <f t="shared" si="374"/>
        <v>0.10417985126328415</v>
      </c>
      <c r="I1293" s="353">
        <f t="shared" si="374"/>
        <v>1.3453624047074319E-4</v>
      </c>
      <c r="J1293" s="353">
        <f t="shared" si="374"/>
        <v>1.8708286933869712E-4</v>
      </c>
      <c r="K1293" s="352">
        <f t="shared" si="374"/>
        <v>0.85488678815944574</v>
      </c>
      <c r="L1293" s="324"/>
      <c r="M1293" s="399"/>
    </row>
    <row r="1295" spans="2:13">
      <c r="B1295" s="240" t="s">
        <v>504</v>
      </c>
      <c r="C1295" s="240"/>
      <c r="E1295" s="240"/>
      <c r="F1295" s="240"/>
      <c r="G1295" s="240"/>
      <c r="H1295" s="240"/>
      <c r="I1295" s="240"/>
      <c r="J1295" s="240"/>
      <c r="K1295" s="240"/>
    </row>
    <row r="1296" spans="2:13" ht="17.25" thickBot="1">
      <c r="B1296" s="240" t="s">
        <v>469</v>
      </c>
      <c r="C1296" s="240"/>
      <c r="E1296" s="240"/>
      <c r="F1296" s="240"/>
      <c r="G1296" s="240"/>
      <c r="H1296" s="240"/>
      <c r="I1296" s="240"/>
      <c r="J1296" s="240"/>
      <c r="K1296" s="240"/>
    </row>
    <row r="1297" spans="2:13" ht="17.25" thickBot="1">
      <c r="B1297" s="313" t="s">
        <v>11</v>
      </c>
      <c r="C1297" s="250" t="s">
        <v>0</v>
      </c>
      <c r="D1297" s="250" t="s">
        <v>1</v>
      </c>
      <c r="E1297" s="250" t="s">
        <v>2</v>
      </c>
      <c r="F1297" s="250" t="s">
        <v>3</v>
      </c>
      <c r="G1297" s="250" t="s">
        <v>192</v>
      </c>
      <c r="H1297" s="250" t="s">
        <v>16</v>
      </c>
      <c r="I1297" s="250" t="s">
        <v>6</v>
      </c>
      <c r="J1297" s="251" t="s">
        <v>7</v>
      </c>
      <c r="K1297" s="252" t="s">
        <v>8</v>
      </c>
      <c r="L1297" s="254" t="s">
        <v>470</v>
      </c>
      <c r="M1297" s="404"/>
    </row>
    <row r="1298" spans="2:13">
      <c r="B1298" s="314">
        <v>1</v>
      </c>
      <c r="C1298" s="271" t="s">
        <v>347</v>
      </c>
      <c r="D1298" s="291" t="s">
        <v>213</v>
      </c>
      <c r="E1298" s="302">
        <v>4.0190000000000001</v>
      </c>
      <c r="F1298" s="302">
        <v>8.7249999999999996</v>
      </c>
      <c r="G1298" s="286">
        <v>6.8201970000000003</v>
      </c>
      <c r="H1298" s="364">
        <v>9.4328690000000002</v>
      </c>
      <c r="I1298" s="287">
        <v>0.1333</v>
      </c>
      <c r="J1298" s="287">
        <v>0.1234</v>
      </c>
      <c r="K1298" s="286">
        <v>70.705023999999995</v>
      </c>
      <c r="L1298" s="275"/>
      <c r="M1298" s="397"/>
    </row>
    <row r="1299" spans="2:13">
      <c r="B1299" s="315">
        <v>2</v>
      </c>
      <c r="C1299" s="316"/>
      <c r="D1299" s="365" t="s">
        <v>214</v>
      </c>
      <c r="E1299" s="366">
        <v>4.0129999999999999</v>
      </c>
      <c r="F1299" s="366">
        <v>8.7490000000000006</v>
      </c>
      <c r="G1299" s="367">
        <v>6.849183</v>
      </c>
      <c r="H1299" s="368">
        <v>9.4119279999999996</v>
      </c>
      <c r="I1299" s="369">
        <v>0.13320000000000001</v>
      </c>
      <c r="J1299" s="369">
        <v>0.1242</v>
      </c>
      <c r="K1299" s="367">
        <v>70.442834000000005</v>
      </c>
      <c r="L1299" s="319"/>
      <c r="M1299" s="398"/>
    </row>
    <row r="1300" spans="2:13">
      <c r="B1300" s="315">
        <v>3</v>
      </c>
      <c r="C1300" s="320"/>
      <c r="D1300" s="299" t="s">
        <v>217</v>
      </c>
      <c r="E1300" s="304">
        <v>4.0140000000000002</v>
      </c>
      <c r="F1300" s="304">
        <v>8.734</v>
      </c>
      <c r="G1300" s="300">
        <v>6.835737</v>
      </c>
      <c r="H1300" s="370">
        <v>9.3762139999999992</v>
      </c>
      <c r="I1300" s="301">
        <v>0.1331</v>
      </c>
      <c r="J1300" s="301">
        <v>0.1245</v>
      </c>
      <c r="K1300" s="300">
        <v>70.152609999999996</v>
      </c>
      <c r="L1300" s="356"/>
      <c r="M1300" s="400"/>
    </row>
    <row r="1301" spans="2:13">
      <c r="B1301" s="315">
        <v>4</v>
      </c>
      <c r="C1301" s="320"/>
      <c r="D1301" s="299" t="s">
        <v>218</v>
      </c>
      <c r="E1301" s="304">
        <v>4.024</v>
      </c>
      <c r="F1301" s="304">
        <v>8.7040000000000006</v>
      </c>
      <c r="G1301" s="300">
        <v>6.7953279999999996</v>
      </c>
      <c r="H1301" s="370">
        <v>9.3287329999999997</v>
      </c>
      <c r="I1301" s="301">
        <v>0.1331</v>
      </c>
      <c r="J1301" s="301">
        <v>0.125</v>
      </c>
      <c r="K1301" s="300">
        <v>69.632000000000005</v>
      </c>
      <c r="L1301" s="356"/>
      <c r="M1301" s="400"/>
    </row>
    <row r="1302" spans="2:13" ht="17.25" thickBot="1">
      <c r="B1302" s="322">
        <v>5</v>
      </c>
      <c r="C1302" s="323"/>
      <c r="D1302" s="293" t="s">
        <v>240</v>
      </c>
      <c r="E1302" s="371">
        <v>4.0250000000000004</v>
      </c>
      <c r="F1302" s="371">
        <v>8.7110000000000003</v>
      </c>
      <c r="G1302" s="288">
        <v>6.7991029999999997</v>
      </c>
      <c r="H1302" s="372">
        <v>9.3353389999999994</v>
      </c>
      <c r="I1302" s="289">
        <v>0.1331</v>
      </c>
      <c r="J1302" s="289">
        <v>0.12509999999999999</v>
      </c>
      <c r="K1302" s="288">
        <v>69.632294000000002</v>
      </c>
      <c r="L1302" s="324"/>
      <c r="M1302" s="399"/>
    </row>
    <row r="1303" spans="2:13" ht="17.25" thickBot="1">
      <c r="B1303" s="325"/>
      <c r="C1303" s="326"/>
      <c r="D1303" s="327" t="s">
        <v>463</v>
      </c>
      <c r="E1303" s="328">
        <f>AVERAGE(E1298:E1302)</f>
        <v>4.0190000000000001</v>
      </c>
      <c r="F1303" s="328">
        <f t="shared" ref="F1303:K1303" si="375">AVERAGE(F1298:F1302)</f>
        <v>8.7245999999999988</v>
      </c>
      <c r="G1303" s="328">
        <f t="shared" si="375"/>
        <v>6.8199095999999999</v>
      </c>
      <c r="H1303" s="373">
        <f t="shared" si="375"/>
        <v>9.3770165999999993</v>
      </c>
      <c r="I1303" s="329">
        <f t="shared" si="375"/>
        <v>0.13316</v>
      </c>
      <c r="J1303" s="329">
        <f t="shared" si="375"/>
        <v>0.12444</v>
      </c>
      <c r="K1303" s="330">
        <f t="shared" si="375"/>
        <v>70.112952399999998</v>
      </c>
      <c r="L1303" s="331"/>
      <c r="M1303" s="399"/>
    </row>
    <row r="1304" spans="2:13">
      <c r="B1304" s="314">
        <v>6</v>
      </c>
      <c r="C1304" s="271" t="s">
        <v>347</v>
      </c>
      <c r="D1304" s="291" t="s">
        <v>241</v>
      </c>
      <c r="E1304" s="302">
        <v>4.0250000000000004</v>
      </c>
      <c r="F1304" s="302">
        <v>8.7479999999999993</v>
      </c>
      <c r="G1304" s="286">
        <v>6.8279820000000004</v>
      </c>
      <c r="H1304" s="364">
        <v>9.4232069999999997</v>
      </c>
      <c r="I1304" s="287">
        <v>0.1333</v>
      </c>
      <c r="J1304" s="287">
        <v>0.12379999999999999</v>
      </c>
      <c r="K1304" s="286">
        <v>70.662358999999995</v>
      </c>
      <c r="L1304" s="332"/>
      <c r="M1304" s="399"/>
    </row>
    <row r="1305" spans="2:13">
      <c r="B1305" s="315">
        <v>7</v>
      </c>
      <c r="C1305" s="320"/>
      <c r="D1305" s="299" t="s">
        <v>242</v>
      </c>
      <c r="E1305" s="304">
        <v>4.0199999999999996</v>
      </c>
      <c r="F1305" s="304">
        <v>8.7420000000000009</v>
      </c>
      <c r="G1305" s="300">
        <v>6.8317860000000001</v>
      </c>
      <c r="H1305" s="370">
        <v>9.3926440000000007</v>
      </c>
      <c r="I1305" s="301">
        <v>0.13320000000000001</v>
      </c>
      <c r="J1305" s="301">
        <v>0.12470000000000001</v>
      </c>
      <c r="K1305" s="300">
        <v>70.104249999999993</v>
      </c>
      <c r="L1305" s="321"/>
      <c r="M1305" s="399"/>
    </row>
    <row r="1306" spans="2:13">
      <c r="B1306" s="315">
        <v>8</v>
      </c>
      <c r="C1306" s="320"/>
      <c r="D1306" s="299" t="s">
        <v>222</v>
      </c>
      <c r="E1306" s="304">
        <v>4.0170000000000003</v>
      </c>
      <c r="F1306" s="304">
        <v>8.7690000000000001</v>
      </c>
      <c r="G1306" s="300">
        <v>6.8580040000000002</v>
      </c>
      <c r="H1306" s="370">
        <v>9.3849859999999996</v>
      </c>
      <c r="I1306" s="301">
        <v>0.13320000000000001</v>
      </c>
      <c r="J1306" s="301">
        <v>0.12520000000000001</v>
      </c>
      <c r="K1306" s="300">
        <v>70.039935999999997</v>
      </c>
      <c r="L1306" s="321"/>
      <c r="M1306" s="399"/>
    </row>
    <row r="1307" spans="2:13">
      <c r="B1307" s="315">
        <v>9</v>
      </c>
      <c r="C1307" s="320"/>
      <c r="D1307" s="299" t="s">
        <v>223</v>
      </c>
      <c r="E1307" s="304">
        <v>4.0209999999999999</v>
      </c>
      <c r="F1307" s="304">
        <v>8.6709999999999994</v>
      </c>
      <c r="G1307" s="300">
        <v>6.7746149999999998</v>
      </c>
      <c r="H1307" s="370">
        <v>9.253546</v>
      </c>
      <c r="I1307" s="301">
        <v>0.1331</v>
      </c>
      <c r="J1307" s="301">
        <v>0.12540000000000001</v>
      </c>
      <c r="K1307" s="300">
        <v>69.146730000000005</v>
      </c>
      <c r="L1307" s="321"/>
      <c r="M1307" s="399"/>
    </row>
    <row r="1308" spans="2:13" ht="17.25" thickBot="1">
      <c r="B1308" s="322">
        <v>10</v>
      </c>
      <c r="C1308" s="323"/>
      <c r="D1308" s="293" t="s">
        <v>243</v>
      </c>
      <c r="E1308" s="371">
        <v>4.024</v>
      </c>
      <c r="F1308" s="371">
        <v>8.6549999999999994</v>
      </c>
      <c r="G1308" s="288">
        <v>6.7570730000000001</v>
      </c>
      <c r="H1308" s="372">
        <v>9.2513240000000003</v>
      </c>
      <c r="I1308" s="289">
        <v>0.1331</v>
      </c>
      <c r="J1308" s="289">
        <v>0.12540000000000001</v>
      </c>
      <c r="K1308" s="288">
        <v>69.019138999999996</v>
      </c>
      <c r="L1308" s="324"/>
      <c r="M1308" s="399"/>
    </row>
    <row r="1309" spans="2:13" ht="17.25" thickBot="1">
      <c r="B1309" s="325" t="s">
        <v>464</v>
      </c>
      <c r="C1309" s="326"/>
      <c r="D1309" s="327" t="s">
        <v>463</v>
      </c>
      <c r="E1309" s="328">
        <f t="shared" ref="E1309:K1309" si="376">AVERAGE(E1304:E1308)</f>
        <v>4.0214000000000008</v>
      </c>
      <c r="F1309" s="328">
        <f t="shared" si="376"/>
        <v>8.7170000000000005</v>
      </c>
      <c r="G1309" s="328">
        <f t="shared" si="376"/>
        <v>6.8098920000000005</v>
      </c>
      <c r="H1309" s="373">
        <f t="shared" si="376"/>
        <v>9.3411414000000015</v>
      </c>
      <c r="I1309" s="329">
        <f t="shared" si="376"/>
        <v>0.13318000000000002</v>
      </c>
      <c r="J1309" s="329">
        <f t="shared" si="376"/>
        <v>0.12490000000000001</v>
      </c>
      <c r="K1309" s="330">
        <f t="shared" si="376"/>
        <v>69.794482799999997</v>
      </c>
      <c r="L1309" s="331"/>
      <c r="M1309" s="399"/>
    </row>
    <row r="1310" spans="2:13">
      <c r="B1310" s="333">
        <v>11</v>
      </c>
      <c r="C1310" s="271" t="s">
        <v>296</v>
      </c>
      <c r="D1310" s="291" t="s">
        <v>244</v>
      </c>
      <c r="E1310" s="302">
        <v>3.8860000000000001</v>
      </c>
      <c r="F1310" s="302">
        <v>8.4939999999999998</v>
      </c>
      <c r="G1310" s="286">
        <v>6.8668719999999999</v>
      </c>
      <c r="H1310" s="302">
        <v>9.3592770000000005</v>
      </c>
      <c r="I1310" s="287">
        <v>0.13420000000000001</v>
      </c>
      <c r="J1310" s="287">
        <v>0.1191</v>
      </c>
      <c r="K1310" s="286">
        <v>71.318219999999997</v>
      </c>
      <c r="L1310" s="332"/>
      <c r="M1310" s="399"/>
    </row>
    <row r="1311" spans="2:13">
      <c r="B1311" s="335">
        <v>12</v>
      </c>
      <c r="C1311" s="320"/>
      <c r="D1311" s="365" t="s">
        <v>245</v>
      </c>
      <c r="E1311" s="366">
        <v>3.8919999999999999</v>
      </c>
      <c r="F1311" s="366">
        <v>8.5129999999999999</v>
      </c>
      <c r="G1311" s="367">
        <v>6.8716229999999996</v>
      </c>
      <c r="H1311" s="366">
        <v>9.3718389999999996</v>
      </c>
      <c r="I1311" s="369">
        <v>0.13400000000000001</v>
      </c>
      <c r="J1311" s="369">
        <v>0.1198</v>
      </c>
      <c r="K1311" s="367">
        <v>71.060100000000006</v>
      </c>
      <c r="L1311" s="321"/>
      <c r="M1311" s="399"/>
    </row>
    <row r="1312" spans="2:13">
      <c r="B1312" s="335">
        <v>13</v>
      </c>
      <c r="C1312" s="320"/>
      <c r="D1312" s="299" t="s">
        <v>227</v>
      </c>
      <c r="E1312" s="304">
        <v>3.8929999999999998</v>
      </c>
      <c r="F1312" s="304">
        <v>8.4920000000000009</v>
      </c>
      <c r="G1312" s="300">
        <v>6.8529109999999998</v>
      </c>
      <c r="H1312" s="304">
        <v>9.311515</v>
      </c>
      <c r="I1312" s="301">
        <v>0.13400000000000001</v>
      </c>
      <c r="J1312" s="301">
        <v>0.1203</v>
      </c>
      <c r="K1312" s="300">
        <v>70.590191000000004</v>
      </c>
      <c r="L1312" s="321"/>
      <c r="M1312" s="399"/>
    </row>
    <row r="1313" spans="2:13">
      <c r="B1313" s="335">
        <v>14</v>
      </c>
      <c r="C1313" s="320"/>
      <c r="D1313" s="299" t="s">
        <v>228</v>
      </c>
      <c r="E1313" s="304">
        <v>3.895</v>
      </c>
      <c r="F1313" s="304">
        <v>8.4939999999999998</v>
      </c>
      <c r="G1313" s="300">
        <v>6.8510049999999998</v>
      </c>
      <c r="H1313" s="304">
        <v>9.3123970000000007</v>
      </c>
      <c r="I1313" s="301">
        <v>0.13400000000000001</v>
      </c>
      <c r="J1313" s="301">
        <v>0.1205</v>
      </c>
      <c r="K1313" s="300">
        <v>70.489626999999999</v>
      </c>
      <c r="L1313" s="321"/>
      <c r="M1313" s="399"/>
    </row>
    <row r="1314" spans="2:13" ht="17.25" thickBot="1">
      <c r="B1314" s="336">
        <v>15</v>
      </c>
      <c r="C1314" s="323"/>
      <c r="D1314" s="293" t="s">
        <v>246</v>
      </c>
      <c r="E1314" s="371">
        <v>3.8919999999999999</v>
      </c>
      <c r="F1314" s="371">
        <v>8.468</v>
      </c>
      <c r="G1314" s="288">
        <v>6.835299</v>
      </c>
      <c r="H1314" s="371">
        <v>9.2886790000000001</v>
      </c>
      <c r="I1314" s="289">
        <v>0.13389999999999999</v>
      </c>
      <c r="J1314" s="289">
        <v>0.12039999999999999</v>
      </c>
      <c r="K1314" s="288">
        <v>70.332226000000006</v>
      </c>
      <c r="L1314" s="324"/>
      <c r="M1314" s="399"/>
    </row>
    <row r="1315" spans="2:13" ht="17.25" thickBot="1">
      <c r="B1315" s="337"/>
      <c r="C1315" s="326"/>
      <c r="D1315" s="327" t="s">
        <v>463</v>
      </c>
      <c r="E1315" s="328">
        <f>AVERAGE(E1310:E1314)</f>
        <v>3.8915999999999995</v>
      </c>
      <c r="F1315" s="328">
        <f t="shared" ref="F1315:K1315" si="377">AVERAGE(F1310:F1314)</f>
        <v>8.4922000000000004</v>
      </c>
      <c r="G1315" s="328">
        <f t="shared" si="377"/>
        <v>6.8555419999999998</v>
      </c>
      <c r="H1315" s="328">
        <f t="shared" si="377"/>
        <v>9.328741400000002</v>
      </c>
      <c r="I1315" s="329">
        <f t="shared" si="377"/>
        <v>0.13402</v>
      </c>
      <c r="J1315" s="329">
        <f t="shared" si="377"/>
        <v>0.12001999999999999</v>
      </c>
      <c r="K1315" s="330">
        <f t="shared" si="377"/>
        <v>70.758072800000008</v>
      </c>
      <c r="L1315" s="331"/>
      <c r="M1315" s="399"/>
    </row>
    <row r="1316" spans="2:13">
      <c r="B1316" s="333">
        <v>16</v>
      </c>
      <c r="C1316" s="271" t="s">
        <v>348</v>
      </c>
      <c r="D1316" s="291" t="s">
        <v>247</v>
      </c>
      <c r="E1316" s="302">
        <v>3.9790000000000001</v>
      </c>
      <c r="F1316" s="302">
        <v>8.7690000000000001</v>
      </c>
      <c r="G1316" s="286">
        <v>6.9234989999999996</v>
      </c>
      <c r="H1316" s="302">
        <v>9.4631059999999998</v>
      </c>
      <c r="I1316" s="287">
        <v>0.13339999999999999</v>
      </c>
      <c r="J1316" s="287">
        <v>0.12330000000000001</v>
      </c>
      <c r="K1316" s="286">
        <v>71.119220999999996</v>
      </c>
      <c r="L1316" s="359"/>
      <c r="M1316" s="401"/>
    </row>
    <row r="1317" spans="2:13">
      <c r="B1317" s="335">
        <v>17</v>
      </c>
      <c r="C1317" s="320"/>
      <c r="D1317" s="299" t="s">
        <v>248</v>
      </c>
      <c r="E1317" s="304">
        <v>3.9780000000000002</v>
      </c>
      <c r="F1317" s="304">
        <v>8.7279999999999998</v>
      </c>
      <c r="G1317" s="300">
        <v>6.8928599999999998</v>
      </c>
      <c r="H1317" s="304">
        <v>9.4040320000000008</v>
      </c>
      <c r="I1317" s="301">
        <v>0.13320000000000001</v>
      </c>
      <c r="J1317" s="301">
        <v>0.1241</v>
      </c>
      <c r="K1317" s="300">
        <v>70.330378999999994</v>
      </c>
      <c r="L1317" s="321"/>
      <c r="M1317" s="399"/>
    </row>
    <row r="1318" spans="2:13">
      <c r="B1318" s="335">
        <v>18</v>
      </c>
      <c r="C1318" s="320"/>
      <c r="D1318" s="299" t="s">
        <v>232</v>
      </c>
      <c r="E1318" s="304">
        <v>3.9790000000000001</v>
      </c>
      <c r="F1318" s="304">
        <v>8.7100000000000009</v>
      </c>
      <c r="G1318" s="300">
        <v>6.8769159999999996</v>
      </c>
      <c r="H1318" s="304">
        <v>9.3324569999999998</v>
      </c>
      <c r="I1318" s="301">
        <v>0.13320000000000001</v>
      </c>
      <c r="J1318" s="301">
        <v>0.12470000000000001</v>
      </c>
      <c r="K1318" s="300">
        <v>69.847633999999999</v>
      </c>
      <c r="L1318" s="321"/>
      <c r="M1318" s="399"/>
    </row>
    <row r="1319" spans="2:13">
      <c r="B1319" s="335">
        <v>19</v>
      </c>
      <c r="C1319" s="320"/>
      <c r="D1319" s="299" t="s">
        <v>233</v>
      </c>
      <c r="E1319" s="304">
        <v>3.9809999999999999</v>
      </c>
      <c r="F1319" s="304">
        <v>8.657</v>
      </c>
      <c r="G1319" s="300">
        <v>6.8316359999999996</v>
      </c>
      <c r="H1319" s="304">
        <v>9.2682409999999997</v>
      </c>
      <c r="I1319" s="301">
        <v>0.13320000000000001</v>
      </c>
      <c r="J1319" s="301">
        <v>0.125</v>
      </c>
      <c r="K1319" s="300">
        <v>69.256</v>
      </c>
      <c r="L1319" s="321"/>
      <c r="M1319" s="399"/>
    </row>
    <row r="1320" spans="2:13" ht="17.25" thickBot="1">
      <c r="B1320" s="336">
        <v>20</v>
      </c>
      <c r="C1320" s="323"/>
      <c r="D1320" s="354" t="s">
        <v>249</v>
      </c>
      <c r="E1320" s="374">
        <v>3.98</v>
      </c>
      <c r="F1320" s="374">
        <v>8.6509999999999998</v>
      </c>
      <c r="G1320" s="375">
        <v>6.8286170000000004</v>
      </c>
      <c r="H1320" s="374">
        <v>9.283633</v>
      </c>
      <c r="I1320" s="376">
        <v>0.1331</v>
      </c>
      <c r="J1320" s="376">
        <v>0.12470000000000001</v>
      </c>
      <c r="K1320" s="375">
        <v>69.374499</v>
      </c>
      <c r="L1320" s="324"/>
      <c r="M1320" s="399"/>
    </row>
    <row r="1321" spans="2:13" ht="17.25" thickBot="1">
      <c r="B1321" s="337"/>
      <c r="C1321" s="326"/>
      <c r="D1321" s="327" t="s">
        <v>463</v>
      </c>
      <c r="E1321" s="328">
        <f>AVERAGE(E1316:E1320)</f>
        <v>3.9793999999999996</v>
      </c>
      <c r="F1321" s="328">
        <f t="shared" ref="F1321:K1321" si="378">AVERAGE(F1316:F1320)</f>
        <v>8.7029999999999994</v>
      </c>
      <c r="G1321" s="328">
        <f t="shared" si="378"/>
        <v>6.8707055999999991</v>
      </c>
      <c r="H1321" s="328">
        <f t="shared" si="378"/>
        <v>9.3502938000000011</v>
      </c>
      <c r="I1321" s="329">
        <f t="shared" si="378"/>
        <v>0.13322000000000001</v>
      </c>
      <c r="J1321" s="329">
        <f t="shared" si="378"/>
        <v>0.12436</v>
      </c>
      <c r="K1321" s="328">
        <f t="shared" si="378"/>
        <v>69.985546599999992</v>
      </c>
      <c r="L1321" s="331"/>
      <c r="M1321" s="399"/>
    </row>
    <row r="1322" spans="2:13">
      <c r="B1322" s="333">
        <v>21</v>
      </c>
      <c r="C1322" s="271" t="s">
        <v>349</v>
      </c>
      <c r="D1322" s="291" t="s">
        <v>250</v>
      </c>
      <c r="E1322" s="302">
        <v>3.9350000000000001</v>
      </c>
      <c r="F1322" s="302">
        <v>8.6620000000000008</v>
      </c>
      <c r="G1322" s="286">
        <v>6.9154900000000001</v>
      </c>
      <c r="H1322" s="302">
        <v>9.3966619999999992</v>
      </c>
      <c r="I1322" s="287">
        <v>0.13350000000000001</v>
      </c>
      <c r="J1322" s="287">
        <v>0.1227</v>
      </c>
      <c r="K1322" s="286">
        <v>70.594947000000005</v>
      </c>
      <c r="L1322" s="332"/>
      <c r="M1322" s="399"/>
    </row>
    <row r="1323" spans="2:13">
      <c r="B1323" s="335">
        <v>22</v>
      </c>
      <c r="C1323" s="320"/>
      <c r="D1323" s="299" t="s">
        <v>251</v>
      </c>
      <c r="E1323" s="304">
        <v>3.9409999999999998</v>
      </c>
      <c r="F1323" s="304">
        <v>8.6620000000000008</v>
      </c>
      <c r="G1323" s="300">
        <v>6.9049610000000001</v>
      </c>
      <c r="H1323" s="304">
        <v>9.3490249999999993</v>
      </c>
      <c r="I1323" s="301">
        <v>0.1333</v>
      </c>
      <c r="J1323" s="301">
        <v>0.1236</v>
      </c>
      <c r="K1323" s="300">
        <v>70.080905999999999</v>
      </c>
      <c r="L1323" s="321"/>
      <c r="M1323" s="399"/>
    </row>
    <row r="1324" spans="2:13">
      <c r="B1324" s="335">
        <v>23</v>
      </c>
      <c r="C1324" s="320"/>
      <c r="D1324" s="299" t="s">
        <v>237</v>
      </c>
      <c r="E1324" s="304">
        <v>3.944</v>
      </c>
      <c r="F1324" s="304">
        <v>8.6489999999999991</v>
      </c>
      <c r="G1324" s="300">
        <v>6.889354</v>
      </c>
      <c r="H1324" s="304">
        <v>9.3218359999999993</v>
      </c>
      <c r="I1324" s="301">
        <v>0.13320000000000001</v>
      </c>
      <c r="J1324" s="301">
        <v>0.124</v>
      </c>
      <c r="K1324" s="300">
        <v>69.75</v>
      </c>
      <c r="L1324" s="321"/>
      <c r="M1324" s="399"/>
    </row>
    <row r="1325" spans="2:13">
      <c r="B1325" s="335">
        <v>24</v>
      </c>
      <c r="C1325" s="320"/>
      <c r="D1325" s="365" t="s">
        <v>238</v>
      </c>
      <c r="E1325" s="366">
        <v>3.944</v>
      </c>
      <c r="F1325" s="366">
        <v>8.6259999999999994</v>
      </c>
      <c r="G1325" s="367">
        <v>6.8710329999999997</v>
      </c>
      <c r="H1325" s="366">
        <v>9.2741989999999994</v>
      </c>
      <c r="I1325" s="369">
        <v>0.1333</v>
      </c>
      <c r="J1325" s="369">
        <v>0.12429999999999999</v>
      </c>
      <c r="K1325" s="367">
        <v>69.396620999999996</v>
      </c>
      <c r="L1325" s="321"/>
      <c r="M1325" s="399"/>
    </row>
    <row r="1326" spans="2:13" ht="17.25" thickBot="1">
      <c r="B1326" s="336">
        <v>25</v>
      </c>
      <c r="C1326" s="323"/>
      <c r="D1326" s="293" t="s">
        <v>252</v>
      </c>
      <c r="E1326" s="371">
        <v>3.9420000000000002</v>
      </c>
      <c r="F1326" s="371">
        <v>8.6430000000000007</v>
      </c>
      <c r="G1326" s="288">
        <v>6.8880679999999996</v>
      </c>
      <c r="H1326" s="371">
        <v>9.3047979999999999</v>
      </c>
      <c r="I1326" s="289">
        <v>0.1333</v>
      </c>
      <c r="J1326" s="289">
        <v>0.1242</v>
      </c>
      <c r="K1326" s="288">
        <v>69.589371999999997</v>
      </c>
      <c r="L1326" s="324"/>
      <c r="M1326" s="399"/>
    </row>
    <row r="1327" spans="2:13" ht="17.25" thickBot="1">
      <c r="B1327" s="339" t="s">
        <v>464</v>
      </c>
      <c r="C1327" s="340"/>
      <c r="D1327" s="341" t="s">
        <v>465</v>
      </c>
      <c r="E1327" s="342">
        <f>AVERAGE(E1322:E1326)</f>
        <v>3.9411999999999998</v>
      </c>
      <c r="F1327" s="342">
        <f t="shared" ref="F1327:K1327" si="379">AVERAGE(F1322:F1326)</f>
        <v>8.6483999999999988</v>
      </c>
      <c r="G1327" s="342">
        <f t="shared" si="379"/>
        <v>6.8937811999999994</v>
      </c>
      <c r="H1327" s="342">
        <f t="shared" si="379"/>
        <v>9.3293039999999969</v>
      </c>
      <c r="I1327" s="343">
        <f t="shared" si="379"/>
        <v>0.13331999999999999</v>
      </c>
      <c r="J1327" s="343">
        <f t="shared" si="379"/>
        <v>0.12376000000000001</v>
      </c>
      <c r="K1327" s="342">
        <f t="shared" si="379"/>
        <v>69.882369199999999</v>
      </c>
      <c r="L1327" s="344"/>
      <c r="M1327" s="399"/>
    </row>
    <row r="1328" spans="2:13">
      <c r="B1328" s="333"/>
      <c r="C1328" s="345"/>
      <c r="D1328" s="291" t="s">
        <v>466</v>
      </c>
      <c r="E1328" s="346">
        <f>MEDIAN(E1298:E1302,E1304:E1308,E1310:E1314,E1316:E1320,E1322:E1326)</f>
        <v>3.9790000000000001</v>
      </c>
      <c r="F1328" s="346">
        <f t="shared" ref="F1328:K1328" si="380">MEDIAN(F1298:F1302,F1304:F1308,F1310:F1314,F1316:F1320,F1322:F1326)</f>
        <v>8.6620000000000008</v>
      </c>
      <c r="G1328" s="346">
        <f t="shared" si="380"/>
        <v>6.8510049999999998</v>
      </c>
      <c r="H1328" s="346">
        <f t="shared" si="380"/>
        <v>9.3353389999999994</v>
      </c>
      <c r="I1328" s="347">
        <f t="shared" si="380"/>
        <v>0.13320000000000001</v>
      </c>
      <c r="J1328" s="347">
        <f t="shared" si="380"/>
        <v>0.1242</v>
      </c>
      <c r="K1328" s="348">
        <f t="shared" si="380"/>
        <v>70.104249999999993</v>
      </c>
      <c r="L1328" s="332"/>
      <c r="M1328" s="399"/>
    </row>
    <row r="1329" spans="2:13">
      <c r="B1329" s="335"/>
      <c r="C1329" s="320"/>
      <c r="D1329" s="299" t="s">
        <v>467</v>
      </c>
      <c r="E1329" s="349">
        <f>AVERAGE(E1298:E1302,E1304:E1308,E1310:E1314,E1316:E1320,E1322:E1326)</f>
        <v>3.97052</v>
      </c>
      <c r="F1329" s="349">
        <f t="shared" ref="F1329:K1329" si="381">AVERAGE(F1298:F1302,F1304:F1308,F1310:F1314,F1316:F1320,F1322:F1326)</f>
        <v>8.6570400000000021</v>
      </c>
      <c r="G1329" s="349">
        <f t="shared" si="381"/>
        <v>6.8499660800000015</v>
      </c>
      <c r="H1329" s="349">
        <f t="shared" si="381"/>
        <v>9.3452994399999998</v>
      </c>
      <c r="I1329" s="350">
        <f t="shared" si="381"/>
        <v>0.13338</v>
      </c>
      <c r="J1329" s="350">
        <f t="shared" si="381"/>
        <v>0.12349599999999999</v>
      </c>
      <c r="K1329" s="351">
        <f t="shared" si="381"/>
        <v>70.106684759999993</v>
      </c>
      <c r="L1329" s="321"/>
      <c r="M1329" s="399"/>
    </row>
    <row r="1330" spans="2:13">
      <c r="B1330" s="335"/>
      <c r="C1330" s="320"/>
      <c r="D1330" s="299" t="s">
        <v>199</v>
      </c>
      <c r="E1330" s="349">
        <f>MAX(E1298:E1302,E1304:E1308,E1310:E1314,E1316:E1320,E1322:E1326)</f>
        <v>4.0250000000000004</v>
      </c>
      <c r="F1330" s="349">
        <f t="shared" ref="F1330:K1330" si="382">MAX(F1298:F1302,F1304:F1308,F1310:F1314,F1316:F1320,F1322:F1326)</f>
        <v>8.7690000000000001</v>
      </c>
      <c r="G1330" s="349">
        <f t="shared" si="382"/>
        <v>6.9234989999999996</v>
      </c>
      <c r="H1330" s="349">
        <f t="shared" si="382"/>
        <v>9.4631059999999998</v>
      </c>
      <c r="I1330" s="350">
        <f t="shared" si="382"/>
        <v>0.13420000000000001</v>
      </c>
      <c r="J1330" s="350">
        <f t="shared" si="382"/>
        <v>0.12540000000000001</v>
      </c>
      <c r="K1330" s="351">
        <f t="shared" si="382"/>
        <v>71.318219999999997</v>
      </c>
      <c r="L1330" s="321"/>
      <c r="M1330" s="399"/>
    </row>
    <row r="1331" spans="2:13">
      <c r="B1331" s="335"/>
      <c r="C1331" s="320"/>
      <c r="D1331" s="299" t="s">
        <v>200</v>
      </c>
      <c r="E1331" s="349">
        <f>MIN(E1298:E1302,E1304:E1308,E1310:E1314,E1316:E1320,E1322:E1326)</f>
        <v>3.8860000000000001</v>
      </c>
      <c r="F1331" s="349">
        <f t="shared" ref="F1331:K1331" si="383">MIN(F1298:F1302,F1304:F1308,F1310:F1314,F1316:F1320,F1322:F1326)</f>
        <v>8.468</v>
      </c>
      <c r="G1331" s="349">
        <f t="shared" si="383"/>
        <v>6.7570730000000001</v>
      </c>
      <c r="H1331" s="349">
        <f t="shared" si="383"/>
        <v>9.2513240000000003</v>
      </c>
      <c r="I1331" s="350">
        <f t="shared" si="383"/>
        <v>0.1331</v>
      </c>
      <c r="J1331" s="350">
        <f t="shared" si="383"/>
        <v>0.1191</v>
      </c>
      <c r="K1331" s="351">
        <f t="shared" si="383"/>
        <v>69.019138999999996</v>
      </c>
      <c r="L1331" s="321"/>
      <c r="M1331" s="399"/>
    </row>
    <row r="1332" spans="2:13">
      <c r="B1332" s="335"/>
      <c r="C1332" s="320"/>
      <c r="D1332" s="299" t="s">
        <v>201</v>
      </c>
      <c r="E1332" s="349">
        <f>E1330-E1331</f>
        <v>0.13900000000000023</v>
      </c>
      <c r="F1332" s="349">
        <f t="shared" ref="F1332:K1332" si="384">F1330-F1331</f>
        <v>0.30100000000000016</v>
      </c>
      <c r="G1332" s="349">
        <f t="shared" si="384"/>
        <v>0.16642599999999952</v>
      </c>
      <c r="H1332" s="349">
        <f t="shared" si="384"/>
        <v>0.21178199999999947</v>
      </c>
      <c r="I1332" s="350">
        <f t="shared" si="384"/>
        <v>1.1000000000000176E-3</v>
      </c>
      <c r="J1332" s="350">
        <f t="shared" si="384"/>
        <v>6.3000000000000139E-3</v>
      </c>
      <c r="K1332" s="349">
        <f t="shared" si="384"/>
        <v>2.299081000000001</v>
      </c>
      <c r="L1332" s="321"/>
      <c r="M1332" s="399"/>
    </row>
    <row r="1333" spans="2:13" ht="17.25" thickBot="1">
      <c r="B1333" s="336"/>
      <c r="C1333" s="323"/>
      <c r="D1333" s="293" t="s">
        <v>202</v>
      </c>
      <c r="E1333" s="352">
        <f>STDEVA(E1298:E1302,E1304:E1308,E1310:E1314,E1316:E1320,E1322:E1326)</f>
        <v>5.0331501070403267E-2</v>
      </c>
      <c r="F1333" s="352">
        <f t="shared" ref="F1333:K1333" si="385">STDEVA(F1298:F1302,F1304:F1308,F1310:F1314,F1316:F1320,F1322:F1326)</f>
        <v>9.3744546508050322E-2</v>
      </c>
      <c r="G1333" s="352">
        <f t="shared" si="385"/>
        <v>4.2010191193050557E-2</v>
      </c>
      <c r="H1333" s="352">
        <f t="shared" si="385"/>
        <v>5.917299996273636E-2</v>
      </c>
      <c r="I1333" s="353">
        <f t="shared" si="385"/>
        <v>3.43996124009173E-4</v>
      </c>
      <c r="J1333" s="353">
        <f t="shared" si="385"/>
        <v>1.9084199398105943E-3</v>
      </c>
      <c r="K1333" s="352">
        <f t="shared" si="385"/>
        <v>0.63539128253628596</v>
      </c>
      <c r="L1333" s="324"/>
      <c r="M1333" s="399"/>
    </row>
    <row r="1335" spans="2:13">
      <c r="B1335" s="240" t="s">
        <v>505</v>
      </c>
      <c r="C1335" s="240"/>
      <c r="E1335" s="240"/>
      <c r="F1335" s="240"/>
      <c r="G1335" s="240"/>
      <c r="H1335" s="240"/>
      <c r="I1335" s="240"/>
      <c r="J1335" s="240"/>
      <c r="K1335" s="240"/>
    </row>
    <row r="1336" spans="2:13" ht="17.25" thickBot="1">
      <c r="B1336" s="240" t="s">
        <v>469</v>
      </c>
      <c r="C1336" s="240"/>
      <c r="E1336" s="240"/>
      <c r="F1336" s="240"/>
      <c r="G1336" s="240"/>
      <c r="H1336" s="240"/>
      <c r="I1336" s="240"/>
      <c r="J1336" s="240"/>
      <c r="K1336" s="240"/>
    </row>
    <row r="1337" spans="2:13" ht="17.25" thickBot="1">
      <c r="B1337" s="313" t="s">
        <v>11</v>
      </c>
      <c r="C1337" s="250" t="s">
        <v>0</v>
      </c>
      <c r="D1337" s="250" t="s">
        <v>1</v>
      </c>
      <c r="E1337" s="250" t="s">
        <v>2</v>
      </c>
      <c r="F1337" s="250" t="s">
        <v>3</v>
      </c>
      <c r="G1337" s="250" t="s">
        <v>192</v>
      </c>
      <c r="H1337" s="250" t="s">
        <v>16</v>
      </c>
      <c r="I1337" s="250" t="s">
        <v>6</v>
      </c>
      <c r="J1337" s="251" t="s">
        <v>7</v>
      </c>
      <c r="K1337" s="252" t="s">
        <v>8</v>
      </c>
      <c r="L1337" s="254" t="s">
        <v>470</v>
      </c>
      <c r="M1337" s="404"/>
    </row>
    <row r="1338" spans="2:13">
      <c r="B1338" s="314">
        <v>1</v>
      </c>
      <c r="C1338" s="271" t="s">
        <v>347</v>
      </c>
      <c r="D1338" s="291" t="s">
        <v>213</v>
      </c>
      <c r="E1338" s="302">
        <v>4.024</v>
      </c>
      <c r="F1338" s="302">
        <v>8.7010000000000005</v>
      </c>
      <c r="G1338" s="286">
        <v>6.792986</v>
      </c>
      <c r="H1338" s="364">
        <v>9.4456199999999999</v>
      </c>
      <c r="I1338" s="287">
        <v>0.1331</v>
      </c>
      <c r="J1338" s="287">
        <v>0.1227</v>
      </c>
      <c r="K1338" s="286">
        <v>70.912795000000003</v>
      </c>
      <c r="L1338" s="275"/>
      <c r="M1338" s="397"/>
    </row>
    <row r="1339" spans="2:13">
      <c r="B1339" s="315">
        <v>2</v>
      </c>
      <c r="C1339" s="316"/>
      <c r="D1339" s="299" t="s">
        <v>214</v>
      </c>
      <c r="E1339" s="304">
        <v>4.0190000000000001</v>
      </c>
      <c r="F1339" s="304">
        <v>8.6999999999999993</v>
      </c>
      <c r="G1339" s="300">
        <v>6.8006549999999999</v>
      </c>
      <c r="H1339" s="370">
        <v>9.4206869999999991</v>
      </c>
      <c r="I1339" s="301">
        <v>0.1331</v>
      </c>
      <c r="J1339" s="301">
        <v>0.1232</v>
      </c>
      <c r="K1339" s="300">
        <v>70.616883000000001</v>
      </c>
      <c r="L1339" s="319"/>
      <c r="M1339" s="398"/>
    </row>
    <row r="1340" spans="2:13">
      <c r="B1340" s="315">
        <v>3</v>
      </c>
      <c r="C1340" s="320"/>
      <c r="D1340" s="299" t="s">
        <v>217</v>
      </c>
      <c r="E1340" s="304">
        <v>4.0119999999999996</v>
      </c>
      <c r="F1340" s="304">
        <v>8.69</v>
      </c>
      <c r="G1340" s="300">
        <v>6.8046899999999999</v>
      </c>
      <c r="H1340" s="370">
        <v>9.400468</v>
      </c>
      <c r="I1340" s="301">
        <v>0.1331</v>
      </c>
      <c r="J1340" s="301">
        <v>0.1234</v>
      </c>
      <c r="K1340" s="300">
        <v>70.421394000000006</v>
      </c>
      <c r="L1340" s="356"/>
      <c r="M1340" s="400"/>
    </row>
    <row r="1341" spans="2:13">
      <c r="B1341" s="315">
        <v>4</v>
      </c>
      <c r="C1341" s="320"/>
      <c r="D1341" s="299" t="s">
        <v>218</v>
      </c>
      <c r="E1341" s="304">
        <v>4.0119999999999996</v>
      </c>
      <c r="F1341" s="304">
        <v>8.6039999999999992</v>
      </c>
      <c r="G1341" s="300">
        <v>6.7373479999999999</v>
      </c>
      <c r="H1341" s="370">
        <v>9.3384129999999992</v>
      </c>
      <c r="I1341" s="301">
        <v>0.1331</v>
      </c>
      <c r="J1341" s="301">
        <v>0.1231</v>
      </c>
      <c r="K1341" s="300">
        <v>69.894395000000003</v>
      </c>
      <c r="L1341" s="356"/>
      <c r="M1341" s="400"/>
    </row>
    <row r="1342" spans="2:13" ht="17.25" thickBot="1">
      <c r="B1342" s="322">
        <v>5</v>
      </c>
      <c r="C1342" s="323"/>
      <c r="D1342" s="293" t="s">
        <v>240</v>
      </c>
      <c r="E1342" s="371">
        <v>4.0030000000000001</v>
      </c>
      <c r="F1342" s="371">
        <v>8.6489999999999991</v>
      </c>
      <c r="G1342" s="288">
        <v>6.7878119999999997</v>
      </c>
      <c r="H1342" s="372">
        <v>9.3903459999999992</v>
      </c>
      <c r="I1342" s="289">
        <v>0.13320000000000001</v>
      </c>
      <c r="J1342" s="289">
        <v>0.1226</v>
      </c>
      <c r="K1342" s="288">
        <v>70.546492999999998</v>
      </c>
      <c r="L1342" s="324"/>
      <c r="M1342" s="399"/>
    </row>
    <row r="1343" spans="2:13" ht="17.25" thickBot="1">
      <c r="B1343" s="325"/>
      <c r="C1343" s="326"/>
      <c r="D1343" s="327" t="s">
        <v>463</v>
      </c>
      <c r="E1343" s="328">
        <f>AVERAGE(E1338:E1342)</f>
        <v>4.0140000000000002</v>
      </c>
      <c r="F1343" s="328">
        <f t="shared" ref="F1343:K1343" si="386">AVERAGE(F1338:F1342)</f>
        <v>8.6688000000000009</v>
      </c>
      <c r="G1343" s="328">
        <f t="shared" si="386"/>
        <v>6.7846981999999993</v>
      </c>
      <c r="H1343" s="373">
        <f t="shared" si="386"/>
        <v>9.3991068000000002</v>
      </c>
      <c r="I1343" s="329">
        <f t="shared" si="386"/>
        <v>0.13311999999999999</v>
      </c>
      <c r="J1343" s="329">
        <f t="shared" si="386"/>
        <v>0.123</v>
      </c>
      <c r="K1343" s="330">
        <f t="shared" si="386"/>
        <v>70.478391999999999</v>
      </c>
      <c r="L1343" s="331"/>
      <c r="M1343" s="399"/>
    </row>
    <row r="1344" spans="2:13">
      <c r="B1344" s="314">
        <v>6</v>
      </c>
      <c r="C1344" s="271" t="s">
        <v>347</v>
      </c>
      <c r="D1344" s="291" t="s">
        <v>241</v>
      </c>
      <c r="E1344" s="302">
        <v>4.0229999999999997</v>
      </c>
      <c r="F1344" s="302">
        <v>8.6829999999999998</v>
      </c>
      <c r="G1344" s="286">
        <v>6.7806179999999996</v>
      </c>
      <c r="H1344" s="364">
        <v>9.3903800000000004</v>
      </c>
      <c r="I1344" s="287">
        <v>0.1331</v>
      </c>
      <c r="J1344" s="287">
        <v>0.12330000000000001</v>
      </c>
      <c r="K1344" s="286">
        <v>70.421735999999996</v>
      </c>
      <c r="L1344" s="332"/>
      <c r="M1344" s="399"/>
    </row>
    <row r="1345" spans="2:13">
      <c r="B1345" s="315">
        <v>7</v>
      </c>
      <c r="C1345" s="320"/>
      <c r="D1345" s="299" t="s">
        <v>242</v>
      </c>
      <c r="E1345" s="304">
        <v>4.0129999999999999</v>
      </c>
      <c r="F1345" s="304">
        <v>8.6259999999999994</v>
      </c>
      <c r="G1345" s="300">
        <v>6.7528920000000001</v>
      </c>
      <c r="H1345" s="370">
        <v>9.3237719999999999</v>
      </c>
      <c r="I1345" s="301">
        <v>0.13300000000000001</v>
      </c>
      <c r="J1345" s="301">
        <v>0.1237</v>
      </c>
      <c r="K1345" s="300">
        <v>69.733226000000002</v>
      </c>
      <c r="L1345" s="321"/>
      <c r="M1345" s="399"/>
    </row>
    <row r="1346" spans="2:13">
      <c r="B1346" s="315">
        <v>8</v>
      </c>
      <c r="C1346" s="320"/>
      <c r="D1346" s="299" t="s">
        <v>222</v>
      </c>
      <c r="E1346" s="304">
        <v>4.0129999999999999</v>
      </c>
      <c r="F1346" s="304">
        <v>8.657</v>
      </c>
      <c r="G1346" s="300">
        <v>6.7771600000000003</v>
      </c>
      <c r="H1346" s="370">
        <v>9.3474360000000001</v>
      </c>
      <c r="I1346" s="301">
        <v>0.13300000000000001</v>
      </c>
      <c r="J1346" s="301">
        <v>0.1239</v>
      </c>
      <c r="K1346" s="300">
        <v>69.870863999999997</v>
      </c>
      <c r="L1346" s="321"/>
      <c r="M1346" s="399"/>
    </row>
    <row r="1347" spans="2:13">
      <c r="B1347" s="315">
        <v>9</v>
      </c>
      <c r="C1347" s="320"/>
      <c r="D1347" s="365" t="s">
        <v>223</v>
      </c>
      <c r="E1347" s="366">
        <v>4.0090000000000003</v>
      </c>
      <c r="F1347" s="366">
        <v>8.6430000000000007</v>
      </c>
      <c r="G1347" s="367">
        <v>6.7729509999999999</v>
      </c>
      <c r="H1347" s="368">
        <v>9.3339289999999995</v>
      </c>
      <c r="I1347" s="369">
        <v>0.13300000000000001</v>
      </c>
      <c r="J1347" s="369">
        <v>0.1237</v>
      </c>
      <c r="K1347" s="367">
        <v>69.870654999999999</v>
      </c>
      <c r="L1347" s="321"/>
      <c r="M1347" s="399"/>
    </row>
    <row r="1348" spans="2:13" ht="17.25" thickBot="1">
      <c r="B1348" s="322">
        <v>10</v>
      </c>
      <c r="C1348" s="323"/>
      <c r="D1348" s="293" t="s">
        <v>243</v>
      </c>
      <c r="E1348" s="371">
        <v>4.0019999999999998</v>
      </c>
      <c r="F1348" s="371">
        <v>8.625</v>
      </c>
      <c r="G1348" s="288">
        <v>6.7706679999999997</v>
      </c>
      <c r="H1348" s="372">
        <v>9.3592289999999991</v>
      </c>
      <c r="I1348" s="289">
        <v>0.1331</v>
      </c>
      <c r="J1348" s="289">
        <v>0.1232</v>
      </c>
      <c r="K1348" s="288">
        <v>70.008116999999999</v>
      </c>
      <c r="L1348" s="324"/>
      <c r="M1348" s="399"/>
    </row>
    <row r="1349" spans="2:13" ht="17.25" thickBot="1">
      <c r="B1349" s="325" t="s">
        <v>464</v>
      </c>
      <c r="C1349" s="326"/>
      <c r="D1349" s="327" t="s">
        <v>463</v>
      </c>
      <c r="E1349" s="328">
        <f t="shared" ref="E1349:K1349" si="387">AVERAGE(E1344:E1348)</f>
        <v>4.0119999999999996</v>
      </c>
      <c r="F1349" s="328">
        <f t="shared" si="387"/>
        <v>8.6467999999999989</v>
      </c>
      <c r="G1349" s="328">
        <f t="shared" si="387"/>
        <v>6.7708577999999999</v>
      </c>
      <c r="H1349" s="373">
        <f t="shared" si="387"/>
        <v>9.3509491999999987</v>
      </c>
      <c r="I1349" s="329">
        <f t="shared" si="387"/>
        <v>0.13303999999999999</v>
      </c>
      <c r="J1349" s="329">
        <f t="shared" si="387"/>
        <v>0.12356</v>
      </c>
      <c r="K1349" s="330">
        <f t="shared" si="387"/>
        <v>69.980919599999993</v>
      </c>
      <c r="L1349" s="331"/>
      <c r="M1349" s="399"/>
    </row>
    <row r="1350" spans="2:13">
      <c r="B1350" s="333">
        <v>11</v>
      </c>
      <c r="C1350" s="271" t="s">
        <v>296</v>
      </c>
      <c r="D1350" s="291" t="s">
        <v>244</v>
      </c>
      <c r="E1350" s="302">
        <v>3.887</v>
      </c>
      <c r="F1350" s="302">
        <v>8.5830000000000002</v>
      </c>
      <c r="G1350" s="286">
        <v>6.9370380000000003</v>
      </c>
      <c r="H1350" s="302">
        <v>9.5591690000000007</v>
      </c>
      <c r="I1350" s="287">
        <v>0.13400000000000001</v>
      </c>
      <c r="J1350" s="287">
        <v>0.1181</v>
      </c>
      <c r="K1350" s="286">
        <v>72.675698999999994</v>
      </c>
      <c r="L1350" s="332"/>
      <c r="M1350" s="399"/>
    </row>
    <row r="1351" spans="2:13">
      <c r="B1351" s="335">
        <v>12</v>
      </c>
      <c r="C1351" s="320"/>
      <c r="D1351" s="299" t="s">
        <v>245</v>
      </c>
      <c r="E1351" s="304">
        <v>3.8919999999999999</v>
      </c>
      <c r="F1351" s="304">
        <v>8.5679999999999996</v>
      </c>
      <c r="G1351" s="300">
        <v>6.9160180000000002</v>
      </c>
      <c r="H1351" s="304">
        <v>9.5153020000000001</v>
      </c>
      <c r="I1351" s="301">
        <v>0.13389999999999999</v>
      </c>
      <c r="J1351" s="301">
        <v>0.1187</v>
      </c>
      <c r="K1351" s="300">
        <v>72.181971000000004</v>
      </c>
      <c r="L1351" s="321"/>
      <c r="M1351" s="399"/>
    </row>
    <row r="1352" spans="2:13">
      <c r="B1352" s="335">
        <v>13</v>
      </c>
      <c r="C1352" s="320"/>
      <c r="D1352" s="365" t="s">
        <v>227</v>
      </c>
      <c r="E1352" s="366">
        <v>3.8929999999999998</v>
      </c>
      <c r="F1352" s="366">
        <v>8.5229999999999997</v>
      </c>
      <c r="G1352" s="367">
        <v>6.8779269999999997</v>
      </c>
      <c r="H1352" s="366">
        <v>9.4637419999999999</v>
      </c>
      <c r="I1352" s="369">
        <v>0.13400000000000001</v>
      </c>
      <c r="J1352" s="369">
        <v>0.11890000000000001</v>
      </c>
      <c r="K1352" s="367">
        <v>71.682085999999998</v>
      </c>
      <c r="L1352" s="321"/>
      <c r="M1352" s="399"/>
    </row>
    <row r="1353" spans="2:13">
      <c r="B1353" s="335">
        <v>14</v>
      </c>
      <c r="C1353" s="320"/>
      <c r="D1353" s="299" t="s">
        <v>228</v>
      </c>
      <c r="E1353" s="304">
        <v>3.8929999999999998</v>
      </c>
      <c r="F1353" s="304">
        <v>8.4949999999999992</v>
      </c>
      <c r="G1353" s="300">
        <v>6.8553319999999998</v>
      </c>
      <c r="H1353" s="304">
        <v>9.4490060000000007</v>
      </c>
      <c r="I1353" s="301">
        <v>0.13389999999999999</v>
      </c>
      <c r="J1353" s="301">
        <v>0.1186</v>
      </c>
      <c r="K1353" s="300">
        <v>71.627319</v>
      </c>
      <c r="L1353" s="321"/>
      <c r="M1353" s="399"/>
    </row>
    <row r="1354" spans="2:13" ht="17.25" thickBot="1">
      <c r="B1354" s="336">
        <v>15</v>
      </c>
      <c r="C1354" s="323"/>
      <c r="D1354" s="293" t="s">
        <v>246</v>
      </c>
      <c r="E1354" s="371">
        <v>3.8879999999999999</v>
      </c>
      <c r="F1354" s="371">
        <v>8.4689999999999994</v>
      </c>
      <c r="G1354" s="288">
        <v>6.8431389999999999</v>
      </c>
      <c r="H1354" s="371">
        <v>9.4154339999999994</v>
      </c>
      <c r="I1354" s="289">
        <v>0.13400000000000001</v>
      </c>
      <c r="J1354" s="289">
        <v>0.1183</v>
      </c>
      <c r="K1354" s="288">
        <v>71.589179999999999</v>
      </c>
      <c r="L1354" s="324"/>
      <c r="M1354" s="399"/>
    </row>
    <row r="1355" spans="2:13" ht="17.25" thickBot="1">
      <c r="B1355" s="337"/>
      <c r="C1355" s="326"/>
      <c r="D1355" s="327" t="s">
        <v>463</v>
      </c>
      <c r="E1355" s="328">
        <f>AVERAGE(E1350:E1354)</f>
        <v>3.8906000000000005</v>
      </c>
      <c r="F1355" s="328">
        <f t="shared" ref="F1355:K1355" si="388">AVERAGE(F1350:F1354)</f>
        <v>8.5275999999999996</v>
      </c>
      <c r="G1355" s="328">
        <f t="shared" si="388"/>
        <v>6.8858908000000003</v>
      </c>
      <c r="H1355" s="328">
        <f t="shared" si="388"/>
        <v>9.4805305999999998</v>
      </c>
      <c r="I1355" s="329">
        <f t="shared" si="388"/>
        <v>0.13396000000000002</v>
      </c>
      <c r="J1355" s="329">
        <f t="shared" si="388"/>
        <v>0.11852</v>
      </c>
      <c r="K1355" s="330">
        <f t="shared" si="388"/>
        <v>71.951250999999985</v>
      </c>
      <c r="L1355" s="331"/>
      <c r="M1355" s="399"/>
    </row>
    <row r="1356" spans="2:13">
      <c r="B1356" s="333">
        <v>16</v>
      </c>
      <c r="C1356" s="271" t="s">
        <v>348</v>
      </c>
      <c r="D1356" s="291" t="s">
        <v>247</v>
      </c>
      <c r="E1356" s="302">
        <v>3.97</v>
      </c>
      <c r="F1356" s="302">
        <v>8.6769999999999996</v>
      </c>
      <c r="G1356" s="286">
        <v>6.8663920000000003</v>
      </c>
      <c r="H1356" s="302">
        <v>9.40808</v>
      </c>
      <c r="I1356" s="287">
        <v>0.1333</v>
      </c>
      <c r="J1356" s="287">
        <v>0.1229</v>
      </c>
      <c r="K1356" s="286">
        <v>70.602115999999995</v>
      </c>
      <c r="L1356" s="359"/>
      <c r="M1356" s="401"/>
    </row>
    <row r="1357" spans="2:13">
      <c r="B1357" s="335">
        <v>17</v>
      </c>
      <c r="C1357" s="320"/>
      <c r="D1357" s="299" t="s">
        <v>248</v>
      </c>
      <c r="E1357" s="304">
        <v>3.964</v>
      </c>
      <c r="F1357" s="304">
        <v>8.6869999999999994</v>
      </c>
      <c r="G1357" s="300">
        <v>6.8847100000000001</v>
      </c>
      <c r="H1357" s="304">
        <v>9.3976790000000001</v>
      </c>
      <c r="I1357" s="301">
        <v>0.1331</v>
      </c>
      <c r="J1357" s="301">
        <v>0.12330000000000001</v>
      </c>
      <c r="K1357" s="300">
        <v>70.454177000000001</v>
      </c>
      <c r="L1357" s="321"/>
      <c r="M1357" s="399"/>
    </row>
    <row r="1358" spans="2:13">
      <c r="B1358" s="335">
        <v>18</v>
      </c>
      <c r="C1358" s="320"/>
      <c r="D1358" s="299" t="s">
        <v>232</v>
      </c>
      <c r="E1358" s="304">
        <v>3.968</v>
      </c>
      <c r="F1358" s="304">
        <v>8.6259999999999994</v>
      </c>
      <c r="G1358" s="300">
        <v>6.8294750000000004</v>
      </c>
      <c r="H1358" s="304">
        <v>9.3295680000000001</v>
      </c>
      <c r="I1358" s="301">
        <v>0.1331</v>
      </c>
      <c r="J1358" s="301">
        <v>0.1234</v>
      </c>
      <c r="K1358" s="300">
        <v>69.902754999999999</v>
      </c>
      <c r="L1358" s="321"/>
      <c r="M1358" s="399"/>
    </row>
    <row r="1359" spans="2:13">
      <c r="B1359" s="335">
        <v>19</v>
      </c>
      <c r="C1359" s="320"/>
      <c r="D1359" s="299" t="s">
        <v>233</v>
      </c>
      <c r="E1359" s="304">
        <v>3.9649999999999999</v>
      </c>
      <c r="F1359" s="304">
        <v>8.6549999999999994</v>
      </c>
      <c r="G1359" s="300">
        <v>6.8576199999999998</v>
      </c>
      <c r="H1359" s="304">
        <v>9.3797320000000006</v>
      </c>
      <c r="I1359" s="301">
        <v>0.13320000000000001</v>
      </c>
      <c r="J1359" s="301">
        <v>0.12330000000000001</v>
      </c>
      <c r="K1359" s="300">
        <v>70.194647000000003</v>
      </c>
      <c r="L1359" s="321"/>
      <c r="M1359" s="399"/>
    </row>
    <row r="1360" spans="2:13" ht="17.25" thickBot="1">
      <c r="B1360" s="336">
        <v>20</v>
      </c>
      <c r="C1360" s="323"/>
      <c r="D1360" s="354" t="s">
        <v>249</v>
      </c>
      <c r="E1360" s="374">
        <v>3.964</v>
      </c>
      <c r="F1360" s="374">
        <v>8.5920000000000005</v>
      </c>
      <c r="G1360" s="375">
        <v>6.8094200000000003</v>
      </c>
      <c r="H1360" s="374">
        <v>9.3454420000000002</v>
      </c>
      <c r="I1360" s="376">
        <v>0.13320000000000001</v>
      </c>
      <c r="J1360" s="376">
        <v>0.12280000000000001</v>
      </c>
      <c r="K1360" s="375">
        <v>69.967427000000001</v>
      </c>
      <c r="L1360" s="324"/>
      <c r="M1360" s="399"/>
    </row>
    <row r="1361" spans="2:13" ht="17.25" thickBot="1">
      <c r="B1361" s="337"/>
      <c r="C1361" s="326"/>
      <c r="D1361" s="327" t="s">
        <v>463</v>
      </c>
      <c r="E1361" s="328">
        <f>AVERAGE(E1356:E1360)</f>
        <v>3.9661999999999997</v>
      </c>
      <c r="F1361" s="328">
        <f t="shared" ref="F1361:K1361" si="389">AVERAGE(F1356:F1360)</f>
        <v>8.6473999999999993</v>
      </c>
      <c r="G1361" s="328">
        <f t="shared" si="389"/>
        <v>6.8495233999999998</v>
      </c>
      <c r="H1361" s="328">
        <f t="shared" si="389"/>
        <v>9.372100200000002</v>
      </c>
      <c r="I1361" s="329">
        <f t="shared" si="389"/>
        <v>0.13317999999999999</v>
      </c>
      <c r="J1361" s="329">
        <f t="shared" si="389"/>
        <v>0.12314</v>
      </c>
      <c r="K1361" s="328">
        <f t="shared" si="389"/>
        <v>70.224224399999997</v>
      </c>
      <c r="L1361" s="331"/>
      <c r="M1361" s="399"/>
    </row>
    <row r="1362" spans="2:13">
      <c r="B1362" s="333">
        <v>21</v>
      </c>
      <c r="C1362" s="271" t="s">
        <v>349</v>
      </c>
      <c r="D1362" s="291" t="s">
        <v>250</v>
      </c>
      <c r="E1362" s="302">
        <v>3.9289999999999998</v>
      </c>
      <c r="F1362" s="302">
        <v>8.67</v>
      </c>
      <c r="G1362" s="286">
        <v>6.9324469999999998</v>
      </c>
      <c r="H1362" s="302">
        <v>9.4292020000000001</v>
      </c>
      <c r="I1362" s="287">
        <v>0.13320000000000001</v>
      </c>
      <c r="J1362" s="287">
        <v>0.1225</v>
      </c>
      <c r="K1362" s="286">
        <v>70.775509999999997</v>
      </c>
      <c r="L1362" s="332"/>
      <c r="M1362" s="399"/>
    </row>
    <row r="1363" spans="2:13">
      <c r="B1363" s="335">
        <v>22</v>
      </c>
      <c r="C1363" s="320"/>
      <c r="D1363" s="299" t="s">
        <v>251</v>
      </c>
      <c r="E1363" s="304">
        <v>3.931</v>
      </c>
      <c r="F1363" s="304">
        <v>8.6709999999999994</v>
      </c>
      <c r="G1363" s="300">
        <v>6.9297190000000004</v>
      </c>
      <c r="H1363" s="304">
        <v>9.4126689999999993</v>
      </c>
      <c r="I1363" s="301">
        <v>0.13320000000000001</v>
      </c>
      <c r="J1363" s="301">
        <v>0.123</v>
      </c>
      <c r="K1363" s="300">
        <v>70.495935000000003</v>
      </c>
      <c r="L1363" s="321"/>
      <c r="M1363" s="399"/>
    </row>
    <row r="1364" spans="2:13">
      <c r="B1364" s="335">
        <v>23</v>
      </c>
      <c r="C1364" s="320"/>
      <c r="D1364" s="299" t="s">
        <v>237</v>
      </c>
      <c r="E1364" s="304">
        <v>3.9359999999999999</v>
      </c>
      <c r="F1364" s="304">
        <v>8.6440000000000001</v>
      </c>
      <c r="G1364" s="300">
        <v>6.8993659999999997</v>
      </c>
      <c r="H1364" s="304">
        <v>9.3743440000000007</v>
      </c>
      <c r="I1364" s="301">
        <v>0.1331</v>
      </c>
      <c r="J1364" s="301">
        <v>0.1232</v>
      </c>
      <c r="K1364" s="300">
        <v>70.162338000000005</v>
      </c>
      <c r="L1364" s="321"/>
      <c r="M1364" s="399"/>
    </row>
    <row r="1365" spans="2:13">
      <c r="B1365" s="335">
        <v>24</v>
      </c>
      <c r="C1365" s="320"/>
      <c r="D1365" s="299" t="s">
        <v>238</v>
      </c>
      <c r="E1365" s="304">
        <v>3.9350000000000001</v>
      </c>
      <c r="F1365" s="304">
        <v>8.6140000000000008</v>
      </c>
      <c r="G1365" s="300">
        <v>6.8771680000000002</v>
      </c>
      <c r="H1365" s="304">
        <v>9.3590309999999999</v>
      </c>
      <c r="I1365" s="301">
        <v>0.1331</v>
      </c>
      <c r="J1365" s="301">
        <v>0.12280000000000001</v>
      </c>
      <c r="K1365" s="300">
        <v>70.14658</v>
      </c>
      <c r="L1365" s="321"/>
      <c r="M1365" s="399"/>
    </row>
    <row r="1366" spans="2:13" ht="17.25" thickBot="1">
      <c r="B1366" s="336">
        <v>25</v>
      </c>
      <c r="C1366" s="323"/>
      <c r="D1366" s="354" t="s">
        <v>252</v>
      </c>
      <c r="E1366" s="374">
        <v>3.9340000000000002</v>
      </c>
      <c r="F1366" s="374">
        <v>8.5820000000000007</v>
      </c>
      <c r="G1366" s="375">
        <v>6.8533619999999997</v>
      </c>
      <c r="H1366" s="374">
        <v>9.3651129999999991</v>
      </c>
      <c r="I1366" s="376">
        <v>0.13320000000000001</v>
      </c>
      <c r="J1366" s="376">
        <v>0.12230000000000001</v>
      </c>
      <c r="K1366" s="375">
        <v>70.171709000000007</v>
      </c>
      <c r="L1366" s="324"/>
      <c r="M1366" s="399"/>
    </row>
    <row r="1367" spans="2:13" ht="17.25" thickBot="1">
      <c r="B1367" s="339" t="s">
        <v>464</v>
      </c>
      <c r="C1367" s="340"/>
      <c r="D1367" s="341" t="s">
        <v>465</v>
      </c>
      <c r="E1367" s="342">
        <f>AVERAGE(E1362:E1366)</f>
        <v>3.9329999999999998</v>
      </c>
      <c r="F1367" s="342">
        <f t="shared" ref="F1367:K1367" si="390">AVERAGE(F1362:F1366)</f>
        <v>8.6362000000000005</v>
      </c>
      <c r="G1367" s="342">
        <f t="shared" si="390"/>
        <v>6.8984123999999998</v>
      </c>
      <c r="H1367" s="342">
        <f t="shared" si="390"/>
        <v>9.3880718000000005</v>
      </c>
      <c r="I1367" s="343">
        <f t="shared" si="390"/>
        <v>0.13316</v>
      </c>
      <c r="J1367" s="343">
        <f t="shared" si="390"/>
        <v>0.12276000000000001</v>
      </c>
      <c r="K1367" s="342">
        <f t="shared" si="390"/>
        <v>70.350414400000005</v>
      </c>
      <c r="L1367" s="344"/>
      <c r="M1367" s="399"/>
    </row>
    <row r="1368" spans="2:13">
      <c r="B1368" s="333"/>
      <c r="C1368" s="345"/>
      <c r="D1368" s="291" t="s">
        <v>466</v>
      </c>
      <c r="E1368" s="346">
        <f>MEDIAN(E1338:E1342,E1344:E1348,E1350:E1354,E1356:E1360,E1362:E1366)</f>
        <v>3.9649999999999999</v>
      </c>
      <c r="F1368" s="346">
        <f t="shared" ref="F1368:K1368" si="391">MEDIAN(F1338:F1342,F1344:F1348,F1350:F1354,F1356:F1360,F1362:F1366)</f>
        <v>8.6430000000000007</v>
      </c>
      <c r="G1368" s="346">
        <f t="shared" si="391"/>
        <v>6.8431389999999999</v>
      </c>
      <c r="H1368" s="346">
        <f t="shared" si="391"/>
        <v>9.3903800000000004</v>
      </c>
      <c r="I1368" s="347">
        <f t="shared" si="391"/>
        <v>0.1331</v>
      </c>
      <c r="J1368" s="347">
        <f t="shared" si="391"/>
        <v>0.123</v>
      </c>
      <c r="K1368" s="348">
        <f t="shared" si="391"/>
        <v>70.421735999999996</v>
      </c>
      <c r="L1368" s="332"/>
      <c r="M1368" s="399"/>
    </row>
    <row r="1369" spans="2:13">
      <c r="B1369" s="335"/>
      <c r="C1369" s="320"/>
      <c r="D1369" s="299" t="s">
        <v>467</v>
      </c>
      <c r="E1369" s="349">
        <f>AVERAGE(E1338:E1342,E1344:E1348,E1350:E1354,E1356:E1360,E1362:E1366)</f>
        <v>3.9631600000000002</v>
      </c>
      <c r="F1369" s="349">
        <f t="shared" ref="F1369:K1369" si="392">AVERAGE(F1338:F1342,F1344:F1348,F1350:F1354,F1356:F1360,F1362:F1366)</f>
        <v>8.6253600000000006</v>
      </c>
      <c r="G1369" s="349">
        <f t="shared" si="392"/>
        <v>6.83787652</v>
      </c>
      <c r="H1369" s="349">
        <f t="shared" si="392"/>
        <v>9.3981517200000013</v>
      </c>
      <c r="I1369" s="350">
        <f t="shared" si="392"/>
        <v>0.13329199999999999</v>
      </c>
      <c r="J1369" s="350">
        <f t="shared" si="392"/>
        <v>0.12219600000000001</v>
      </c>
      <c r="K1369" s="351">
        <f t="shared" si="392"/>
        <v>70.597040280000002</v>
      </c>
      <c r="L1369" s="321"/>
      <c r="M1369" s="399"/>
    </row>
    <row r="1370" spans="2:13">
      <c r="B1370" s="335"/>
      <c r="C1370" s="320"/>
      <c r="D1370" s="299" t="s">
        <v>199</v>
      </c>
      <c r="E1370" s="349">
        <f>MAX(E1338:E1342,E1344:E1348,E1350:E1354,E1356:E1360,E1362:E1366)</f>
        <v>4.024</v>
      </c>
      <c r="F1370" s="349">
        <f t="shared" ref="F1370:K1370" si="393">MAX(F1338:F1342,F1344:F1348,F1350:F1354,F1356:F1360,F1362:F1366)</f>
        <v>8.7010000000000005</v>
      </c>
      <c r="G1370" s="349">
        <f t="shared" si="393"/>
        <v>6.9370380000000003</v>
      </c>
      <c r="H1370" s="349">
        <f t="shared" si="393"/>
        <v>9.5591690000000007</v>
      </c>
      <c r="I1370" s="350">
        <f t="shared" si="393"/>
        <v>0.13400000000000001</v>
      </c>
      <c r="J1370" s="350">
        <f t="shared" si="393"/>
        <v>0.1239</v>
      </c>
      <c r="K1370" s="351">
        <f t="shared" si="393"/>
        <v>72.675698999999994</v>
      </c>
      <c r="L1370" s="321"/>
      <c r="M1370" s="399"/>
    </row>
    <row r="1371" spans="2:13">
      <c r="B1371" s="335"/>
      <c r="C1371" s="320"/>
      <c r="D1371" s="299" t="s">
        <v>200</v>
      </c>
      <c r="E1371" s="349">
        <f>MIN(E1338:E1342,E1344:E1348,E1350:E1354,E1356:E1360,E1362:E1366)</f>
        <v>3.887</v>
      </c>
      <c r="F1371" s="349">
        <f t="shared" ref="F1371:K1371" si="394">MIN(F1338:F1342,F1344:F1348,F1350:F1354,F1356:F1360,F1362:F1366)</f>
        <v>8.4689999999999994</v>
      </c>
      <c r="G1371" s="349">
        <f t="shared" si="394"/>
        <v>6.7373479999999999</v>
      </c>
      <c r="H1371" s="349">
        <f t="shared" si="394"/>
        <v>9.3237719999999999</v>
      </c>
      <c r="I1371" s="350">
        <f t="shared" si="394"/>
        <v>0.13300000000000001</v>
      </c>
      <c r="J1371" s="350">
        <f t="shared" si="394"/>
        <v>0.1181</v>
      </c>
      <c r="K1371" s="351">
        <f t="shared" si="394"/>
        <v>69.733226000000002</v>
      </c>
      <c r="L1371" s="321"/>
      <c r="M1371" s="399"/>
    </row>
    <row r="1372" spans="2:13">
      <c r="B1372" s="335"/>
      <c r="C1372" s="320"/>
      <c r="D1372" s="299" t="s">
        <v>201</v>
      </c>
      <c r="E1372" s="349">
        <f>E1370-E1371</f>
        <v>0.13700000000000001</v>
      </c>
      <c r="F1372" s="349">
        <f t="shared" ref="F1372:K1372" si="395">F1370-F1371</f>
        <v>0.23200000000000109</v>
      </c>
      <c r="G1372" s="349">
        <f t="shared" si="395"/>
        <v>0.19969000000000037</v>
      </c>
      <c r="H1372" s="349">
        <f t="shared" si="395"/>
        <v>0.23539700000000074</v>
      </c>
      <c r="I1372" s="350">
        <f t="shared" si="395"/>
        <v>1.0000000000000009E-3</v>
      </c>
      <c r="J1372" s="350">
        <f t="shared" si="395"/>
        <v>5.7999999999999996E-3</v>
      </c>
      <c r="K1372" s="349">
        <f t="shared" si="395"/>
        <v>2.9424729999999926</v>
      </c>
      <c r="L1372" s="321"/>
      <c r="M1372" s="399"/>
    </row>
    <row r="1373" spans="2:13" ht="17.25" thickBot="1">
      <c r="B1373" s="336"/>
      <c r="C1373" s="323"/>
      <c r="D1373" s="293" t="s">
        <v>202</v>
      </c>
      <c r="E1373" s="352">
        <f>STDEVA(E1338:E1342,E1344:E1348,E1350:E1354,E1356:E1360,E1362:E1366)</f>
        <v>4.8455890594780449E-2</v>
      </c>
      <c r="F1373" s="352">
        <f t="shared" ref="F1373:K1373" si="396">STDEVA(F1338:F1342,F1344:F1348,F1350:F1354,F1356:F1360,F1362:F1366)</f>
        <v>6.2254772240099544E-2</v>
      </c>
      <c r="G1373" s="352">
        <f t="shared" si="396"/>
        <v>5.9557213117668123E-2</v>
      </c>
      <c r="H1373" s="352">
        <f t="shared" si="396"/>
        <v>5.7489821045062853E-2</v>
      </c>
      <c r="I1373" s="353">
        <f t="shared" si="396"/>
        <v>3.487119154832539E-4</v>
      </c>
      <c r="J1373" s="353">
        <f t="shared" si="396"/>
        <v>1.9169159258211274E-3</v>
      </c>
      <c r="K1373" s="352">
        <f t="shared" si="396"/>
        <v>0.77828726920722646</v>
      </c>
      <c r="L1373" s="324"/>
      <c r="M1373" s="399"/>
    </row>
    <row r="1375" spans="2:13">
      <c r="B1375" s="240" t="s">
        <v>506</v>
      </c>
      <c r="C1375" s="240"/>
      <c r="E1375" s="240"/>
      <c r="F1375" s="240"/>
      <c r="G1375" s="240"/>
      <c r="H1375" s="240"/>
      <c r="I1375" s="240"/>
      <c r="J1375" s="240"/>
      <c r="K1375" s="240"/>
    </row>
    <row r="1376" spans="2:13" ht="17.25" thickBot="1">
      <c r="B1376" s="240" t="s">
        <v>469</v>
      </c>
      <c r="C1376" s="240"/>
      <c r="E1376" s="240"/>
      <c r="F1376" s="240"/>
      <c r="G1376" s="240"/>
      <c r="H1376" s="240"/>
      <c r="I1376" s="240"/>
      <c r="J1376" s="240"/>
      <c r="K1376" s="240"/>
    </row>
    <row r="1377" spans="2:13" ht="17.25" thickBot="1">
      <c r="B1377" s="313" t="s">
        <v>11</v>
      </c>
      <c r="C1377" s="250" t="s">
        <v>0</v>
      </c>
      <c r="D1377" s="250" t="s">
        <v>1</v>
      </c>
      <c r="E1377" s="250" t="s">
        <v>2</v>
      </c>
      <c r="F1377" s="250" t="s">
        <v>3</v>
      </c>
      <c r="G1377" s="250" t="s">
        <v>192</v>
      </c>
      <c r="H1377" s="250" t="s">
        <v>16</v>
      </c>
      <c r="I1377" s="250" t="s">
        <v>6</v>
      </c>
      <c r="J1377" s="251" t="s">
        <v>7</v>
      </c>
      <c r="K1377" s="252" t="s">
        <v>8</v>
      </c>
      <c r="L1377" s="254" t="s">
        <v>470</v>
      </c>
      <c r="M1377" s="404"/>
    </row>
    <row r="1378" spans="2:13">
      <c r="B1378" s="314">
        <v>1</v>
      </c>
      <c r="C1378" s="271" t="s">
        <v>366</v>
      </c>
      <c r="D1378" s="377" t="s">
        <v>213</v>
      </c>
      <c r="E1378" s="378">
        <v>3.7610000000000001</v>
      </c>
      <c r="F1378" s="378">
        <v>3.895</v>
      </c>
      <c r="G1378" s="379">
        <v>3.2535210000000001</v>
      </c>
      <c r="H1378" s="380">
        <v>4.7676800000000004</v>
      </c>
      <c r="I1378" s="381">
        <v>0.13969999999999999</v>
      </c>
      <c r="J1378" s="381">
        <v>0.1011</v>
      </c>
      <c r="K1378" s="379">
        <v>38.526212000000001</v>
      </c>
      <c r="L1378" s="275"/>
      <c r="M1378" s="397"/>
    </row>
    <row r="1379" spans="2:13">
      <c r="B1379" s="315">
        <v>2</v>
      </c>
      <c r="C1379" s="316"/>
      <c r="D1379" s="299" t="s">
        <v>214</v>
      </c>
      <c r="E1379" s="304">
        <v>3.7690000000000001</v>
      </c>
      <c r="F1379" s="304">
        <v>3.952</v>
      </c>
      <c r="G1379" s="300">
        <v>3.294127</v>
      </c>
      <c r="H1379" s="370">
        <v>4.8390180000000003</v>
      </c>
      <c r="I1379" s="301">
        <v>0.1396</v>
      </c>
      <c r="J1379" s="301">
        <v>0.10100000000000001</v>
      </c>
      <c r="K1379" s="300">
        <v>39.128712999999998</v>
      </c>
      <c r="L1379" s="319"/>
      <c r="M1379" s="398"/>
    </row>
    <row r="1380" spans="2:13">
      <c r="B1380" s="315">
        <v>3</v>
      </c>
      <c r="C1380" s="320"/>
      <c r="D1380" s="299" t="s">
        <v>217</v>
      </c>
      <c r="E1380" s="304">
        <v>3.7770000000000001</v>
      </c>
      <c r="F1380" s="304">
        <v>3.9980000000000002</v>
      </c>
      <c r="G1380" s="300">
        <v>3.3254109999999999</v>
      </c>
      <c r="H1380" s="370">
        <v>4.9027349999999998</v>
      </c>
      <c r="I1380" s="301">
        <v>0.1396</v>
      </c>
      <c r="J1380" s="301">
        <v>0.1009</v>
      </c>
      <c r="K1380" s="300">
        <v>39.623389000000003</v>
      </c>
      <c r="L1380" s="356"/>
      <c r="M1380" s="400"/>
    </row>
    <row r="1381" spans="2:13">
      <c r="B1381" s="315">
        <v>4</v>
      </c>
      <c r="C1381" s="320"/>
      <c r="D1381" s="299" t="s">
        <v>218</v>
      </c>
      <c r="E1381" s="304">
        <v>3.7879999999999998</v>
      </c>
      <c r="F1381" s="304">
        <v>4.0730000000000004</v>
      </c>
      <c r="G1381" s="300">
        <v>3.3779560000000002</v>
      </c>
      <c r="H1381" s="370">
        <v>4.9965489999999999</v>
      </c>
      <c r="I1381" s="301">
        <v>0.13950000000000001</v>
      </c>
      <c r="J1381" s="301">
        <v>0.1008</v>
      </c>
      <c r="K1381" s="300">
        <v>40.406745999999998</v>
      </c>
      <c r="L1381" s="356"/>
      <c r="M1381" s="400"/>
    </row>
    <row r="1382" spans="2:13" ht="17.25" thickBot="1">
      <c r="B1382" s="322">
        <v>5</v>
      </c>
      <c r="C1382" s="323"/>
      <c r="D1382" s="293" t="s">
        <v>240</v>
      </c>
      <c r="E1382" s="371">
        <v>3.794</v>
      </c>
      <c r="F1382" s="371">
        <v>4.1159999999999997</v>
      </c>
      <c r="G1382" s="288">
        <v>3.4082189999999999</v>
      </c>
      <c r="H1382" s="372">
        <v>5.0546259999999998</v>
      </c>
      <c r="I1382" s="289">
        <v>0.1394</v>
      </c>
      <c r="J1382" s="289">
        <v>0.1008</v>
      </c>
      <c r="K1382" s="288">
        <v>40.833333000000003</v>
      </c>
      <c r="L1382" s="324"/>
      <c r="M1382" s="399"/>
    </row>
    <row r="1383" spans="2:13" ht="17.25" thickBot="1">
      <c r="B1383" s="325"/>
      <c r="C1383" s="326"/>
      <c r="D1383" s="327" t="s">
        <v>463</v>
      </c>
      <c r="E1383" s="328">
        <f>AVERAGE(E1378:E1382)</f>
        <v>3.7778</v>
      </c>
      <c r="F1383" s="328">
        <f t="shared" ref="F1383:K1383" si="397">AVERAGE(F1378:F1382)</f>
        <v>4.0068000000000001</v>
      </c>
      <c r="G1383" s="328">
        <f t="shared" si="397"/>
        <v>3.3318468000000001</v>
      </c>
      <c r="H1383" s="373">
        <f t="shared" si="397"/>
        <v>4.9121216000000008</v>
      </c>
      <c r="I1383" s="329">
        <f t="shared" si="397"/>
        <v>0.13955999999999999</v>
      </c>
      <c r="J1383" s="329">
        <f t="shared" si="397"/>
        <v>0.10091999999999998</v>
      </c>
      <c r="K1383" s="330">
        <f t="shared" si="397"/>
        <v>39.703678600000003</v>
      </c>
      <c r="L1383" s="331"/>
      <c r="M1383" s="399"/>
    </row>
    <row r="1384" spans="2:13">
      <c r="B1384" s="314">
        <v>6</v>
      </c>
      <c r="C1384" s="271" t="s">
        <v>296</v>
      </c>
      <c r="D1384" s="291" t="s">
        <v>241</v>
      </c>
      <c r="E1384" s="302">
        <v>3.7450000000000001</v>
      </c>
      <c r="F1384" s="302">
        <v>3.5910000000000002</v>
      </c>
      <c r="G1384" s="286">
        <v>3.0124029999999999</v>
      </c>
      <c r="H1384" s="364">
        <v>4.3733899999999997</v>
      </c>
      <c r="I1384" s="287">
        <v>0.13980000000000001</v>
      </c>
      <c r="J1384" s="287">
        <v>0.10199999999999999</v>
      </c>
      <c r="K1384" s="286">
        <v>35.205882000000003</v>
      </c>
      <c r="L1384" s="332"/>
      <c r="M1384" s="399"/>
    </row>
    <row r="1385" spans="2:13">
      <c r="B1385" s="315">
        <v>7</v>
      </c>
      <c r="C1385" s="320"/>
      <c r="D1385" s="299" t="s">
        <v>242</v>
      </c>
      <c r="E1385" s="304">
        <v>3.7530000000000001</v>
      </c>
      <c r="F1385" s="304">
        <v>3.6459999999999999</v>
      </c>
      <c r="G1385" s="300">
        <v>3.052022</v>
      </c>
      <c r="H1385" s="370">
        <v>4.4340089999999996</v>
      </c>
      <c r="I1385" s="301">
        <v>0.13969999999999999</v>
      </c>
      <c r="J1385" s="301">
        <v>0.1021</v>
      </c>
      <c r="K1385" s="300">
        <v>35.710087999999999</v>
      </c>
      <c r="L1385" s="321"/>
      <c r="M1385" s="399"/>
    </row>
    <row r="1386" spans="2:13">
      <c r="B1386" s="315">
        <v>8</v>
      </c>
      <c r="C1386" s="320"/>
      <c r="D1386" s="299" t="s">
        <v>222</v>
      </c>
      <c r="E1386" s="304">
        <v>3.762</v>
      </c>
      <c r="F1386" s="304">
        <v>3.71</v>
      </c>
      <c r="G1386" s="300">
        <v>3.098166</v>
      </c>
      <c r="H1386" s="370">
        <v>4.5257050000000003</v>
      </c>
      <c r="I1386" s="301">
        <v>0.1396</v>
      </c>
      <c r="J1386" s="301">
        <v>0.1019</v>
      </c>
      <c r="K1386" s="300">
        <v>36.408242999999999</v>
      </c>
      <c r="L1386" s="321"/>
      <c r="M1386" s="399"/>
    </row>
    <row r="1387" spans="2:13">
      <c r="B1387" s="315">
        <v>9</v>
      </c>
      <c r="C1387" s="320"/>
      <c r="D1387" s="299" t="s">
        <v>223</v>
      </c>
      <c r="E1387" s="304">
        <v>3.77</v>
      </c>
      <c r="F1387" s="304">
        <v>3.7770000000000001</v>
      </c>
      <c r="G1387" s="300">
        <v>3.1474229999999999</v>
      </c>
      <c r="H1387" s="370">
        <v>4.6146159999999998</v>
      </c>
      <c r="I1387" s="301">
        <v>0.1394</v>
      </c>
      <c r="J1387" s="301">
        <v>0.1018</v>
      </c>
      <c r="K1387" s="300">
        <v>37.102161000000002</v>
      </c>
      <c r="L1387" s="321"/>
      <c r="M1387" s="399"/>
    </row>
    <row r="1388" spans="2:13" ht="17.25" thickBot="1">
      <c r="B1388" s="322">
        <v>10</v>
      </c>
      <c r="C1388" s="323"/>
      <c r="D1388" s="354" t="s">
        <v>243</v>
      </c>
      <c r="E1388" s="374">
        <v>3.7770000000000001</v>
      </c>
      <c r="F1388" s="374">
        <v>3.8450000000000002</v>
      </c>
      <c r="G1388" s="375">
        <v>3.19815</v>
      </c>
      <c r="H1388" s="382">
        <v>4.6969690000000002</v>
      </c>
      <c r="I1388" s="376">
        <v>0.1394</v>
      </c>
      <c r="J1388" s="376">
        <v>0.1016</v>
      </c>
      <c r="K1388" s="375">
        <v>37.844487999999998</v>
      </c>
      <c r="L1388" s="324"/>
      <c r="M1388" s="399"/>
    </row>
    <row r="1389" spans="2:13" ht="17.25" thickBot="1">
      <c r="B1389" s="325" t="s">
        <v>464</v>
      </c>
      <c r="C1389" s="326"/>
      <c r="D1389" s="327" t="s">
        <v>463</v>
      </c>
      <c r="E1389" s="328">
        <f t="shared" ref="E1389:K1389" si="398">AVERAGE(E1384:E1388)</f>
        <v>3.7613999999999996</v>
      </c>
      <c r="F1389" s="328">
        <f t="shared" si="398"/>
        <v>3.7138</v>
      </c>
      <c r="G1389" s="328">
        <f t="shared" si="398"/>
        <v>3.1016328</v>
      </c>
      <c r="H1389" s="373">
        <f t="shared" si="398"/>
        <v>4.5289377999999996</v>
      </c>
      <c r="I1389" s="329">
        <f t="shared" si="398"/>
        <v>0.13957999999999998</v>
      </c>
      <c r="J1389" s="329">
        <f t="shared" si="398"/>
        <v>0.10188</v>
      </c>
      <c r="K1389" s="330">
        <f t="shared" si="398"/>
        <v>36.454172400000004</v>
      </c>
      <c r="L1389" s="331"/>
      <c r="M1389" s="399"/>
    </row>
    <row r="1390" spans="2:13">
      <c r="B1390" s="333">
        <v>11</v>
      </c>
      <c r="C1390" s="271" t="s">
        <v>366</v>
      </c>
      <c r="D1390" s="291" t="s">
        <v>244</v>
      </c>
      <c r="E1390" s="302">
        <v>3.8109999999999999</v>
      </c>
      <c r="F1390" s="302">
        <v>4.4429999999999996</v>
      </c>
      <c r="G1390" s="286">
        <v>3.6625779999999999</v>
      </c>
      <c r="H1390" s="302">
        <v>5.4836419999999997</v>
      </c>
      <c r="I1390" s="287">
        <v>0.13930000000000001</v>
      </c>
      <c r="J1390" s="287">
        <v>0.1</v>
      </c>
      <c r="K1390" s="286">
        <v>44.43</v>
      </c>
      <c r="L1390" s="332"/>
      <c r="M1390" s="399"/>
    </row>
    <row r="1391" spans="2:13">
      <c r="B1391" s="335">
        <v>12</v>
      </c>
      <c r="C1391" s="316"/>
      <c r="D1391" s="299" t="s">
        <v>245</v>
      </c>
      <c r="E1391" s="304">
        <v>3.8170000000000002</v>
      </c>
      <c r="F1391" s="304">
        <v>4.4939999999999998</v>
      </c>
      <c r="G1391" s="300">
        <v>3.6987960000000002</v>
      </c>
      <c r="H1391" s="304">
        <v>5.5479380000000003</v>
      </c>
      <c r="I1391" s="301">
        <v>0.13919999999999999</v>
      </c>
      <c r="J1391" s="301">
        <v>0.1</v>
      </c>
      <c r="K1391" s="300">
        <v>44.94</v>
      </c>
      <c r="L1391" s="321"/>
      <c r="M1391" s="399"/>
    </row>
    <row r="1392" spans="2:13">
      <c r="B1392" s="335">
        <v>13</v>
      </c>
      <c r="C1392" s="320"/>
      <c r="D1392" s="299" t="s">
        <v>227</v>
      </c>
      <c r="E1392" s="304">
        <v>3.8239999999999998</v>
      </c>
      <c r="F1392" s="304">
        <v>4.5119999999999996</v>
      </c>
      <c r="G1392" s="300">
        <v>3.7068129999999999</v>
      </c>
      <c r="H1392" s="304">
        <v>5.577407</v>
      </c>
      <c r="I1392" s="301">
        <v>0.13919999999999999</v>
      </c>
      <c r="J1392" s="301">
        <v>0.1</v>
      </c>
      <c r="K1392" s="300">
        <v>45.12</v>
      </c>
      <c r="L1392" s="321"/>
      <c r="M1392" s="399"/>
    </row>
    <row r="1393" spans="2:13">
      <c r="B1393" s="335">
        <v>14</v>
      </c>
      <c r="C1393" s="320"/>
      <c r="D1393" s="299" t="s">
        <v>228</v>
      </c>
      <c r="E1393" s="304">
        <v>3.8290000000000002</v>
      </c>
      <c r="F1393" s="304">
        <v>4.5460000000000003</v>
      </c>
      <c r="G1393" s="300">
        <v>3.7298689999999999</v>
      </c>
      <c r="H1393" s="304">
        <v>5.614179</v>
      </c>
      <c r="I1393" s="301">
        <v>0.13919999999999999</v>
      </c>
      <c r="J1393" s="301">
        <v>0.1</v>
      </c>
      <c r="K1393" s="300">
        <v>45.46</v>
      </c>
      <c r="L1393" s="321"/>
      <c r="M1393" s="399"/>
    </row>
    <row r="1394" spans="2:13" ht="17.25" thickBot="1">
      <c r="B1394" s="336">
        <v>15</v>
      </c>
      <c r="C1394" s="323"/>
      <c r="D1394" s="293" t="s">
        <v>246</v>
      </c>
      <c r="E1394" s="371">
        <v>3.831</v>
      </c>
      <c r="F1394" s="371">
        <v>4.5730000000000004</v>
      </c>
      <c r="G1394" s="288">
        <v>3.7500629999999999</v>
      </c>
      <c r="H1394" s="371">
        <v>5.6496560000000002</v>
      </c>
      <c r="I1394" s="289">
        <v>0.13919999999999999</v>
      </c>
      <c r="J1394" s="289">
        <v>0.1</v>
      </c>
      <c r="K1394" s="288">
        <v>45.73</v>
      </c>
      <c r="L1394" s="324"/>
      <c r="M1394" s="399"/>
    </row>
    <row r="1395" spans="2:13" ht="17.25" thickBot="1">
      <c r="B1395" s="337"/>
      <c r="C1395" s="326"/>
      <c r="D1395" s="327" t="s">
        <v>463</v>
      </c>
      <c r="E1395" s="328">
        <f>AVERAGE(E1390:E1394)</f>
        <v>3.8224000000000005</v>
      </c>
      <c r="F1395" s="328">
        <f t="shared" ref="F1395:K1395" si="399">AVERAGE(F1390:F1394)</f>
        <v>4.5135999999999994</v>
      </c>
      <c r="G1395" s="328">
        <f t="shared" si="399"/>
        <v>3.7096238000000001</v>
      </c>
      <c r="H1395" s="328">
        <f t="shared" si="399"/>
        <v>5.5745643999999999</v>
      </c>
      <c r="I1395" s="329">
        <f t="shared" si="399"/>
        <v>0.13921999999999998</v>
      </c>
      <c r="J1395" s="329">
        <f t="shared" si="399"/>
        <v>0.1</v>
      </c>
      <c r="K1395" s="330">
        <f t="shared" si="399"/>
        <v>45.136000000000003</v>
      </c>
      <c r="L1395" s="331"/>
      <c r="M1395" s="399"/>
    </row>
    <row r="1396" spans="2:13">
      <c r="B1396" s="333">
        <v>16</v>
      </c>
      <c r="C1396" s="271" t="s">
        <v>365</v>
      </c>
      <c r="D1396" s="291" t="s">
        <v>247</v>
      </c>
      <c r="E1396" s="302">
        <v>3.7480000000000002</v>
      </c>
      <c r="F1396" s="302">
        <v>3.5470000000000002</v>
      </c>
      <c r="G1396" s="286">
        <v>2.9731109999999998</v>
      </c>
      <c r="H1396" s="302">
        <v>4.3150139999999997</v>
      </c>
      <c r="I1396" s="287">
        <v>0.13980000000000001</v>
      </c>
      <c r="J1396" s="287">
        <v>0.1021</v>
      </c>
      <c r="K1396" s="286">
        <v>34.740451</v>
      </c>
      <c r="L1396" s="359"/>
      <c r="M1396" s="401"/>
    </row>
    <row r="1397" spans="2:13">
      <c r="B1397" s="335">
        <v>17</v>
      </c>
      <c r="C1397" s="320"/>
      <c r="D1397" s="299" t="s">
        <v>248</v>
      </c>
      <c r="E1397" s="304">
        <v>3.7549999999999999</v>
      </c>
      <c r="F1397" s="304">
        <v>3.5990000000000002</v>
      </c>
      <c r="G1397" s="300">
        <v>3.0110739999999998</v>
      </c>
      <c r="H1397" s="304">
        <v>4.3785080000000001</v>
      </c>
      <c r="I1397" s="301">
        <v>0.13969999999999999</v>
      </c>
      <c r="J1397" s="301">
        <v>0.1021</v>
      </c>
      <c r="K1397" s="300">
        <v>35.249755</v>
      </c>
      <c r="L1397" s="321"/>
      <c r="M1397" s="399"/>
    </row>
    <row r="1398" spans="2:13">
      <c r="B1398" s="335">
        <v>18</v>
      </c>
      <c r="C1398" s="320"/>
      <c r="D1398" s="299" t="s">
        <v>232</v>
      </c>
      <c r="E1398" s="304">
        <v>3.76</v>
      </c>
      <c r="F1398" s="304">
        <v>3.6219999999999999</v>
      </c>
      <c r="G1398" s="300">
        <v>3.0262869999999999</v>
      </c>
      <c r="H1398" s="304">
        <v>4.4031589999999996</v>
      </c>
      <c r="I1398" s="301">
        <v>0.13969999999999999</v>
      </c>
      <c r="J1398" s="301">
        <v>0.1022</v>
      </c>
      <c r="K1398" s="300">
        <v>35.440313000000003</v>
      </c>
      <c r="L1398" s="321"/>
      <c r="M1398" s="399"/>
    </row>
    <row r="1399" spans="2:13">
      <c r="B1399" s="335">
        <v>19</v>
      </c>
      <c r="C1399" s="320"/>
      <c r="D1399" s="299" t="s">
        <v>233</v>
      </c>
      <c r="E1399" s="304">
        <v>3.766</v>
      </c>
      <c r="F1399" s="304">
        <v>3.681</v>
      </c>
      <c r="G1399" s="300">
        <v>3.0706829999999998</v>
      </c>
      <c r="H1399" s="304">
        <v>4.4854419999999999</v>
      </c>
      <c r="I1399" s="301">
        <v>0.1396</v>
      </c>
      <c r="J1399" s="301">
        <v>0.1019</v>
      </c>
      <c r="K1399" s="300">
        <v>36.123651000000002</v>
      </c>
      <c r="L1399" s="321"/>
      <c r="M1399" s="399"/>
    </row>
    <row r="1400" spans="2:13" ht="17.25" thickBot="1">
      <c r="B1400" s="336">
        <v>20</v>
      </c>
      <c r="C1400" s="323"/>
      <c r="D1400" s="293" t="s">
        <v>249</v>
      </c>
      <c r="E1400" s="371">
        <v>3.77</v>
      </c>
      <c r="F1400" s="371">
        <v>3.726</v>
      </c>
      <c r="G1400" s="288">
        <v>3.104924</v>
      </c>
      <c r="H1400" s="371">
        <v>4.546659</v>
      </c>
      <c r="I1400" s="289">
        <v>0.1396</v>
      </c>
      <c r="J1400" s="289">
        <v>0.1018</v>
      </c>
      <c r="K1400" s="288">
        <v>36.601179000000002</v>
      </c>
      <c r="L1400" s="324"/>
      <c r="M1400" s="399"/>
    </row>
    <row r="1401" spans="2:13" ht="17.25" thickBot="1">
      <c r="B1401" s="337"/>
      <c r="C1401" s="326"/>
      <c r="D1401" s="327" t="s">
        <v>463</v>
      </c>
      <c r="E1401" s="328">
        <f>AVERAGE(E1396:E1400)</f>
        <v>3.7597999999999998</v>
      </c>
      <c r="F1401" s="328">
        <f t="shared" ref="F1401:K1401" si="400">AVERAGE(F1396:F1400)</f>
        <v>3.6350000000000002</v>
      </c>
      <c r="G1401" s="328">
        <f t="shared" si="400"/>
        <v>3.0372157999999998</v>
      </c>
      <c r="H1401" s="328">
        <f t="shared" si="400"/>
        <v>4.4257564</v>
      </c>
      <c r="I1401" s="329">
        <f t="shared" si="400"/>
        <v>0.13967999999999997</v>
      </c>
      <c r="J1401" s="329">
        <f t="shared" si="400"/>
        <v>0.10202</v>
      </c>
      <c r="K1401" s="328">
        <f t="shared" si="400"/>
        <v>35.631069799999999</v>
      </c>
      <c r="L1401" s="331"/>
      <c r="M1401" s="399"/>
    </row>
    <row r="1402" spans="2:13">
      <c r="B1402" s="333">
        <v>21</v>
      </c>
      <c r="C1402" s="271" t="s">
        <v>366</v>
      </c>
      <c r="D1402" s="291" t="s">
        <v>250</v>
      </c>
      <c r="E1402" s="302">
        <v>3.8250000000000002</v>
      </c>
      <c r="F1402" s="302">
        <v>4.6479999999999997</v>
      </c>
      <c r="G1402" s="286">
        <v>3.817545</v>
      </c>
      <c r="H1402" s="302">
        <v>5.7499070000000003</v>
      </c>
      <c r="I1402" s="287">
        <v>0.13930000000000001</v>
      </c>
      <c r="J1402" s="287">
        <v>9.9699999999999997E-2</v>
      </c>
      <c r="K1402" s="286">
        <v>46.619860000000003</v>
      </c>
      <c r="L1402" s="332"/>
      <c r="M1402" s="399"/>
    </row>
    <row r="1403" spans="2:13">
      <c r="B1403" s="335">
        <v>22</v>
      </c>
      <c r="C1403" s="320"/>
      <c r="D1403" s="299" t="s">
        <v>251</v>
      </c>
      <c r="E1403" s="304">
        <v>3.83</v>
      </c>
      <c r="F1403" s="304">
        <v>4.6669999999999998</v>
      </c>
      <c r="G1403" s="300">
        <v>3.8281459999999998</v>
      </c>
      <c r="H1403" s="304">
        <v>5.7878470000000002</v>
      </c>
      <c r="I1403" s="301">
        <v>0.13919999999999999</v>
      </c>
      <c r="J1403" s="301">
        <v>9.9599999999999994E-2</v>
      </c>
      <c r="K1403" s="300">
        <v>46.857430000000001</v>
      </c>
      <c r="L1403" s="321"/>
      <c r="M1403" s="399"/>
    </row>
    <row r="1404" spans="2:13">
      <c r="B1404" s="335">
        <v>23</v>
      </c>
      <c r="C1404" s="320"/>
      <c r="D1404" s="299" t="s">
        <v>237</v>
      </c>
      <c r="E1404" s="304">
        <v>3.8330000000000002</v>
      </c>
      <c r="F1404" s="304">
        <v>4.6879999999999997</v>
      </c>
      <c r="G1404" s="300">
        <v>3.8423620000000001</v>
      </c>
      <c r="H1404" s="304">
        <v>5.8114530000000002</v>
      </c>
      <c r="I1404" s="301">
        <v>0.13919999999999999</v>
      </c>
      <c r="J1404" s="301">
        <v>9.9699999999999997E-2</v>
      </c>
      <c r="K1404" s="300">
        <v>47.021062999999998</v>
      </c>
      <c r="L1404" s="321"/>
      <c r="M1404" s="399"/>
    </row>
    <row r="1405" spans="2:13">
      <c r="B1405" s="335">
        <v>24</v>
      </c>
      <c r="C1405" s="320"/>
      <c r="D1405" s="299" t="s">
        <v>238</v>
      </c>
      <c r="E1405" s="304">
        <v>3.8370000000000002</v>
      </c>
      <c r="F1405" s="304">
        <v>4.7039999999999997</v>
      </c>
      <c r="G1405" s="300">
        <v>3.8514569999999999</v>
      </c>
      <c r="H1405" s="304">
        <v>5.8258380000000001</v>
      </c>
      <c r="I1405" s="301">
        <v>0.1391</v>
      </c>
      <c r="J1405" s="301">
        <v>9.9699999999999997E-2</v>
      </c>
      <c r="K1405" s="300">
        <v>47.181545</v>
      </c>
      <c r="L1405" s="321"/>
      <c r="M1405" s="399"/>
    </row>
    <row r="1406" spans="2:13" ht="17.25" thickBot="1">
      <c r="B1406" s="336">
        <v>25</v>
      </c>
      <c r="C1406" s="323"/>
      <c r="D1406" s="293" t="s">
        <v>252</v>
      </c>
      <c r="E1406" s="371">
        <v>3.839</v>
      </c>
      <c r="F1406" s="371">
        <v>4.72</v>
      </c>
      <c r="G1406" s="288">
        <v>3.8625440000000002</v>
      </c>
      <c r="H1406" s="371">
        <v>5.8519819999999996</v>
      </c>
      <c r="I1406" s="289">
        <v>0.13919999999999999</v>
      </c>
      <c r="J1406" s="289">
        <v>9.9599999999999994E-2</v>
      </c>
      <c r="K1406" s="288">
        <v>47.389558000000001</v>
      </c>
      <c r="L1406" s="324"/>
      <c r="M1406" s="399"/>
    </row>
    <row r="1407" spans="2:13" ht="17.25" thickBot="1">
      <c r="B1407" s="339" t="s">
        <v>464</v>
      </c>
      <c r="C1407" s="340"/>
      <c r="D1407" s="341" t="s">
        <v>465</v>
      </c>
      <c r="E1407" s="342">
        <f>AVERAGE(E1402:E1406)</f>
        <v>3.8327999999999998</v>
      </c>
      <c r="F1407" s="342">
        <f t="shared" ref="F1407:K1407" si="401">AVERAGE(F1402:F1406)</f>
        <v>4.6853999999999996</v>
      </c>
      <c r="G1407" s="342">
        <f t="shared" si="401"/>
        <v>3.8404107999999999</v>
      </c>
      <c r="H1407" s="342">
        <f t="shared" si="401"/>
        <v>5.8054053999999997</v>
      </c>
      <c r="I1407" s="343">
        <f t="shared" si="401"/>
        <v>0.13919999999999999</v>
      </c>
      <c r="J1407" s="343">
        <f t="shared" si="401"/>
        <v>9.9659999999999999E-2</v>
      </c>
      <c r="K1407" s="342">
        <f t="shared" si="401"/>
        <v>47.013891200000003</v>
      </c>
      <c r="L1407" s="344"/>
      <c r="M1407" s="399"/>
    </row>
    <row r="1408" spans="2:13">
      <c r="B1408" s="333"/>
      <c r="C1408" s="345"/>
      <c r="D1408" s="291" t="s">
        <v>466</v>
      </c>
      <c r="E1408" s="346">
        <f>MEDIAN(E1378:E1382,E1384:E1388,E1390:E1394,E1396:E1400,E1402:E1406)</f>
        <v>3.7770000000000001</v>
      </c>
      <c r="F1408" s="346">
        <f t="shared" ref="F1408:K1408" si="402">MEDIAN(F1378:F1382,F1384:F1388,F1390:F1394,F1396:F1400,F1402:F1406)</f>
        <v>3.9980000000000002</v>
      </c>
      <c r="G1408" s="346">
        <f t="shared" si="402"/>
        <v>3.3254109999999999</v>
      </c>
      <c r="H1408" s="346">
        <f t="shared" si="402"/>
        <v>4.9027349999999998</v>
      </c>
      <c r="I1408" s="347">
        <f t="shared" si="402"/>
        <v>0.1394</v>
      </c>
      <c r="J1408" s="347">
        <f t="shared" si="402"/>
        <v>0.1009</v>
      </c>
      <c r="K1408" s="348">
        <f t="shared" si="402"/>
        <v>39.623389000000003</v>
      </c>
      <c r="L1408" s="332"/>
      <c r="M1408" s="399"/>
    </row>
    <row r="1409" spans="2:13">
      <c r="B1409" s="335"/>
      <c r="C1409" s="320"/>
      <c r="D1409" s="299" t="s">
        <v>467</v>
      </c>
      <c r="E1409" s="349">
        <f>AVERAGE(E1378:E1382,E1384:E1388,E1390:E1394,E1396:E1400,E1402:E1406)</f>
        <v>3.7908400000000007</v>
      </c>
      <c r="F1409" s="349">
        <f t="shared" ref="F1409:K1409" si="403">AVERAGE(F1378:F1382,F1384:F1388,F1390:F1394,F1396:F1400,F1402:F1406)</f>
        <v>4.1109200000000001</v>
      </c>
      <c r="G1409" s="349">
        <f t="shared" si="403"/>
        <v>3.4041459999999995</v>
      </c>
      <c r="H1409" s="349">
        <f t="shared" si="403"/>
        <v>5.0493571200000007</v>
      </c>
      <c r="I1409" s="350">
        <f t="shared" si="403"/>
        <v>0.13944800000000002</v>
      </c>
      <c r="J1409" s="350">
        <f t="shared" si="403"/>
        <v>0.10089600000000003</v>
      </c>
      <c r="K1409" s="351">
        <f t="shared" si="403"/>
        <v>40.787762400000013</v>
      </c>
      <c r="L1409" s="321"/>
      <c r="M1409" s="399"/>
    </row>
    <row r="1410" spans="2:13">
      <c r="B1410" s="335"/>
      <c r="C1410" s="320"/>
      <c r="D1410" s="299" t="s">
        <v>199</v>
      </c>
      <c r="E1410" s="349">
        <f>MAX(E1378:E1382,E1384:E1388,E1390:E1394,E1396:E1400,E1402:E1406)</f>
        <v>3.839</v>
      </c>
      <c r="F1410" s="349">
        <f t="shared" ref="F1410:K1410" si="404">MAX(F1378:F1382,F1384:F1388,F1390:F1394,F1396:F1400,F1402:F1406)</f>
        <v>4.72</v>
      </c>
      <c r="G1410" s="349">
        <f t="shared" si="404"/>
        <v>3.8625440000000002</v>
      </c>
      <c r="H1410" s="349">
        <f t="shared" si="404"/>
        <v>5.8519819999999996</v>
      </c>
      <c r="I1410" s="350">
        <f t="shared" si="404"/>
        <v>0.13980000000000001</v>
      </c>
      <c r="J1410" s="350">
        <f t="shared" si="404"/>
        <v>0.1022</v>
      </c>
      <c r="K1410" s="351">
        <f t="shared" si="404"/>
        <v>47.389558000000001</v>
      </c>
      <c r="L1410" s="321"/>
      <c r="M1410" s="399"/>
    </row>
    <row r="1411" spans="2:13">
      <c r="B1411" s="335"/>
      <c r="C1411" s="320"/>
      <c r="D1411" s="299" t="s">
        <v>200</v>
      </c>
      <c r="E1411" s="349">
        <f>MIN(E1378:E1382,E1384:E1388,E1390:E1394,E1396:E1400,E1402:E1406)</f>
        <v>3.7450000000000001</v>
      </c>
      <c r="F1411" s="349">
        <f t="shared" ref="F1411:K1411" si="405">MIN(F1378:F1382,F1384:F1388,F1390:F1394,F1396:F1400,F1402:F1406)</f>
        <v>3.5470000000000002</v>
      </c>
      <c r="G1411" s="349">
        <f t="shared" si="405"/>
        <v>2.9731109999999998</v>
      </c>
      <c r="H1411" s="349">
        <f t="shared" si="405"/>
        <v>4.3150139999999997</v>
      </c>
      <c r="I1411" s="350">
        <f t="shared" si="405"/>
        <v>0.1391</v>
      </c>
      <c r="J1411" s="350">
        <f t="shared" si="405"/>
        <v>9.9599999999999994E-2</v>
      </c>
      <c r="K1411" s="351">
        <f t="shared" si="405"/>
        <v>34.740451</v>
      </c>
      <c r="L1411" s="321"/>
      <c r="M1411" s="399"/>
    </row>
    <row r="1412" spans="2:13">
      <c r="B1412" s="335"/>
      <c r="C1412" s="320"/>
      <c r="D1412" s="299" t="s">
        <v>201</v>
      </c>
      <c r="E1412" s="349">
        <f>E1410-E1411</f>
        <v>9.3999999999999861E-2</v>
      </c>
      <c r="F1412" s="349">
        <f t="shared" ref="F1412:K1412" si="406">F1410-F1411</f>
        <v>1.1729999999999996</v>
      </c>
      <c r="G1412" s="349">
        <f t="shared" si="406"/>
        <v>0.88943300000000036</v>
      </c>
      <c r="H1412" s="349">
        <f t="shared" si="406"/>
        <v>1.5369679999999999</v>
      </c>
      <c r="I1412" s="350">
        <f t="shared" si="406"/>
        <v>7.0000000000000617E-4</v>
      </c>
      <c r="J1412" s="350">
        <f t="shared" si="406"/>
        <v>2.6000000000000051E-3</v>
      </c>
      <c r="K1412" s="349">
        <f t="shared" si="406"/>
        <v>12.649107000000001</v>
      </c>
      <c r="L1412" s="321"/>
      <c r="M1412" s="399"/>
    </row>
    <row r="1413" spans="2:13" ht="17.25" thickBot="1">
      <c r="B1413" s="336"/>
      <c r="C1413" s="323"/>
      <c r="D1413" s="293" t="s">
        <v>202</v>
      </c>
      <c r="E1413" s="352">
        <f>STDEVA(E1378:E1382,E1384:E1388,E1390:E1394,E1396:E1400,E1402:E1406)</f>
        <v>3.2836311201676328E-2</v>
      </c>
      <c r="F1413" s="352">
        <f t="shared" ref="F1413:K1413" si="407">STDEVA(F1378:F1382,F1384:F1388,F1390:F1394,F1396:F1400,F1402:F1406)</f>
        <v>0.43501656290306812</v>
      </c>
      <c r="G1413" s="352">
        <f t="shared" si="407"/>
        <v>0.33095876995015056</v>
      </c>
      <c r="H1413" s="352">
        <f t="shared" si="407"/>
        <v>0.57037673809131217</v>
      </c>
      <c r="I1413" s="353">
        <f t="shared" si="407"/>
        <v>2.2568414506414576E-4</v>
      </c>
      <c r="J1413" s="353">
        <f t="shared" si="407"/>
        <v>9.8212354959376948E-4</v>
      </c>
      <c r="K1413" s="352">
        <f t="shared" si="407"/>
        <v>4.7106098180046123</v>
      </c>
      <c r="L1413" s="324"/>
      <c r="M1413" s="399"/>
    </row>
    <row r="1415" spans="2:13">
      <c r="B1415" s="240" t="s">
        <v>507</v>
      </c>
      <c r="C1415" s="240"/>
      <c r="E1415" s="240"/>
      <c r="F1415" s="240"/>
      <c r="G1415" s="240"/>
      <c r="H1415" s="240"/>
      <c r="I1415" s="240"/>
      <c r="J1415" s="240"/>
      <c r="K1415" s="240"/>
    </row>
    <row r="1416" spans="2:13" ht="17.25" thickBot="1">
      <c r="B1416" s="240" t="s">
        <v>469</v>
      </c>
      <c r="C1416" s="240"/>
      <c r="E1416" s="240"/>
      <c r="F1416" s="240"/>
      <c r="G1416" s="240"/>
      <c r="H1416" s="240"/>
      <c r="I1416" s="240"/>
      <c r="J1416" s="240"/>
      <c r="K1416" s="240"/>
    </row>
    <row r="1417" spans="2:13" ht="17.25" thickBot="1">
      <c r="B1417" s="313" t="s">
        <v>11</v>
      </c>
      <c r="C1417" s="250" t="s">
        <v>0</v>
      </c>
      <c r="D1417" s="250" t="s">
        <v>1</v>
      </c>
      <c r="E1417" s="250" t="s">
        <v>2</v>
      </c>
      <c r="F1417" s="250" t="s">
        <v>3</v>
      </c>
      <c r="G1417" s="250" t="s">
        <v>192</v>
      </c>
      <c r="H1417" s="250" t="s">
        <v>16</v>
      </c>
      <c r="I1417" s="250" t="s">
        <v>6</v>
      </c>
      <c r="J1417" s="251" t="s">
        <v>7</v>
      </c>
      <c r="K1417" s="252" t="s">
        <v>8</v>
      </c>
      <c r="L1417" s="254" t="s">
        <v>470</v>
      </c>
      <c r="M1417" s="404"/>
    </row>
    <row r="1418" spans="2:13">
      <c r="B1418" s="314">
        <v>1</v>
      </c>
      <c r="C1418" s="271" t="s">
        <v>365</v>
      </c>
      <c r="D1418" s="291" t="s">
        <v>213</v>
      </c>
      <c r="E1418" s="302">
        <v>3.7639999999999998</v>
      </c>
      <c r="F1418" s="302">
        <v>3.8220000000000001</v>
      </c>
      <c r="G1418" s="286">
        <v>3.1899989999999998</v>
      </c>
      <c r="H1418" s="364">
        <v>4.6779310000000001</v>
      </c>
      <c r="I1418" s="287">
        <v>0.1396</v>
      </c>
      <c r="J1418" s="287">
        <v>0.1012</v>
      </c>
      <c r="K1418" s="286">
        <v>37.766798000000001</v>
      </c>
      <c r="L1418" s="275"/>
      <c r="M1418" s="397"/>
    </row>
    <row r="1419" spans="2:13">
      <c r="B1419" s="315">
        <v>2</v>
      </c>
      <c r="C1419" s="316"/>
      <c r="D1419" s="299" t="s">
        <v>214</v>
      </c>
      <c r="E1419" s="304">
        <v>3.7719999999999998</v>
      </c>
      <c r="F1419" s="304">
        <v>3.851</v>
      </c>
      <c r="G1419" s="300">
        <v>3.2073870000000002</v>
      </c>
      <c r="H1419" s="370">
        <v>4.7216800000000001</v>
      </c>
      <c r="I1419" s="301">
        <v>0.13950000000000001</v>
      </c>
      <c r="J1419" s="301">
        <v>0.1012</v>
      </c>
      <c r="K1419" s="300">
        <v>38.053359999999998</v>
      </c>
      <c r="L1419" s="319"/>
      <c r="M1419" s="398"/>
    </row>
    <row r="1420" spans="2:13">
      <c r="B1420" s="315">
        <v>3</v>
      </c>
      <c r="C1420" s="320"/>
      <c r="D1420" s="299" t="s">
        <v>217</v>
      </c>
      <c r="E1420" s="304">
        <v>3.7770000000000001</v>
      </c>
      <c r="F1420" s="304">
        <v>3.8849999999999998</v>
      </c>
      <c r="G1420" s="300">
        <v>3.2314210000000001</v>
      </c>
      <c r="H1420" s="370">
        <v>4.7607220000000003</v>
      </c>
      <c r="I1420" s="301">
        <v>0.13950000000000001</v>
      </c>
      <c r="J1420" s="301">
        <v>0.1012</v>
      </c>
      <c r="K1420" s="300">
        <v>38.389327999999999</v>
      </c>
      <c r="L1420" s="356"/>
      <c r="M1420" s="400"/>
    </row>
    <row r="1421" spans="2:13">
      <c r="B1421" s="315">
        <v>4</v>
      </c>
      <c r="C1421" s="320"/>
      <c r="D1421" s="299" t="s">
        <v>218</v>
      </c>
      <c r="E1421" s="304">
        <v>3.782</v>
      </c>
      <c r="F1421" s="304">
        <v>3.9009999999999998</v>
      </c>
      <c r="G1421" s="300">
        <v>3.24044</v>
      </c>
      <c r="H1421" s="370">
        <v>4.7865640000000003</v>
      </c>
      <c r="I1421" s="301">
        <v>0.1394</v>
      </c>
      <c r="J1421" s="301">
        <v>0.1011</v>
      </c>
      <c r="K1421" s="300">
        <v>38.585559000000003</v>
      </c>
      <c r="L1421" s="356"/>
      <c r="M1421" s="400"/>
    </row>
    <row r="1422" spans="2:13" ht="17.25" thickBot="1">
      <c r="B1422" s="322">
        <v>5</v>
      </c>
      <c r="C1422" s="323"/>
      <c r="D1422" s="354" t="s">
        <v>240</v>
      </c>
      <c r="E1422" s="374">
        <v>3.7829999999999999</v>
      </c>
      <c r="F1422" s="374">
        <v>3.93</v>
      </c>
      <c r="G1422" s="375">
        <v>3.2636660000000002</v>
      </c>
      <c r="H1422" s="382">
        <v>4.812856</v>
      </c>
      <c r="I1422" s="376">
        <v>0.13950000000000001</v>
      </c>
      <c r="J1422" s="376">
        <v>0.1011</v>
      </c>
      <c r="K1422" s="375">
        <v>38.872404000000003</v>
      </c>
      <c r="L1422" s="324"/>
      <c r="M1422" s="399"/>
    </row>
    <row r="1423" spans="2:13" ht="17.25" thickBot="1">
      <c r="B1423" s="325"/>
      <c r="C1423" s="326"/>
      <c r="D1423" s="327" t="s">
        <v>463</v>
      </c>
      <c r="E1423" s="328">
        <f>AVERAGE(E1418:E1422)</f>
        <v>3.7755999999999998</v>
      </c>
      <c r="F1423" s="328">
        <f t="shared" ref="F1423:K1423" si="408">AVERAGE(F1418:F1422)</f>
        <v>3.8777999999999997</v>
      </c>
      <c r="G1423" s="328">
        <f t="shared" si="408"/>
        <v>3.2265825999999995</v>
      </c>
      <c r="H1423" s="373">
        <f t="shared" si="408"/>
        <v>4.7519505999999998</v>
      </c>
      <c r="I1423" s="329">
        <f t="shared" si="408"/>
        <v>0.13950000000000001</v>
      </c>
      <c r="J1423" s="329">
        <f t="shared" si="408"/>
        <v>0.10115999999999999</v>
      </c>
      <c r="K1423" s="330">
        <f t="shared" si="408"/>
        <v>38.333489800000009</v>
      </c>
      <c r="L1423" s="331"/>
      <c r="M1423" s="399"/>
    </row>
    <row r="1424" spans="2:13">
      <c r="B1424" s="314">
        <v>6</v>
      </c>
      <c r="C1424" s="271" t="s">
        <v>366</v>
      </c>
      <c r="D1424" s="377" t="s">
        <v>241</v>
      </c>
      <c r="E1424" s="378">
        <v>3.79</v>
      </c>
      <c r="F1424" s="378">
        <v>4.0949999999999998</v>
      </c>
      <c r="G1424" s="379">
        <v>3.394409</v>
      </c>
      <c r="H1424" s="380">
        <v>5.0360290000000001</v>
      </c>
      <c r="I1424" s="381">
        <v>0.13950000000000001</v>
      </c>
      <c r="J1424" s="381">
        <v>0.10050000000000001</v>
      </c>
      <c r="K1424" s="379">
        <v>40.746268999999998</v>
      </c>
      <c r="L1424" s="332"/>
      <c r="M1424" s="399"/>
    </row>
    <row r="1425" spans="2:13">
      <c r="B1425" s="315">
        <v>7</v>
      </c>
      <c r="C1425" s="320"/>
      <c r="D1425" s="299" t="s">
        <v>242</v>
      </c>
      <c r="E1425" s="304">
        <v>3.7970000000000002</v>
      </c>
      <c r="F1425" s="304">
        <v>4.1429999999999998</v>
      </c>
      <c r="G1425" s="300">
        <v>3.4278659999999999</v>
      </c>
      <c r="H1425" s="370">
        <v>5.10656</v>
      </c>
      <c r="I1425" s="301">
        <v>0.13950000000000001</v>
      </c>
      <c r="J1425" s="301">
        <v>0.10050000000000001</v>
      </c>
      <c r="K1425" s="300">
        <v>41.223880999999999</v>
      </c>
      <c r="L1425" s="321"/>
      <c r="M1425" s="399"/>
    </row>
    <row r="1426" spans="2:13">
      <c r="B1426" s="315">
        <v>8</v>
      </c>
      <c r="C1426" s="320"/>
      <c r="D1426" s="299" t="s">
        <v>222</v>
      </c>
      <c r="E1426" s="304">
        <v>3.802</v>
      </c>
      <c r="F1426" s="304">
        <v>4.16</v>
      </c>
      <c r="G1426" s="300">
        <v>3.437405</v>
      </c>
      <c r="H1426" s="370">
        <v>5.1187189999999996</v>
      </c>
      <c r="I1426" s="301">
        <v>0.13950000000000001</v>
      </c>
      <c r="J1426" s="301">
        <v>0.1004</v>
      </c>
      <c r="K1426" s="300">
        <v>41.434263000000001</v>
      </c>
      <c r="L1426" s="321"/>
      <c r="M1426" s="399"/>
    </row>
    <row r="1427" spans="2:13">
      <c r="B1427" s="315">
        <v>9</v>
      </c>
      <c r="C1427" s="320"/>
      <c r="D1427" s="299" t="s">
        <v>223</v>
      </c>
      <c r="E1427" s="304">
        <v>3.8039999999999998</v>
      </c>
      <c r="F1427" s="304">
        <v>4.165</v>
      </c>
      <c r="G1427" s="300">
        <v>3.439727</v>
      </c>
      <c r="H1427" s="370">
        <v>5.1179579999999998</v>
      </c>
      <c r="I1427" s="301">
        <v>0.13950000000000001</v>
      </c>
      <c r="J1427" s="301">
        <v>0.10050000000000001</v>
      </c>
      <c r="K1427" s="300">
        <v>41.442785999999998</v>
      </c>
      <c r="L1427" s="321"/>
      <c r="M1427" s="399"/>
    </row>
    <row r="1428" spans="2:13" ht="17.25" thickBot="1">
      <c r="B1428" s="322">
        <v>10</v>
      </c>
      <c r="C1428" s="323"/>
      <c r="D1428" s="293" t="s">
        <v>243</v>
      </c>
      <c r="E1428" s="371">
        <v>3.8029999999999999</v>
      </c>
      <c r="F1428" s="371">
        <v>4.1589999999999998</v>
      </c>
      <c r="G1428" s="288">
        <v>3.4356749999999998</v>
      </c>
      <c r="H1428" s="372">
        <v>5.102976</v>
      </c>
      <c r="I1428" s="289">
        <v>0.1396</v>
      </c>
      <c r="J1428" s="289">
        <v>0.10050000000000001</v>
      </c>
      <c r="K1428" s="288">
        <v>41.383085000000001</v>
      </c>
      <c r="L1428" s="324"/>
      <c r="M1428" s="399"/>
    </row>
    <row r="1429" spans="2:13" ht="17.25" thickBot="1">
      <c r="B1429" s="325" t="s">
        <v>464</v>
      </c>
      <c r="C1429" s="326"/>
      <c r="D1429" s="327" t="s">
        <v>463</v>
      </c>
      <c r="E1429" s="328">
        <f t="shared" ref="E1429:K1429" si="409">AVERAGE(E1424:E1428)</f>
        <v>3.7991999999999999</v>
      </c>
      <c r="F1429" s="328">
        <f t="shared" si="409"/>
        <v>4.1443999999999992</v>
      </c>
      <c r="G1429" s="328">
        <f t="shared" si="409"/>
        <v>3.4270163999999994</v>
      </c>
      <c r="H1429" s="373">
        <f t="shared" si="409"/>
        <v>5.0964483999999999</v>
      </c>
      <c r="I1429" s="329">
        <f t="shared" si="409"/>
        <v>0.13952000000000001</v>
      </c>
      <c r="J1429" s="329">
        <f t="shared" si="409"/>
        <v>0.10048000000000001</v>
      </c>
      <c r="K1429" s="330">
        <f t="shared" si="409"/>
        <v>41.246056799999998</v>
      </c>
      <c r="L1429" s="331"/>
      <c r="M1429" s="399"/>
    </row>
    <row r="1430" spans="2:13">
      <c r="B1430" s="333">
        <v>11</v>
      </c>
      <c r="C1430" s="271" t="s">
        <v>365</v>
      </c>
      <c r="D1430" s="291" t="s">
        <v>244</v>
      </c>
      <c r="E1430" s="302">
        <v>3.7639999999999998</v>
      </c>
      <c r="F1430" s="302">
        <v>3.758</v>
      </c>
      <c r="G1430" s="286">
        <v>3.1365820000000002</v>
      </c>
      <c r="H1430" s="302">
        <v>4.6012769999999996</v>
      </c>
      <c r="I1430" s="287">
        <v>0.13950000000000001</v>
      </c>
      <c r="J1430" s="287">
        <v>0.10150000000000001</v>
      </c>
      <c r="K1430" s="286">
        <v>37.024630999999999</v>
      </c>
      <c r="L1430" s="332"/>
      <c r="M1430" s="399"/>
    </row>
    <row r="1431" spans="2:13">
      <c r="B1431" s="335">
        <v>12</v>
      </c>
      <c r="C1431" s="316"/>
      <c r="D1431" s="299" t="s">
        <v>245</v>
      </c>
      <c r="E1431" s="304">
        <v>3.7709999999999999</v>
      </c>
      <c r="F1431" s="304">
        <v>3.7919999999999998</v>
      </c>
      <c r="G1431" s="300">
        <v>3.1590850000000001</v>
      </c>
      <c r="H1431" s="304">
        <v>4.6365730000000003</v>
      </c>
      <c r="I1431" s="301">
        <v>0.13950000000000001</v>
      </c>
      <c r="J1431" s="301">
        <v>0.1016</v>
      </c>
      <c r="K1431" s="300">
        <v>37.322834999999998</v>
      </c>
      <c r="L1431" s="321"/>
      <c r="M1431" s="399"/>
    </row>
    <row r="1432" spans="2:13">
      <c r="B1432" s="335">
        <v>13</v>
      </c>
      <c r="C1432" s="320"/>
      <c r="D1432" s="299" t="s">
        <v>227</v>
      </c>
      <c r="E1432" s="304">
        <v>3.7749999999999999</v>
      </c>
      <c r="F1432" s="304">
        <v>3.8010000000000002</v>
      </c>
      <c r="G1432" s="300">
        <v>3.163227</v>
      </c>
      <c r="H1432" s="304">
        <v>4.640746</v>
      </c>
      <c r="I1432" s="301">
        <v>0.13950000000000001</v>
      </c>
      <c r="J1432" s="301">
        <v>0.1016</v>
      </c>
      <c r="K1432" s="300">
        <v>37.411417</v>
      </c>
      <c r="L1432" s="321"/>
      <c r="M1432" s="399"/>
    </row>
    <row r="1433" spans="2:13">
      <c r="B1433" s="335">
        <v>14</v>
      </c>
      <c r="C1433" s="320"/>
      <c r="D1433" s="299" t="s">
        <v>228</v>
      </c>
      <c r="E1433" s="304">
        <v>3.7770000000000001</v>
      </c>
      <c r="F1433" s="304">
        <v>3.8029999999999999</v>
      </c>
      <c r="G1433" s="300">
        <v>3.1632159999999998</v>
      </c>
      <c r="H1433" s="304">
        <v>4.6551119999999999</v>
      </c>
      <c r="I1433" s="301">
        <v>0.1396</v>
      </c>
      <c r="J1433" s="301">
        <v>0.10150000000000001</v>
      </c>
      <c r="K1433" s="300">
        <v>37.467979999999997</v>
      </c>
      <c r="L1433" s="321"/>
      <c r="M1433" s="399"/>
    </row>
    <row r="1434" spans="2:13" ht="17.25" thickBot="1">
      <c r="B1434" s="336">
        <v>15</v>
      </c>
      <c r="C1434" s="323"/>
      <c r="D1434" s="293" t="s">
        <v>246</v>
      </c>
      <c r="E1434" s="371">
        <v>3.7759999999999998</v>
      </c>
      <c r="F1434" s="371">
        <v>3.794</v>
      </c>
      <c r="G1434" s="288">
        <v>3.1565660000000002</v>
      </c>
      <c r="H1434" s="371">
        <v>4.6342790000000003</v>
      </c>
      <c r="I1434" s="289">
        <v>0.1396</v>
      </c>
      <c r="J1434" s="289">
        <v>0.10150000000000001</v>
      </c>
      <c r="K1434" s="288">
        <v>37.379309999999997</v>
      </c>
      <c r="L1434" s="324"/>
      <c r="M1434" s="399"/>
    </row>
    <row r="1435" spans="2:13" ht="17.25" thickBot="1">
      <c r="B1435" s="337"/>
      <c r="C1435" s="326"/>
      <c r="D1435" s="327" t="s">
        <v>463</v>
      </c>
      <c r="E1435" s="328">
        <f>AVERAGE(E1430:E1434)</f>
        <v>3.7725999999999997</v>
      </c>
      <c r="F1435" s="328">
        <f t="shared" ref="F1435:K1435" si="410">AVERAGE(F1430:F1434)</f>
        <v>3.7896000000000001</v>
      </c>
      <c r="G1435" s="328">
        <f t="shared" si="410"/>
        <v>3.1557352000000001</v>
      </c>
      <c r="H1435" s="328">
        <f t="shared" si="410"/>
        <v>4.6335974000000002</v>
      </c>
      <c r="I1435" s="329">
        <f t="shared" si="410"/>
        <v>0.13954</v>
      </c>
      <c r="J1435" s="329">
        <f t="shared" si="410"/>
        <v>0.10154000000000001</v>
      </c>
      <c r="K1435" s="330">
        <f t="shared" si="410"/>
        <v>37.321234599999997</v>
      </c>
      <c r="L1435" s="331"/>
      <c r="M1435" s="399"/>
    </row>
    <row r="1436" spans="2:13">
      <c r="B1436" s="333">
        <v>16</v>
      </c>
      <c r="C1436" s="271" t="s">
        <v>366</v>
      </c>
      <c r="D1436" s="291" t="s">
        <v>247</v>
      </c>
      <c r="E1436" s="302">
        <v>3.8</v>
      </c>
      <c r="F1436" s="302">
        <v>4.1989999999999998</v>
      </c>
      <c r="G1436" s="286">
        <v>3.471457</v>
      </c>
      <c r="H1436" s="302">
        <v>5.1762170000000003</v>
      </c>
      <c r="I1436" s="287">
        <v>0.13950000000000001</v>
      </c>
      <c r="J1436" s="287">
        <v>0.1003</v>
      </c>
      <c r="K1436" s="286">
        <v>41.864407</v>
      </c>
      <c r="L1436" s="359"/>
      <c r="M1436" s="401"/>
    </row>
    <row r="1437" spans="2:13">
      <c r="B1437" s="335">
        <v>17</v>
      </c>
      <c r="C1437" s="320"/>
      <c r="D1437" s="299" t="s">
        <v>248</v>
      </c>
      <c r="E1437" s="304">
        <v>3.8069999999999999</v>
      </c>
      <c r="F1437" s="304">
        <v>4.24</v>
      </c>
      <c r="G1437" s="300">
        <v>3.4989080000000001</v>
      </c>
      <c r="H1437" s="304">
        <v>5.2234879999999997</v>
      </c>
      <c r="I1437" s="301">
        <v>0.1394</v>
      </c>
      <c r="J1437" s="301">
        <v>0.1003</v>
      </c>
      <c r="K1437" s="300">
        <v>42.273180000000004</v>
      </c>
      <c r="L1437" s="321"/>
      <c r="M1437" s="399"/>
    </row>
    <row r="1438" spans="2:13">
      <c r="B1438" s="335">
        <v>18</v>
      </c>
      <c r="C1438" s="320"/>
      <c r="D1438" s="299" t="s">
        <v>232</v>
      </c>
      <c r="E1438" s="304">
        <v>3.81</v>
      </c>
      <c r="F1438" s="304">
        <v>4.2510000000000003</v>
      </c>
      <c r="G1438" s="300">
        <v>3.505223</v>
      </c>
      <c r="H1438" s="304">
        <v>5.2333689999999997</v>
      </c>
      <c r="I1438" s="301">
        <v>0.13950000000000001</v>
      </c>
      <c r="J1438" s="301">
        <v>0.1004</v>
      </c>
      <c r="K1438" s="300">
        <v>42.340637000000001</v>
      </c>
      <c r="L1438" s="321"/>
      <c r="M1438" s="399"/>
    </row>
    <row r="1439" spans="2:13">
      <c r="B1439" s="335">
        <v>19</v>
      </c>
      <c r="C1439" s="320"/>
      <c r="D1439" s="299" t="s">
        <v>233</v>
      </c>
      <c r="E1439" s="304">
        <v>3.8119999999999998</v>
      </c>
      <c r="F1439" s="304">
        <v>4.2389999999999999</v>
      </c>
      <c r="G1439" s="300">
        <v>3.4934940000000001</v>
      </c>
      <c r="H1439" s="304">
        <v>5.229552</v>
      </c>
      <c r="I1439" s="301">
        <v>0.13950000000000001</v>
      </c>
      <c r="J1439" s="301">
        <v>0.1003</v>
      </c>
      <c r="K1439" s="300">
        <v>42.263210000000001</v>
      </c>
      <c r="L1439" s="321"/>
      <c r="M1439" s="399"/>
    </row>
    <row r="1440" spans="2:13" ht="17.25" thickBot="1">
      <c r="B1440" s="336">
        <v>20</v>
      </c>
      <c r="C1440" s="323"/>
      <c r="D1440" s="293" t="s">
        <v>249</v>
      </c>
      <c r="E1440" s="371">
        <v>3.81</v>
      </c>
      <c r="F1440" s="371">
        <v>4.2240000000000002</v>
      </c>
      <c r="G1440" s="288">
        <v>3.4829599999999998</v>
      </c>
      <c r="H1440" s="371">
        <v>5.2034330000000004</v>
      </c>
      <c r="I1440" s="289">
        <v>0.1396</v>
      </c>
      <c r="J1440" s="289">
        <v>0.1003</v>
      </c>
      <c r="K1440" s="288">
        <v>42.113658999999998</v>
      </c>
      <c r="L1440" s="324"/>
      <c r="M1440" s="399"/>
    </row>
    <row r="1441" spans="2:13" ht="17.25" thickBot="1">
      <c r="B1441" s="337"/>
      <c r="C1441" s="326"/>
      <c r="D1441" s="327" t="s">
        <v>463</v>
      </c>
      <c r="E1441" s="328">
        <f>AVERAGE(E1436:E1440)</f>
        <v>3.8077999999999994</v>
      </c>
      <c r="F1441" s="328">
        <f t="shared" ref="F1441:K1441" si="411">AVERAGE(F1436:F1440)</f>
        <v>4.2306000000000008</v>
      </c>
      <c r="G1441" s="328">
        <f t="shared" si="411"/>
        <v>3.4904083999999997</v>
      </c>
      <c r="H1441" s="328">
        <f t="shared" si="411"/>
        <v>5.2132117999999998</v>
      </c>
      <c r="I1441" s="329">
        <f t="shared" si="411"/>
        <v>0.13950000000000001</v>
      </c>
      <c r="J1441" s="329">
        <f t="shared" si="411"/>
        <v>0.10032000000000001</v>
      </c>
      <c r="K1441" s="328">
        <f t="shared" si="411"/>
        <v>42.171018600000004</v>
      </c>
      <c r="L1441" s="331"/>
      <c r="M1441" s="399"/>
    </row>
    <row r="1442" spans="2:13">
      <c r="B1442" s="333">
        <v>21</v>
      </c>
      <c r="C1442" s="271" t="s">
        <v>366</v>
      </c>
      <c r="D1442" s="291" t="s">
        <v>250</v>
      </c>
      <c r="E1442" s="302">
        <v>3.7989999999999999</v>
      </c>
      <c r="F1442" s="302">
        <v>4.1920000000000002</v>
      </c>
      <c r="G1442" s="286">
        <v>3.4665819999999998</v>
      </c>
      <c r="H1442" s="302">
        <v>5.1638419999999998</v>
      </c>
      <c r="I1442" s="287">
        <v>0.1396</v>
      </c>
      <c r="J1442" s="287">
        <v>0.1004</v>
      </c>
      <c r="K1442" s="286">
        <v>41.752988000000002</v>
      </c>
      <c r="L1442" s="332"/>
      <c r="M1442" s="399"/>
    </row>
    <row r="1443" spans="2:13">
      <c r="B1443" s="335">
        <v>22</v>
      </c>
      <c r="C1443" s="320"/>
      <c r="D1443" s="299" t="s">
        <v>251</v>
      </c>
      <c r="E1443" s="304">
        <v>3.8029999999999999</v>
      </c>
      <c r="F1443" s="304">
        <v>4.2009999999999996</v>
      </c>
      <c r="G1443" s="300">
        <v>3.4703710000000001</v>
      </c>
      <c r="H1443" s="304">
        <v>5.1731189999999998</v>
      </c>
      <c r="I1443" s="301">
        <v>0.13950000000000001</v>
      </c>
      <c r="J1443" s="301">
        <v>0.1003</v>
      </c>
      <c r="K1443" s="300">
        <v>41.884346999999998</v>
      </c>
      <c r="L1443" s="321"/>
      <c r="M1443" s="399"/>
    </row>
    <row r="1444" spans="2:13">
      <c r="B1444" s="335">
        <v>23</v>
      </c>
      <c r="C1444" s="320"/>
      <c r="D1444" s="299" t="s">
        <v>237</v>
      </c>
      <c r="E1444" s="304">
        <v>3.8069999999999999</v>
      </c>
      <c r="F1444" s="304">
        <v>4.2160000000000002</v>
      </c>
      <c r="G1444" s="300">
        <v>3.4791029999999998</v>
      </c>
      <c r="H1444" s="304">
        <v>5.1892379999999996</v>
      </c>
      <c r="I1444" s="301">
        <v>0.13950000000000001</v>
      </c>
      <c r="J1444" s="301">
        <v>0.1003</v>
      </c>
      <c r="K1444" s="300">
        <v>42.033898000000001</v>
      </c>
      <c r="L1444" s="321"/>
      <c r="M1444" s="399"/>
    </row>
    <row r="1445" spans="2:13">
      <c r="B1445" s="335">
        <v>24</v>
      </c>
      <c r="C1445" s="320"/>
      <c r="D1445" s="299" t="s">
        <v>238</v>
      </c>
      <c r="E1445" s="304">
        <v>3.8079999999999998</v>
      </c>
      <c r="F1445" s="304">
        <v>4.2069999999999999</v>
      </c>
      <c r="G1445" s="300">
        <v>3.470764</v>
      </c>
      <c r="H1445" s="304">
        <v>5.1767149999999997</v>
      </c>
      <c r="I1445" s="301">
        <v>0.1396</v>
      </c>
      <c r="J1445" s="301">
        <v>0.1003</v>
      </c>
      <c r="K1445" s="300">
        <v>41.944167</v>
      </c>
      <c r="L1445" s="321"/>
      <c r="M1445" s="399"/>
    </row>
    <row r="1446" spans="2:13" ht="17.25" thickBot="1">
      <c r="B1446" s="336">
        <v>25</v>
      </c>
      <c r="C1446" s="323"/>
      <c r="D1446" s="293" t="s">
        <v>252</v>
      </c>
      <c r="E1446" s="371">
        <v>3.806</v>
      </c>
      <c r="F1446" s="371">
        <v>4.1879999999999997</v>
      </c>
      <c r="G1446" s="288">
        <v>3.4569049999999999</v>
      </c>
      <c r="H1446" s="371">
        <v>5.1567280000000002</v>
      </c>
      <c r="I1446" s="289">
        <v>0.1396</v>
      </c>
      <c r="J1446" s="289">
        <v>0.1004</v>
      </c>
      <c r="K1446" s="288">
        <v>41.713146999999999</v>
      </c>
      <c r="L1446" s="324"/>
      <c r="M1446" s="399"/>
    </row>
    <row r="1447" spans="2:13" ht="17.25" thickBot="1">
      <c r="B1447" s="339" t="s">
        <v>464</v>
      </c>
      <c r="C1447" s="340"/>
      <c r="D1447" s="341" t="s">
        <v>465</v>
      </c>
      <c r="E1447" s="342">
        <f>AVERAGE(E1442:E1446)</f>
        <v>3.8045999999999998</v>
      </c>
      <c r="F1447" s="342">
        <f t="shared" ref="F1447:K1447" si="412">AVERAGE(F1442:F1446)</f>
        <v>4.2008000000000001</v>
      </c>
      <c r="G1447" s="342">
        <f t="shared" si="412"/>
        <v>3.4687449999999997</v>
      </c>
      <c r="H1447" s="342">
        <f t="shared" si="412"/>
        <v>5.1719284000000005</v>
      </c>
      <c r="I1447" s="343">
        <f t="shared" si="412"/>
        <v>0.13955999999999999</v>
      </c>
      <c r="J1447" s="343">
        <f t="shared" si="412"/>
        <v>0.10034000000000001</v>
      </c>
      <c r="K1447" s="342">
        <f t="shared" si="412"/>
        <v>41.8657094</v>
      </c>
      <c r="L1447" s="344"/>
      <c r="M1447" s="399"/>
    </row>
    <row r="1448" spans="2:13">
      <c r="B1448" s="333"/>
      <c r="C1448" s="345"/>
      <c r="D1448" s="291" t="s">
        <v>466</v>
      </c>
      <c r="E1448" s="346">
        <f>MEDIAN(E1418:E1422,E1424:E1428,E1430:E1434,E1436:E1440,E1442:E1446)</f>
        <v>3.7989999999999999</v>
      </c>
      <c r="F1448" s="346">
        <f t="shared" ref="F1448:K1448" si="413">MEDIAN(F1418:F1422,F1424:F1428,F1430:F1434,F1436:F1440,F1442:F1446)</f>
        <v>4.1589999999999998</v>
      </c>
      <c r="G1448" s="346">
        <f t="shared" si="413"/>
        <v>3.4356749999999998</v>
      </c>
      <c r="H1448" s="346">
        <f t="shared" si="413"/>
        <v>5.10656</v>
      </c>
      <c r="I1448" s="347">
        <f t="shared" si="413"/>
        <v>0.13950000000000001</v>
      </c>
      <c r="J1448" s="347">
        <f t="shared" si="413"/>
        <v>0.10050000000000001</v>
      </c>
      <c r="K1448" s="348">
        <f t="shared" si="413"/>
        <v>41.383085000000001</v>
      </c>
      <c r="L1448" s="332"/>
      <c r="M1448" s="399"/>
    </row>
    <row r="1449" spans="2:13">
      <c r="B1449" s="335"/>
      <c r="C1449" s="320"/>
      <c r="D1449" s="299" t="s">
        <v>467</v>
      </c>
      <c r="E1449" s="349">
        <f>AVERAGE(E1418:E1422,E1424:E1428,E1430:E1434,E1436:E1440,E1442:E1446)</f>
        <v>3.7919599999999996</v>
      </c>
      <c r="F1449" s="349">
        <f t="shared" ref="F1449:K1449" si="414">AVERAGE(F1418:F1422,F1424:F1428,F1430:F1434,F1436:F1440,F1442:F1446)</f>
        <v>4.0486399999999989</v>
      </c>
      <c r="G1449" s="349">
        <f t="shared" si="414"/>
        <v>3.3536975199999999</v>
      </c>
      <c r="H1449" s="349">
        <f t="shared" si="414"/>
        <v>4.9734273199999999</v>
      </c>
      <c r="I1449" s="350">
        <f t="shared" si="414"/>
        <v>0.13952400000000001</v>
      </c>
      <c r="J1449" s="350">
        <f t="shared" si="414"/>
        <v>0.10076799999999997</v>
      </c>
      <c r="K1449" s="351">
        <f t="shared" si="414"/>
        <v>40.187501840000003</v>
      </c>
      <c r="L1449" s="321"/>
      <c r="M1449" s="399"/>
    </row>
    <row r="1450" spans="2:13">
      <c r="B1450" s="335"/>
      <c r="C1450" s="320"/>
      <c r="D1450" s="299" t="s">
        <v>199</v>
      </c>
      <c r="E1450" s="349">
        <f>MAX(E1418:E1422,E1424:E1428,E1430:E1434,E1436:E1440,E1442:E1446)</f>
        <v>3.8119999999999998</v>
      </c>
      <c r="F1450" s="349">
        <f t="shared" ref="F1450:K1450" si="415">MAX(F1418:F1422,F1424:F1428,F1430:F1434,F1436:F1440,F1442:F1446)</f>
        <v>4.2510000000000003</v>
      </c>
      <c r="G1450" s="349">
        <f t="shared" si="415"/>
        <v>3.505223</v>
      </c>
      <c r="H1450" s="349">
        <f t="shared" si="415"/>
        <v>5.2333689999999997</v>
      </c>
      <c r="I1450" s="350">
        <f t="shared" si="415"/>
        <v>0.1396</v>
      </c>
      <c r="J1450" s="350">
        <f t="shared" si="415"/>
        <v>0.1016</v>
      </c>
      <c r="K1450" s="351">
        <f t="shared" si="415"/>
        <v>42.340637000000001</v>
      </c>
      <c r="L1450" s="321"/>
      <c r="M1450" s="399"/>
    </row>
    <row r="1451" spans="2:13">
      <c r="B1451" s="335"/>
      <c r="C1451" s="320"/>
      <c r="D1451" s="299" t="s">
        <v>200</v>
      </c>
      <c r="E1451" s="349">
        <f>MIN(E1418:E1422,E1424:E1428,E1430:E1434,E1436:E1440,E1442:E1446)</f>
        <v>3.7639999999999998</v>
      </c>
      <c r="F1451" s="349">
        <f t="shared" ref="F1451:K1451" si="416">MIN(F1418:F1422,F1424:F1428,F1430:F1434,F1436:F1440,F1442:F1446)</f>
        <v>3.758</v>
      </c>
      <c r="G1451" s="349">
        <f t="shared" si="416"/>
        <v>3.1365820000000002</v>
      </c>
      <c r="H1451" s="349">
        <f t="shared" si="416"/>
        <v>4.6012769999999996</v>
      </c>
      <c r="I1451" s="350">
        <f t="shared" si="416"/>
        <v>0.1394</v>
      </c>
      <c r="J1451" s="350">
        <f t="shared" si="416"/>
        <v>0.1003</v>
      </c>
      <c r="K1451" s="351">
        <f t="shared" si="416"/>
        <v>37.024630999999999</v>
      </c>
      <c r="L1451" s="321"/>
      <c r="M1451" s="399"/>
    </row>
    <row r="1452" spans="2:13">
      <c r="B1452" s="335"/>
      <c r="C1452" s="320"/>
      <c r="D1452" s="299" t="s">
        <v>201</v>
      </c>
      <c r="E1452" s="349">
        <f>E1450-E1451</f>
        <v>4.8000000000000043E-2</v>
      </c>
      <c r="F1452" s="349">
        <f t="shared" ref="F1452:K1452" si="417">F1450-F1451</f>
        <v>0.49300000000000033</v>
      </c>
      <c r="G1452" s="349">
        <f t="shared" si="417"/>
        <v>0.36864099999999977</v>
      </c>
      <c r="H1452" s="349">
        <f t="shared" si="417"/>
        <v>0.6320920000000001</v>
      </c>
      <c r="I1452" s="350">
        <f t="shared" si="417"/>
        <v>2.0000000000000573E-4</v>
      </c>
      <c r="J1452" s="350">
        <f t="shared" si="417"/>
        <v>1.2999999999999956E-3</v>
      </c>
      <c r="K1452" s="349">
        <f t="shared" si="417"/>
        <v>5.3160060000000016</v>
      </c>
      <c r="L1452" s="321"/>
      <c r="M1452" s="399"/>
    </row>
    <row r="1453" spans="2:13" ht="17.25" thickBot="1">
      <c r="B1453" s="336"/>
      <c r="C1453" s="323"/>
      <c r="D1453" s="293" t="s">
        <v>202</v>
      </c>
      <c r="E1453" s="352">
        <f>STDEVA(E1418:E1422,E1424:E1428,E1430:E1434,E1436:E1440,E1442:E1446)</f>
        <v>1.6024668483310373E-2</v>
      </c>
      <c r="F1453" s="352">
        <f t="shared" ref="F1453:K1453" si="418">STDEVA(F1418:F1422,F1424:F1428,F1430:F1434,F1436:F1440,F1442:F1446)</f>
        <v>0.18512740657900081</v>
      </c>
      <c r="G1453" s="352">
        <f t="shared" si="418"/>
        <v>0.13985336027011763</v>
      </c>
      <c r="H1453" s="352">
        <f t="shared" si="418"/>
        <v>0.24181725438881174</v>
      </c>
      <c r="I1453" s="353">
        <f t="shared" si="418"/>
        <v>5.9721576223894622E-5</v>
      </c>
      <c r="J1453" s="353">
        <f t="shared" si="418"/>
        <v>5.0556898639058062E-4</v>
      </c>
      <c r="K1453" s="352">
        <f t="shared" si="418"/>
        <v>2.0315963099323873</v>
      </c>
      <c r="L1453" s="324"/>
      <c r="M1453" s="399"/>
    </row>
    <row r="1455" spans="2:13">
      <c r="B1455" s="240" t="s">
        <v>508</v>
      </c>
      <c r="C1455" s="240"/>
      <c r="E1455" s="240"/>
      <c r="F1455" s="240"/>
      <c r="G1455" s="240"/>
      <c r="H1455" s="240"/>
      <c r="I1455" s="240"/>
      <c r="J1455" s="240"/>
      <c r="K1455" s="240"/>
    </row>
    <row r="1456" spans="2:13" ht="17.25" thickBot="1">
      <c r="B1456" s="240" t="s">
        <v>469</v>
      </c>
      <c r="C1456" s="240"/>
      <c r="E1456" s="240"/>
      <c r="F1456" s="240"/>
      <c r="G1456" s="240"/>
      <c r="H1456" s="240"/>
      <c r="I1456" s="240"/>
      <c r="J1456" s="240"/>
      <c r="K1456" s="240"/>
    </row>
    <row r="1457" spans="2:13" ht="17.25" thickBot="1">
      <c r="B1457" s="313" t="s">
        <v>11</v>
      </c>
      <c r="C1457" s="250" t="s">
        <v>0</v>
      </c>
      <c r="D1457" s="250" t="s">
        <v>1</v>
      </c>
      <c r="E1457" s="250" t="s">
        <v>2</v>
      </c>
      <c r="F1457" s="250" t="s">
        <v>3</v>
      </c>
      <c r="G1457" s="250" t="s">
        <v>192</v>
      </c>
      <c r="H1457" s="250" t="s">
        <v>16</v>
      </c>
      <c r="I1457" s="250" t="s">
        <v>6</v>
      </c>
      <c r="J1457" s="251" t="s">
        <v>7</v>
      </c>
      <c r="K1457" s="252" t="s">
        <v>8</v>
      </c>
      <c r="L1457" s="254" t="s">
        <v>470</v>
      </c>
      <c r="M1457" s="404"/>
    </row>
    <row r="1458" spans="2:13">
      <c r="B1458" s="314">
        <v>1</v>
      </c>
      <c r="C1458" s="271" t="s">
        <v>368</v>
      </c>
      <c r="D1458" s="291" t="s">
        <v>213</v>
      </c>
      <c r="E1458" s="302">
        <v>4.0579999999999998</v>
      </c>
      <c r="F1458" s="302">
        <v>5.2649999999999997</v>
      </c>
      <c r="G1458" s="286">
        <v>4.0760160000000001</v>
      </c>
      <c r="H1458" s="364">
        <v>5.9212809999999996</v>
      </c>
      <c r="I1458" s="287">
        <v>0.13550000000000001</v>
      </c>
      <c r="J1458" s="287">
        <v>0.11600000000000001</v>
      </c>
      <c r="K1458" s="286">
        <v>45.387931000000002</v>
      </c>
      <c r="L1458" s="275"/>
      <c r="M1458" s="397"/>
    </row>
    <row r="1459" spans="2:13">
      <c r="B1459" s="315">
        <v>2</v>
      </c>
      <c r="C1459" s="316"/>
      <c r="D1459" s="299" t="s">
        <v>214</v>
      </c>
      <c r="E1459" s="304">
        <v>4.069</v>
      </c>
      <c r="F1459" s="304">
        <v>5.2610000000000001</v>
      </c>
      <c r="G1459" s="300">
        <v>4.0619079999999999</v>
      </c>
      <c r="H1459" s="370">
        <v>5.902164</v>
      </c>
      <c r="I1459" s="301">
        <v>0.13539999999999999</v>
      </c>
      <c r="J1459" s="301">
        <v>0.1164</v>
      </c>
      <c r="K1459" s="300">
        <v>45.197595</v>
      </c>
      <c r="L1459" s="319"/>
      <c r="M1459" s="398"/>
    </row>
    <row r="1460" spans="2:13">
      <c r="B1460" s="315">
        <v>3</v>
      </c>
      <c r="C1460" s="320"/>
      <c r="D1460" s="299" t="s">
        <v>217</v>
      </c>
      <c r="E1460" s="304">
        <v>4.0739999999999998</v>
      </c>
      <c r="F1460" s="304">
        <v>5.2430000000000003</v>
      </c>
      <c r="G1460" s="300">
        <v>4.0430429999999999</v>
      </c>
      <c r="H1460" s="370">
        <v>5.8791380000000002</v>
      </c>
      <c r="I1460" s="301">
        <v>0.1353</v>
      </c>
      <c r="J1460" s="301">
        <v>0.1163</v>
      </c>
      <c r="K1460" s="300">
        <v>45.081685</v>
      </c>
      <c r="L1460" s="356"/>
      <c r="M1460" s="400"/>
    </row>
    <row r="1461" spans="2:13">
      <c r="B1461" s="315">
        <v>4</v>
      </c>
      <c r="C1461" s="320"/>
      <c r="D1461" s="299" t="s">
        <v>218</v>
      </c>
      <c r="E1461" s="304">
        <v>4.0720000000000001</v>
      </c>
      <c r="F1461" s="304">
        <v>5.2359999999999998</v>
      </c>
      <c r="G1461" s="300">
        <v>4.0396280000000004</v>
      </c>
      <c r="H1461" s="370">
        <v>5.8831660000000001</v>
      </c>
      <c r="I1461" s="301">
        <v>0.13539999999999999</v>
      </c>
      <c r="J1461" s="301">
        <v>0.11600000000000001</v>
      </c>
      <c r="K1461" s="300">
        <v>45.137931000000002</v>
      </c>
      <c r="L1461" s="356"/>
      <c r="M1461" s="400"/>
    </row>
    <row r="1462" spans="2:13" ht="17.25" thickBot="1">
      <c r="B1462" s="322">
        <v>5</v>
      </c>
      <c r="C1462" s="323"/>
      <c r="D1462" s="354" t="s">
        <v>240</v>
      </c>
      <c r="E1462" s="371">
        <v>4.07</v>
      </c>
      <c r="F1462" s="371">
        <v>5.2359999999999998</v>
      </c>
      <c r="G1462" s="288">
        <v>4.0416129999999999</v>
      </c>
      <c r="H1462" s="372">
        <v>5.899508</v>
      </c>
      <c r="I1462" s="289">
        <v>0.1356</v>
      </c>
      <c r="J1462" s="289">
        <v>0.11559999999999999</v>
      </c>
      <c r="K1462" s="288">
        <v>45.294117999999997</v>
      </c>
      <c r="L1462" s="324"/>
      <c r="M1462" s="399"/>
    </row>
    <row r="1463" spans="2:13" ht="17.25" thickBot="1">
      <c r="B1463" s="325"/>
      <c r="C1463" s="326"/>
      <c r="D1463" s="327" t="s">
        <v>463</v>
      </c>
      <c r="E1463" s="328">
        <f>AVERAGE(E1458:E1462)</f>
        <v>4.0686</v>
      </c>
      <c r="F1463" s="328">
        <f t="shared" ref="F1463:K1463" si="419">AVERAGE(F1458:F1462)</f>
        <v>5.2481999999999998</v>
      </c>
      <c r="G1463" s="328">
        <f t="shared" si="419"/>
        <v>4.0524415999999999</v>
      </c>
      <c r="H1463" s="373">
        <f t="shared" si="419"/>
        <v>5.8970514000000005</v>
      </c>
      <c r="I1463" s="329">
        <f t="shared" si="419"/>
        <v>0.13544</v>
      </c>
      <c r="J1463" s="329">
        <f t="shared" si="419"/>
        <v>0.11606000000000001</v>
      </c>
      <c r="K1463" s="330">
        <f t="shared" si="419"/>
        <v>45.219852000000003</v>
      </c>
      <c r="L1463" s="331"/>
      <c r="M1463" s="399"/>
    </row>
    <row r="1464" spans="2:13">
      <c r="B1464" s="314">
        <v>6</v>
      </c>
      <c r="C1464" s="271" t="s">
        <v>340</v>
      </c>
      <c r="D1464" s="291" t="s">
        <v>367</v>
      </c>
      <c r="E1464" s="302">
        <v>4.0439999999999996</v>
      </c>
      <c r="F1464" s="302">
        <v>5.1929999999999996</v>
      </c>
      <c r="G1464" s="286">
        <v>4.0341930000000001</v>
      </c>
      <c r="H1464" s="364">
        <v>5.7284119999999996</v>
      </c>
      <c r="I1464" s="287">
        <v>0.13500000000000001</v>
      </c>
      <c r="J1464" s="287">
        <v>0.1196</v>
      </c>
      <c r="K1464" s="286">
        <v>43.419732000000003</v>
      </c>
      <c r="L1464" s="332"/>
      <c r="M1464" s="399"/>
    </row>
    <row r="1465" spans="2:13">
      <c r="B1465" s="315">
        <v>7</v>
      </c>
      <c r="C1465" s="320"/>
      <c r="D1465" s="299" t="s">
        <v>242</v>
      </c>
      <c r="E1465" s="304">
        <v>4.0519999999999996</v>
      </c>
      <c r="F1465" s="304">
        <v>5.19</v>
      </c>
      <c r="G1465" s="300">
        <v>4.0239019999999996</v>
      </c>
      <c r="H1465" s="370">
        <v>5.7076900000000004</v>
      </c>
      <c r="I1465" s="301">
        <v>0.13489999999999999</v>
      </c>
      <c r="J1465" s="301">
        <v>0.11990000000000001</v>
      </c>
      <c r="K1465" s="300">
        <v>43.286071999999997</v>
      </c>
      <c r="L1465" s="321"/>
      <c r="M1465" s="399"/>
    </row>
    <row r="1466" spans="2:13">
      <c r="B1466" s="315">
        <v>8</v>
      </c>
      <c r="C1466" s="320"/>
      <c r="D1466" s="299" t="s">
        <v>222</v>
      </c>
      <c r="E1466" s="304">
        <v>4.056</v>
      </c>
      <c r="F1466" s="304">
        <v>5.1769999999999996</v>
      </c>
      <c r="G1466" s="300">
        <v>4.0098649999999996</v>
      </c>
      <c r="H1466" s="370">
        <v>5.6885310000000002</v>
      </c>
      <c r="I1466" s="301">
        <v>0.13489999999999999</v>
      </c>
      <c r="J1466" s="301">
        <v>0.1198</v>
      </c>
      <c r="K1466" s="300">
        <v>43.213689000000002</v>
      </c>
      <c r="L1466" s="321"/>
      <c r="M1466" s="399"/>
    </row>
    <row r="1467" spans="2:13">
      <c r="B1467" s="315">
        <v>9</v>
      </c>
      <c r="C1467" s="320"/>
      <c r="D1467" s="299" t="s">
        <v>223</v>
      </c>
      <c r="E1467" s="304">
        <v>4.056</v>
      </c>
      <c r="F1467" s="304">
        <v>5.1719999999999997</v>
      </c>
      <c r="G1467" s="300">
        <v>4.005992</v>
      </c>
      <c r="H1467" s="370">
        <v>5.7011690000000002</v>
      </c>
      <c r="I1467" s="301">
        <v>0.13500000000000001</v>
      </c>
      <c r="J1467" s="301">
        <v>0.1195</v>
      </c>
      <c r="K1467" s="300">
        <v>43.280335000000001</v>
      </c>
      <c r="L1467" s="321"/>
      <c r="M1467" s="399"/>
    </row>
    <row r="1468" spans="2:13" ht="17.25" thickBot="1">
      <c r="B1468" s="322">
        <v>10</v>
      </c>
      <c r="C1468" s="323"/>
      <c r="D1468" s="293" t="s">
        <v>243</v>
      </c>
      <c r="E1468" s="371">
        <v>4.0540000000000003</v>
      </c>
      <c r="F1468" s="371">
        <v>5.1680000000000001</v>
      </c>
      <c r="G1468" s="288">
        <v>4.0048690000000002</v>
      </c>
      <c r="H1468" s="372">
        <v>5.7174399999999999</v>
      </c>
      <c r="I1468" s="289">
        <v>0.13500000000000001</v>
      </c>
      <c r="J1468" s="289">
        <v>0.11890000000000001</v>
      </c>
      <c r="K1468" s="288">
        <v>43.465097</v>
      </c>
      <c r="L1468" s="324"/>
      <c r="M1468" s="399"/>
    </row>
    <row r="1469" spans="2:13" ht="17.25" thickBot="1">
      <c r="B1469" s="325" t="s">
        <v>464</v>
      </c>
      <c r="C1469" s="326"/>
      <c r="D1469" s="327" t="s">
        <v>463</v>
      </c>
      <c r="E1469" s="328">
        <f t="shared" ref="E1469:K1469" si="420">AVERAGE(E1464:E1468)</f>
        <v>4.0524000000000004</v>
      </c>
      <c r="F1469" s="328">
        <f t="shared" si="420"/>
        <v>5.18</v>
      </c>
      <c r="G1469" s="328">
        <f t="shared" si="420"/>
        <v>4.0157641999999996</v>
      </c>
      <c r="H1469" s="373">
        <f t="shared" si="420"/>
        <v>5.7086483999999995</v>
      </c>
      <c r="I1469" s="329">
        <f t="shared" si="420"/>
        <v>0.13496000000000002</v>
      </c>
      <c r="J1469" s="329">
        <f t="shared" si="420"/>
        <v>0.11954000000000001</v>
      </c>
      <c r="K1469" s="330">
        <f t="shared" si="420"/>
        <v>43.332984999999994</v>
      </c>
      <c r="L1469" s="331"/>
      <c r="M1469" s="399"/>
    </row>
    <row r="1470" spans="2:13">
      <c r="B1470" s="333">
        <v>11</v>
      </c>
      <c r="C1470" s="271" t="s">
        <v>369</v>
      </c>
      <c r="D1470" s="291" t="s">
        <v>244</v>
      </c>
      <c r="E1470" s="302">
        <v>4.0650000000000004</v>
      </c>
      <c r="F1470" s="302">
        <v>5.3360000000000003</v>
      </c>
      <c r="G1470" s="286">
        <v>4.1238679999999999</v>
      </c>
      <c r="H1470" s="302">
        <v>5.929074</v>
      </c>
      <c r="I1470" s="287">
        <v>0.13500000000000001</v>
      </c>
      <c r="J1470" s="287">
        <v>0.1177</v>
      </c>
      <c r="K1470" s="286">
        <v>45.335599000000002</v>
      </c>
      <c r="L1470" s="332"/>
      <c r="M1470" s="399"/>
    </row>
    <row r="1471" spans="2:13">
      <c r="B1471" s="335">
        <v>12</v>
      </c>
      <c r="C1471" s="316"/>
      <c r="D1471" s="299" t="s">
        <v>245</v>
      </c>
      <c r="E1471" s="304">
        <v>4.0750000000000002</v>
      </c>
      <c r="F1471" s="304">
        <v>5.3330000000000002</v>
      </c>
      <c r="G1471" s="300">
        <v>4.1114350000000002</v>
      </c>
      <c r="H1471" s="304">
        <v>5.9234419999999997</v>
      </c>
      <c r="I1471" s="301">
        <v>0.13500000000000001</v>
      </c>
      <c r="J1471" s="301">
        <v>0.1181</v>
      </c>
      <c r="K1471" s="300">
        <v>45.156647</v>
      </c>
      <c r="L1471" s="321"/>
      <c r="M1471" s="399"/>
    </row>
    <row r="1472" spans="2:13">
      <c r="B1472" s="335">
        <v>13</v>
      </c>
      <c r="C1472" s="320"/>
      <c r="D1472" s="299" t="s">
        <v>227</v>
      </c>
      <c r="E1472" s="304">
        <v>4.0780000000000003</v>
      </c>
      <c r="F1472" s="304">
        <v>5.3170000000000002</v>
      </c>
      <c r="G1472" s="300">
        <v>4.0960850000000004</v>
      </c>
      <c r="H1472" s="304">
        <v>5.9034800000000001</v>
      </c>
      <c r="I1472" s="301">
        <v>0.1351</v>
      </c>
      <c r="J1472" s="301">
        <v>0.1181</v>
      </c>
      <c r="K1472" s="300">
        <v>45.021169</v>
      </c>
      <c r="L1472" s="321"/>
      <c r="M1472" s="399"/>
    </row>
    <row r="1473" spans="2:13">
      <c r="B1473" s="335">
        <v>14</v>
      </c>
      <c r="C1473" s="320"/>
      <c r="D1473" s="299" t="s">
        <v>228</v>
      </c>
      <c r="E1473" s="304">
        <v>4.0750000000000002</v>
      </c>
      <c r="F1473" s="304">
        <v>5.2720000000000002</v>
      </c>
      <c r="G1473" s="300">
        <v>4.0644080000000002</v>
      </c>
      <c r="H1473" s="304">
        <v>5.8646089999999997</v>
      </c>
      <c r="I1473" s="301">
        <v>0.1351</v>
      </c>
      <c r="J1473" s="301">
        <v>0.1177</v>
      </c>
      <c r="K1473" s="300">
        <v>44.791843999999998</v>
      </c>
      <c r="L1473" s="321"/>
      <c r="M1473" s="399"/>
    </row>
    <row r="1474" spans="2:13" ht="17.25" thickBot="1">
      <c r="B1474" s="336">
        <v>15</v>
      </c>
      <c r="C1474" s="323"/>
      <c r="D1474" s="293" t="s">
        <v>246</v>
      </c>
      <c r="E1474" s="371">
        <v>4.0759999999999996</v>
      </c>
      <c r="F1474" s="371">
        <v>5.3070000000000004</v>
      </c>
      <c r="G1474" s="288">
        <v>4.0903869999999998</v>
      </c>
      <c r="H1474" s="371">
        <v>5.9242239999999997</v>
      </c>
      <c r="I1474" s="289">
        <v>0.13519999999999999</v>
      </c>
      <c r="J1474" s="289">
        <v>0.1171</v>
      </c>
      <c r="K1474" s="288">
        <v>45.320239000000001</v>
      </c>
      <c r="L1474" s="324"/>
      <c r="M1474" s="399"/>
    </row>
    <row r="1475" spans="2:13" ht="17.25" thickBot="1">
      <c r="B1475" s="337"/>
      <c r="C1475" s="326"/>
      <c r="D1475" s="327" t="s">
        <v>463</v>
      </c>
      <c r="E1475" s="328">
        <f>AVERAGE(E1470:E1474)</f>
        <v>4.0738000000000003</v>
      </c>
      <c r="F1475" s="328">
        <f t="shared" ref="F1475:K1475" si="421">AVERAGE(F1470:F1474)</f>
        <v>5.3130000000000006</v>
      </c>
      <c r="G1475" s="328">
        <f t="shared" si="421"/>
        <v>4.0972366000000005</v>
      </c>
      <c r="H1475" s="328">
        <f t="shared" si="421"/>
        <v>5.9089657999999989</v>
      </c>
      <c r="I1475" s="329">
        <f t="shared" si="421"/>
        <v>0.13508000000000001</v>
      </c>
      <c r="J1475" s="329">
        <f t="shared" si="421"/>
        <v>0.11774</v>
      </c>
      <c r="K1475" s="330">
        <f t="shared" si="421"/>
        <v>45.125099599999999</v>
      </c>
      <c r="L1475" s="331"/>
      <c r="M1475" s="399"/>
    </row>
    <row r="1476" spans="2:13">
      <c r="B1476" s="333">
        <v>16</v>
      </c>
      <c r="C1476" s="271" t="s">
        <v>366</v>
      </c>
      <c r="D1476" s="291" t="s">
        <v>247</v>
      </c>
      <c r="E1476" s="302">
        <v>4.0439999999999996</v>
      </c>
      <c r="F1476" s="302">
        <v>5.1740000000000004</v>
      </c>
      <c r="G1476" s="286">
        <v>4.0194330000000003</v>
      </c>
      <c r="H1476" s="302">
        <v>5.6997439999999999</v>
      </c>
      <c r="I1476" s="287">
        <v>0.13489999999999999</v>
      </c>
      <c r="J1476" s="287">
        <v>0.1196</v>
      </c>
      <c r="K1476" s="286">
        <v>43.260869999999997</v>
      </c>
      <c r="L1476" s="359"/>
      <c r="M1476" s="401"/>
    </row>
    <row r="1477" spans="2:13">
      <c r="B1477" s="335">
        <v>17</v>
      </c>
      <c r="C1477" s="320"/>
      <c r="D1477" s="299" t="s">
        <v>248</v>
      </c>
      <c r="E1477" s="304">
        <v>4.0540000000000003</v>
      </c>
      <c r="F1477" s="304">
        <v>5.1760000000000002</v>
      </c>
      <c r="G1477" s="300">
        <v>4.0110679999999999</v>
      </c>
      <c r="H1477" s="304">
        <v>5.6956600000000002</v>
      </c>
      <c r="I1477" s="301">
        <v>0.13489999999999999</v>
      </c>
      <c r="J1477" s="301">
        <v>0.11990000000000001</v>
      </c>
      <c r="K1477" s="300">
        <v>43.169308000000001</v>
      </c>
      <c r="L1477" s="321"/>
      <c r="M1477" s="399"/>
    </row>
    <row r="1478" spans="2:13">
      <c r="B1478" s="335">
        <v>18</v>
      </c>
      <c r="C1478" s="320"/>
      <c r="D1478" s="299" t="s">
        <v>232</v>
      </c>
      <c r="E1478" s="304">
        <v>4.0570000000000004</v>
      </c>
      <c r="F1478" s="304">
        <v>5.1719999999999997</v>
      </c>
      <c r="G1478" s="300">
        <v>4.0050049999999997</v>
      </c>
      <c r="H1478" s="304">
        <v>5.7044110000000003</v>
      </c>
      <c r="I1478" s="301">
        <v>0.13500000000000001</v>
      </c>
      <c r="J1478" s="301">
        <v>0.11990000000000001</v>
      </c>
      <c r="K1478" s="300">
        <v>43.135947000000002</v>
      </c>
      <c r="L1478" s="321"/>
      <c r="M1478" s="399"/>
    </row>
    <row r="1479" spans="2:13">
      <c r="B1479" s="335">
        <v>19</v>
      </c>
      <c r="C1479" s="320"/>
      <c r="D1479" s="299" t="s">
        <v>233</v>
      </c>
      <c r="E1479" s="304">
        <v>4.0579999999999998</v>
      </c>
      <c r="F1479" s="304">
        <v>5.1619999999999999</v>
      </c>
      <c r="G1479" s="300">
        <v>3.9962759999999999</v>
      </c>
      <c r="H1479" s="304">
        <v>5.6859409999999997</v>
      </c>
      <c r="I1479" s="301">
        <v>0.13500000000000001</v>
      </c>
      <c r="J1479" s="301">
        <v>0.1195</v>
      </c>
      <c r="K1479" s="300">
        <v>43.196652999999998</v>
      </c>
      <c r="L1479" s="321"/>
      <c r="M1479" s="399"/>
    </row>
    <row r="1480" spans="2:13" ht="17.25" thickBot="1">
      <c r="B1480" s="336">
        <v>20</v>
      </c>
      <c r="C1480" s="323"/>
      <c r="D1480" s="293" t="s">
        <v>249</v>
      </c>
      <c r="E1480" s="371">
        <v>4.056</v>
      </c>
      <c r="F1480" s="371">
        <v>5.1619999999999999</v>
      </c>
      <c r="G1480" s="288">
        <v>3.998246</v>
      </c>
      <c r="H1480" s="371">
        <v>5.7048860000000001</v>
      </c>
      <c r="I1480" s="289">
        <v>0.1351</v>
      </c>
      <c r="J1480" s="289">
        <v>0.11899999999999999</v>
      </c>
      <c r="K1480" s="288">
        <v>43.378151000000003</v>
      </c>
      <c r="L1480" s="324"/>
      <c r="M1480" s="399"/>
    </row>
    <row r="1481" spans="2:13" ht="17.25" thickBot="1">
      <c r="B1481" s="337"/>
      <c r="C1481" s="326"/>
      <c r="D1481" s="327" t="s">
        <v>463</v>
      </c>
      <c r="E1481" s="328">
        <f>AVERAGE(E1476:E1480)</f>
        <v>4.0538000000000007</v>
      </c>
      <c r="F1481" s="328">
        <f t="shared" ref="F1481:K1481" si="422">AVERAGE(F1476:F1480)</f>
        <v>5.1692</v>
      </c>
      <c r="G1481" s="328">
        <f t="shared" si="422"/>
        <v>4.0060055999999999</v>
      </c>
      <c r="H1481" s="328">
        <f t="shared" si="422"/>
        <v>5.6981283999999999</v>
      </c>
      <c r="I1481" s="329">
        <f t="shared" si="422"/>
        <v>0.13498000000000002</v>
      </c>
      <c r="J1481" s="329">
        <f t="shared" si="422"/>
        <v>0.11957999999999999</v>
      </c>
      <c r="K1481" s="328">
        <f t="shared" si="422"/>
        <v>43.228185799999999</v>
      </c>
      <c r="L1481" s="331"/>
      <c r="M1481" s="399"/>
    </row>
    <row r="1482" spans="2:13">
      <c r="B1482" s="333">
        <v>21</v>
      </c>
      <c r="C1482" s="271" t="s">
        <v>366</v>
      </c>
      <c r="D1482" s="291" t="s">
        <v>250</v>
      </c>
      <c r="E1482" s="302">
        <v>4.0419999999999998</v>
      </c>
      <c r="F1482" s="302">
        <v>5.18</v>
      </c>
      <c r="G1482" s="286">
        <v>4.0260850000000001</v>
      </c>
      <c r="H1482" s="302">
        <v>5.7226039999999996</v>
      </c>
      <c r="I1482" s="287">
        <v>0.13500000000000001</v>
      </c>
      <c r="J1482" s="287">
        <v>0.1191</v>
      </c>
      <c r="K1482" s="286">
        <v>43.492863</v>
      </c>
      <c r="L1482" s="332"/>
      <c r="M1482" s="399"/>
    </row>
    <row r="1483" spans="2:13">
      <c r="B1483" s="335">
        <v>22</v>
      </c>
      <c r="C1483" s="320"/>
      <c r="D1483" s="299" t="s">
        <v>251</v>
      </c>
      <c r="E1483" s="304">
        <v>4.05</v>
      </c>
      <c r="F1483" s="304">
        <v>5.181</v>
      </c>
      <c r="G1483" s="300">
        <v>4.0189079999999997</v>
      </c>
      <c r="H1483" s="304">
        <v>5.7165900000000001</v>
      </c>
      <c r="I1483" s="301">
        <v>0.13500000000000001</v>
      </c>
      <c r="J1483" s="301">
        <v>0.11940000000000001</v>
      </c>
      <c r="K1483" s="300">
        <v>43.391959999999997</v>
      </c>
      <c r="L1483" s="321"/>
      <c r="M1483" s="399"/>
    </row>
    <row r="1484" spans="2:13">
      <c r="B1484" s="335">
        <v>23</v>
      </c>
      <c r="C1484" s="320"/>
      <c r="D1484" s="299" t="s">
        <v>237</v>
      </c>
      <c r="E1484" s="304">
        <v>4.0540000000000003</v>
      </c>
      <c r="F1484" s="304">
        <v>5.1760000000000002</v>
      </c>
      <c r="G1484" s="300">
        <v>4.0110679999999999</v>
      </c>
      <c r="H1484" s="304">
        <v>5.7043999999999997</v>
      </c>
      <c r="I1484" s="301">
        <v>0.13500000000000001</v>
      </c>
      <c r="J1484" s="301">
        <v>0.11940000000000001</v>
      </c>
      <c r="K1484" s="300">
        <v>43.350084000000003</v>
      </c>
      <c r="L1484" s="321"/>
      <c r="M1484" s="399"/>
    </row>
    <row r="1485" spans="2:13">
      <c r="B1485" s="335">
        <v>24</v>
      </c>
      <c r="C1485" s="320"/>
      <c r="D1485" s="299" t="s">
        <v>238</v>
      </c>
      <c r="E1485" s="304">
        <v>4.0549999999999997</v>
      </c>
      <c r="F1485" s="304">
        <v>5.1740000000000004</v>
      </c>
      <c r="G1485" s="300">
        <v>4.0085290000000002</v>
      </c>
      <c r="H1485" s="304">
        <v>5.7048249999999996</v>
      </c>
      <c r="I1485" s="301">
        <v>0.1351</v>
      </c>
      <c r="J1485" s="301">
        <v>0.1191</v>
      </c>
      <c r="K1485" s="300">
        <v>43.442484999999998</v>
      </c>
      <c r="L1485" s="321"/>
      <c r="M1485" s="399"/>
    </row>
    <row r="1486" spans="2:13" ht="17.25" thickBot="1">
      <c r="B1486" s="336">
        <v>25</v>
      </c>
      <c r="C1486" s="323"/>
      <c r="D1486" s="293" t="s">
        <v>252</v>
      </c>
      <c r="E1486" s="371">
        <v>4.0519999999999996</v>
      </c>
      <c r="F1486" s="371">
        <v>5.1689999999999996</v>
      </c>
      <c r="G1486" s="288">
        <v>4.0076210000000003</v>
      </c>
      <c r="H1486" s="371">
        <v>5.7298650000000002</v>
      </c>
      <c r="I1486" s="289">
        <v>0.1351</v>
      </c>
      <c r="J1486" s="289">
        <v>0.11849999999999999</v>
      </c>
      <c r="K1486" s="288">
        <v>43.620252999999998</v>
      </c>
      <c r="L1486" s="324"/>
      <c r="M1486" s="399"/>
    </row>
    <row r="1487" spans="2:13" ht="17.25" thickBot="1">
      <c r="B1487" s="339" t="s">
        <v>464</v>
      </c>
      <c r="C1487" s="340"/>
      <c r="D1487" s="341" t="s">
        <v>465</v>
      </c>
      <c r="E1487" s="342">
        <f>AVERAGE(E1482:E1486)</f>
        <v>4.0506000000000002</v>
      </c>
      <c r="F1487" s="342">
        <f t="shared" ref="F1487:K1487" si="423">AVERAGE(F1482:F1486)</f>
        <v>5.1760000000000002</v>
      </c>
      <c r="G1487" s="342">
        <f t="shared" si="423"/>
        <v>4.0144421999999995</v>
      </c>
      <c r="H1487" s="342">
        <f t="shared" si="423"/>
        <v>5.7156567999999996</v>
      </c>
      <c r="I1487" s="343">
        <f t="shared" si="423"/>
        <v>0.13503999999999999</v>
      </c>
      <c r="J1487" s="343">
        <f t="shared" si="423"/>
        <v>0.11909999999999998</v>
      </c>
      <c r="K1487" s="342">
        <f t="shared" si="423"/>
        <v>43.459528999999996</v>
      </c>
      <c r="L1487" s="344"/>
      <c r="M1487" s="399"/>
    </row>
    <row r="1488" spans="2:13">
      <c r="B1488" s="333"/>
      <c r="C1488" s="345"/>
      <c r="D1488" s="291" t="s">
        <v>466</v>
      </c>
      <c r="E1488" s="346">
        <f>MEDIAN(E1458:E1462,E1464:E1468,E1470:E1474,E1476:E1480,E1482:E1486)</f>
        <v>4.056</v>
      </c>
      <c r="F1488" s="346">
        <f t="shared" ref="F1488:K1488" si="424">MEDIAN(F1458:F1462,F1464:F1468,F1470:F1474,F1476:F1480,F1482:F1486)</f>
        <v>5.181</v>
      </c>
      <c r="G1488" s="346">
        <f t="shared" si="424"/>
        <v>4.0239019999999996</v>
      </c>
      <c r="H1488" s="346">
        <f t="shared" si="424"/>
        <v>5.7226039999999996</v>
      </c>
      <c r="I1488" s="347">
        <f t="shared" si="424"/>
        <v>0.13500000000000001</v>
      </c>
      <c r="J1488" s="347">
        <f t="shared" si="424"/>
        <v>0.11899999999999999</v>
      </c>
      <c r="K1488" s="348">
        <f t="shared" si="424"/>
        <v>43.465097</v>
      </c>
      <c r="L1488" s="332"/>
      <c r="M1488" s="399"/>
    </row>
    <row r="1489" spans="2:13">
      <c r="B1489" s="335"/>
      <c r="C1489" s="320"/>
      <c r="D1489" s="299" t="s">
        <v>467</v>
      </c>
      <c r="E1489" s="349">
        <f>AVERAGE(E1458:E1462,E1464:E1468,E1470:E1474,E1476:E1480,E1482:E1486)</f>
        <v>4.0598400000000003</v>
      </c>
      <c r="F1489" s="349">
        <f t="shared" ref="F1489:K1489" si="425">AVERAGE(F1458:F1462,F1464:F1468,F1470:F1474,F1476:F1480,F1482:F1486)</f>
        <v>5.2172800000000006</v>
      </c>
      <c r="G1489" s="349">
        <f t="shared" si="425"/>
        <v>4.0371780399999988</v>
      </c>
      <c r="H1489" s="349">
        <f t="shared" si="425"/>
        <v>5.7856901599999988</v>
      </c>
      <c r="I1489" s="350">
        <f t="shared" si="425"/>
        <v>0.13509999999999997</v>
      </c>
      <c r="J1489" s="350">
        <f t="shared" si="425"/>
        <v>0.11840400000000002</v>
      </c>
      <c r="K1489" s="351">
        <f t="shared" si="425"/>
        <v>44.073130280000008</v>
      </c>
      <c r="L1489" s="321"/>
      <c r="M1489" s="399"/>
    </row>
    <row r="1490" spans="2:13">
      <c r="B1490" s="335"/>
      <c r="C1490" s="320"/>
      <c r="D1490" s="299" t="s">
        <v>199</v>
      </c>
      <c r="E1490" s="349">
        <f>MAX(E1458:E1462,E1464:E1468,E1470:E1474,E1476:E1480,E1482:E1486)</f>
        <v>4.0780000000000003</v>
      </c>
      <c r="F1490" s="349">
        <f t="shared" ref="F1490:K1490" si="426">MAX(F1458:F1462,F1464:F1468,F1470:F1474,F1476:F1480,F1482:F1486)</f>
        <v>5.3360000000000003</v>
      </c>
      <c r="G1490" s="349">
        <f t="shared" si="426"/>
        <v>4.1238679999999999</v>
      </c>
      <c r="H1490" s="349">
        <f t="shared" si="426"/>
        <v>5.929074</v>
      </c>
      <c r="I1490" s="350">
        <f t="shared" si="426"/>
        <v>0.1356</v>
      </c>
      <c r="J1490" s="350">
        <f t="shared" si="426"/>
        <v>0.11990000000000001</v>
      </c>
      <c r="K1490" s="351">
        <f t="shared" si="426"/>
        <v>45.387931000000002</v>
      </c>
      <c r="L1490" s="321"/>
      <c r="M1490" s="399"/>
    </row>
    <row r="1491" spans="2:13">
      <c r="B1491" s="335"/>
      <c r="C1491" s="320"/>
      <c r="D1491" s="299" t="s">
        <v>200</v>
      </c>
      <c r="E1491" s="349">
        <f>MIN(E1458:E1462,E1464:E1468,E1470:E1474,E1476:E1480,E1482:E1486)</f>
        <v>4.0419999999999998</v>
      </c>
      <c r="F1491" s="349">
        <f t="shared" ref="F1491:K1491" si="427">MIN(F1458:F1462,F1464:F1468,F1470:F1474,F1476:F1480,F1482:F1486)</f>
        <v>5.1619999999999999</v>
      </c>
      <c r="G1491" s="349">
        <f t="shared" si="427"/>
        <v>3.9962759999999999</v>
      </c>
      <c r="H1491" s="349">
        <f t="shared" si="427"/>
        <v>5.6859409999999997</v>
      </c>
      <c r="I1491" s="350">
        <f t="shared" si="427"/>
        <v>0.13489999999999999</v>
      </c>
      <c r="J1491" s="350">
        <f t="shared" si="427"/>
        <v>0.11559999999999999</v>
      </c>
      <c r="K1491" s="351">
        <f t="shared" si="427"/>
        <v>43.135947000000002</v>
      </c>
      <c r="L1491" s="321"/>
      <c r="M1491" s="399"/>
    </row>
    <row r="1492" spans="2:13">
      <c r="B1492" s="335"/>
      <c r="C1492" s="320"/>
      <c r="D1492" s="299" t="s">
        <v>201</v>
      </c>
      <c r="E1492" s="349">
        <f>E1490-E1491</f>
        <v>3.6000000000000476E-2</v>
      </c>
      <c r="F1492" s="349">
        <f t="shared" ref="F1492:K1492" si="428">F1490-F1491</f>
        <v>0.17400000000000038</v>
      </c>
      <c r="G1492" s="349">
        <f t="shared" si="428"/>
        <v>0.12759199999999993</v>
      </c>
      <c r="H1492" s="349">
        <f t="shared" si="428"/>
        <v>0.24313300000000027</v>
      </c>
      <c r="I1492" s="350">
        <f t="shared" si="428"/>
        <v>7.0000000000000617E-4</v>
      </c>
      <c r="J1492" s="350">
        <f t="shared" si="428"/>
        <v>4.3000000000000121E-3</v>
      </c>
      <c r="K1492" s="349">
        <f t="shared" si="428"/>
        <v>2.2519840000000002</v>
      </c>
      <c r="L1492" s="321"/>
      <c r="M1492" s="399"/>
    </row>
    <row r="1493" spans="2:13" ht="17.25" thickBot="1">
      <c r="B1493" s="336"/>
      <c r="C1493" s="323"/>
      <c r="D1493" s="293" t="s">
        <v>202</v>
      </c>
      <c r="E1493" s="352">
        <f>STDEVA(E1458:E1462,E1464:E1468,E1470:E1474,E1476:E1480,E1482:E1486)</f>
        <v>1.0873055381691735E-2</v>
      </c>
      <c r="F1493" s="352">
        <f t="shared" ref="F1493:K1493" si="429">STDEVA(F1458:F1462,F1464:F1468,F1470:F1474,F1476:F1480,F1482:F1486)</f>
        <v>5.8385586120777093E-2</v>
      </c>
      <c r="G1493" s="352">
        <f t="shared" si="429"/>
        <v>3.7222837580442501E-2</v>
      </c>
      <c r="H1493" s="352">
        <f t="shared" si="429"/>
        <v>9.9199091701016373E-2</v>
      </c>
      <c r="I1493" s="353">
        <f t="shared" si="429"/>
        <v>1.9364916731036982E-4</v>
      </c>
      <c r="J1493" s="353">
        <f t="shared" si="429"/>
        <v>1.4175918547546286E-3</v>
      </c>
      <c r="K1493" s="352">
        <f t="shared" si="429"/>
        <v>0.92846445501894515</v>
      </c>
      <c r="L1493" s="324"/>
      <c r="M1493" s="399"/>
    </row>
    <row r="1495" spans="2:13">
      <c r="B1495" s="240" t="s">
        <v>509</v>
      </c>
      <c r="C1495" s="240"/>
      <c r="E1495" s="240"/>
      <c r="F1495" s="240"/>
      <c r="G1495" s="240"/>
      <c r="H1495" s="240"/>
      <c r="I1495" s="240"/>
      <c r="J1495" s="240"/>
      <c r="K1495" s="240"/>
    </row>
    <row r="1496" spans="2:13" ht="17.25" thickBot="1">
      <c r="B1496" s="240" t="s">
        <v>469</v>
      </c>
      <c r="C1496" s="240"/>
      <c r="E1496" s="240"/>
      <c r="F1496" s="240"/>
      <c r="G1496" s="240"/>
      <c r="H1496" s="240"/>
      <c r="I1496" s="240"/>
      <c r="J1496" s="240"/>
      <c r="K1496" s="240"/>
    </row>
    <row r="1497" spans="2:13" ht="17.25" thickBot="1">
      <c r="B1497" s="313" t="s">
        <v>11</v>
      </c>
      <c r="C1497" s="250" t="s">
        <v>0</v>
      </c>
      <c r="D1497" s="250" t="s">
        <v>1</v>
      </c>
      <c r="E1497" s="250" t="s">
        <v>2</v>
      </c>
      <c r="F1497" s="250" t="s">
        <v>3</v>
      </c>
      <c r="G1497" s="250" t="s">
        <v>192</v>
      </c>
      <c r="H1497" s="250" t="s">
        <v>16</v>
      </c>
      <c r="I1497" s="250" t="s">
        <v>6</v>
      </c>
      <c r="J1497" s="251" t="s">
        <v>7</v>
      </c>
      <c r="K1497" s="252" t="s">
        <v>8</v>
      </c>
      <c r="L1497" s="254" t="s">
        <v>470</v>
      </c>
      <c r="M1497" s="404"/>
    </row>
    <row r="1498" spans="2:13">
      <c r="B1498" s="314">
        <v>1</v>
      </c>
      <c r="C1498" s="271" t="s">
        <v>365</v>
      </c>
      <c r="D1498" s="291" t="s">
        <v>213</v>
      </c>
      <c r="E1498" s="302">
        <v>3.9119999999999999</v>
      </c>
      <c r="F1498" s="302">
        <v>5.1520000000000001</v>
      </c>
      <c r="G1498" s="286">
        <v>4.137391</v>
      </c>
      <c r="H1498" s="364">
        <v>6.0654070000000004</v>
      </c>
      <c r="I1498" s="287">
        <v>0.13700000000000001</v>
      </c>
      <c r="J1498" s="287">
        <v>0.1081</v>
      </c>
      <c r="K1498" s="286">
        <v>47.659573999999999</v>
      </c>
      <c r="L1498" s="275"/>
      <c r="M1498" s="397"/>
    </row>
    <row r="1499" spans="2:13">
      <c r="B1499" s="315">
        <v>2</v>
      </c>
      <c r="C1499" s="316"/>
      <c r="D1499" s="299" t="s">
        <v>214</v>
      </c>
      <c r="E1499" s="304">
        <v>3.9470000000000001</v>
      </c>
      <c r="F1499" s="304">
        <v>5.1520000000000001</v>
      </c>
      <c r="G1499" s="300">
        <v>4.1007020000000001</v>
      </c>
      <c r="H1499" s="370">
        <v>6.0473860000000004</v>
      </c>
      <c r="I1499" s="301">
        <v>0.13700000000000001</v>
      </c>
      <c r="J1499" s="301">
        <v>0.1085</v>
      </c>
      <c r="K1499" s="300">
        <v>47.483871000000001</v>
      </c>
      <c r="L1499" s="319"/>
      <c r="M1499" s="398"/>
    </row>
    <row r="1500" spans="2:13">
      <c r="B1500" s="315">
        <v>3</v>
      </c>
      <c r="C1500" s="320"/>
      <c r="D1500" s="299" t="s">
        <v>217</v>
      </c>
      <c r="E1500" s="304">
        <v>3.9580000000000002</v>
      </c>
      <c r="F1500" s="304">
        <v>5.1550000000000002</v>
      </c>
      <c r="G1500" s="300">
        <v>4.0916870000000003</v>
      </c>
      <c r="H1500" s="370">
        <v>6.0396960000000002</v>
      </c>
      <c r="I1500" s="301">
        <v>0.13700000000000001</v>
      </c>
      <c r="J1500" s="301">
        <v>0.1087</v>
      </c>
      <c r="K1500" s="300">
        <v>47.424103000000002</v>
      </c>
      <c r="L1500" s="356"/>
      <c r="M1500" s="400"/>
    </row>
    <row r="1501" spans="2:13">
      <c r="B1501" s="315">
        <v>4</v>
      </c>
      <c r="C1501" s="320"/>
      <c r="D1501" s="299" t="s">
        <v>218</v>
      </c>
      <c r="E1501" s="304">
        <v>3.9630000000000001</v>
      </c>
      <c r="F1501" s="304">
        <v>5.1369999999999996</v>
      </c>
      <c r="G1501" s="300">
        <v>4.0722550000000002</v>
      </c>
      <c r="H1501" s="370">
        <v>6.0288830000000004</v>
      </c>
      <c r="I1501" s="301">
        <v>0.13700000000000001</v>
      </c>
      <c r="J1501" s="301">
        <v>0.1084</v>
      </c>
      <c r="K1501" s="300">
        <v>47.389299000000001</v>
      </c>
      <c r="L1501" s="356"/>
      <c r="M1501" s="400"/>
    </row>
    <row r="1502" spans="2:13" ht="17.25" thickBot="1">
      <c r="B1502" s="322">
        <v>5</v>
      </c>
      <c r="C1502" s="323"/>
      <c r="D1502" s="293" t="s">
        <v>240</v>
      </c>
      <c r="E1502" s="371">
        <v>3.964</v>
      </c>
      <c r="F1502" s="371">
        <v>5.117</v>
      </c>
      <c r="G1502" s="288">
        <v>4.055377</v>
      </c>
      <c r="H1502" s="372">
        <v>6.0098859999999998</v>
      </c>
      <c r="I1502" s="289">
        <v>0.13689999999999999</v>
      </c>
      <c r="J1502" s="289">
        <v>0.1082</v>
      </c>
      <c r="K1502" s="288">
        <v>47.292051999999998</v>
      </c>
      <c r="L1502" s="324"/>
      <c r="M1502" s="399"/>
    </row>
    <row r="1503" spans="2:13" ht="17.25" thickBot="1">
      <c r="B1503" s="325"/>
      <c r="C1503" s="326"/>
      <c r="D1503" s="327" t="s">
        <v>463</v>
      </c>
      <c r="E1503" s="328">
        <f>AVERAGE(E1498:E1502)</f>
        <v>3.9487999999999999</v>
      </c>
      <c r="F1503" s="328">
        <f t="shared" ref="F1503:K1503" si="430">AVERAGE(F1498:F1502)</f>
        <v>5.1425999999999998</v>
      </c>
      <c r="G1503" s="328">
        <f t="shared" si="430"/>
        <v>4.0914823999999994</v>
      </c>
      <c r="H1503" s="373">
        <f t="shared" si="430"/>
        <v>6.0382515999999997</v>
      </c>
      <c r="I1503" s="329">
        <f t="shared" si="430"/>
        <v>0.13698000000000002</v>
      </c>
      <c r="J1503" s="329">
        <f t="shared" si="430"/>
        <v>0.10838</v>
      </c>
      <c r="K1503" s="330">
        <f t="shared" si="430"/>
        <v>47.449779800000002</v>
      </c>
      <c r="L1503" s="331"/>
      <c r="M1503" s="399"/>
    </row>
    <row r="1504" spans="2:13">
      <c r="B1504" s="314">
        <v>6</v>
      </c>
      <c r="C1504" s="271" t="s">
        <v>378</v>
      </c>
      <c r="D1504" s="291" t="s">
        <v>241</v>
      </c>
      <c r="E1504" s="378">
        <v>3.9510000000000001</v>
      </c>
      <c r="F1504" s="378">
        <v>5.0650000000000004</v>
      </c>
      <c r="G1504" s="379">
        <v>4.027374</v>
      </c>
      <c r="H1504" s="380">
        <v>5.9374950000000002</v>
      </c>
      <c r="I1504" s="381">
        <v>0.1371</v>
      </c>
      <c r="J1504" s="381">
        <v>0.1085</v>
      </c>
      <c r="K1504" s="379">
        <v>46.682028000000003</v>
      </c>
      <c r="L1504" s="332"/>
      <c r="M1504" s="399"/>
    </row>
    <row r="1505" spans="2:13">
      <c r="B1505" s="315">
        <v>7</v>
      </c>
      <c r="C1505" s="320"/>
      <c r="D1505" s="299" t="s">
        <v>242</v>
      </c>
      <c r="E1505" s="304">
        <v>3.9580000000000002</v>
      </c>
      <c r="F1505" s="304">
        <v>5.0620000000000003</v>
      </c>
      <c r="G1505" s="300">
        <v>4.0178700000000003</v>
      </c>
      <c r="H1505" s="370">
        <v>5.9215429999999998</v>
      </c>
      <c r="I1505" s="301">
        <v>0.13700000000000001</v>
      </c>
      <c r="J1505" s="301">
        <v>0.10879999999999999</v>
      </c>
      <c r="K1505" s="300">
        <v>46.525734999999997</v>
      </c>
      <c r="L1505" s="321"/>
      <c r="M1505" s="399"/>
    </row>
    <row r="1506" spans="2:13">
      <c r="B1506" s="315">
        <v>8</v>
      </c>
      <c r="C1506" s="320"/>
      <c r="D1506" s="299" t="s">
        <v>222</v>
      </c>
      <c r="E1506" s="304">
        <v>3.9609999999999999</v>
      </c>
      <c r="F1506" s="304">
        <v>5.0510000000000002</v>
      </c>
      <c r="G1506" s="300">
        <v>4.0061020000000003</v>
      </c>
      <c r="H1506" s="370">
        <v>5.9089619999999998</v>
      </c>
      <c r="I1506" s="301">
        <v>0.13700000000000001</v>
      </c>
      <c r="J1506" s="301">
        <v>0.1087</v>
      </c>
      <c r="K1506" s="300">
        <v>46.467340999999998</v>
      </c>
      <c r="L1506" s="321"/>
      <c r="M1506" s="399"/>
    </row>
    <row r="1507" spans="2:13">
      <c r="B1507" s="315">
        <v>9</v>
      </c>
      <c r="C1507" s="320"/>
      <c r="D1507" s="299" t="s">
        <v>223</v>
      </c>
      <c r="E1507" s="304">
        <v>3.9609999999999999</v>
      </c>
      <c r="F1507" s="304">
        <v>5.03</v>
      </c>
      <c r="G1507" s="300">
        <v>3.9894470000000002</v>
      </c>
      <c r="H1507" s="370">
        <v>5.8862620000000003</v>
      </c>
      <c r="I1507" s="301">
        <v>0.13700000000000001</v>
      </c>
      <c r="J1507" s="301">
        <v>0.1087</v>
      </c>
      <c r="K1507" s="300">
        <v>46.274149000000001</v>
      </c>
      <c r="L1507" s="321"/>
      <c r="M1507" s="399"/>
    </row>
    <row r="1508" spans="2:13" ht="17.25" thickBot="1">
      <c r="B1508" s="322">
        <v>10</v>
      </c>
      <c r="C1508" s="323"/>
      <c r="D1508" s="293" t="s">
        <v>243</v>
      </c>
      <c r="E1508" s="371">
        <v>3.9590000000000001</v>
      </c>
      <c r="F1508" s="371">
        <v>5.008</v>
      </c>
      <c r="G1508" s="288">
        <v>3.9740039999999999</v>
      </c>
      <c r="H1508" s="372">
        <v>5.8674119999999998</v>
      </c>
      <c r="I1508" s="289">
        <v>0.1371</v>
      </c>
      <c r="J1508" s="289">
        <v>0.1085</v>
      </c>
      <c r="K1508" s="288">
        <v>46.156682000000004</v>
      </c>
      <c r="L1508" s="324"/>
      <c r="M1508" s="399"/>
    </row>
    <row r="1509" spans="2:13" ht="17.25" thickBot="1">
      <c r="B1509" s="325" t="s">
        <v>464</v>
      </c>
      <c r="C1509" s="326"/>
      <c r="D1509" s="327" t="s">
        <v>463</v>
      </c>
      <c r="E1509" s="328">
        <f t="shared" ref="E1509:K1509" si="431">AVERAGE(E1504:E1508)</f>
        <v>3.9580000000000006</v>
      </c>
      <c r="F1509" s="328">
        <f t="shared" si="431"/>
        <v>5.0432000000000006</v>
      </c>
      <c r="G1509" s="328">
        <f t="shared" si="431"/>
        <v>4.0029593999999999</v>
      </c>
      <c r="H1509" s="373">
        <f t="shared" si="431"/>
        <v>5.9043348000000009</v>
      </c>
      <c r="I1509" s="329">
        <f t="shared" si="431"/>
        <v>0.13704</v>
      </c>
      <c r="J1509" s="329">
        <f t="shared" si="431"/>
        <v>0.10864</v>
      </c>
      <c r="K1509" s="330">
        <f t="shared" si="431"/>
        <v>46.421186999999996</v>
      </c>
      <c r="L1509" s="331"/>
      <c r="M1509" s="399"/>
    </row>
    <row r="1510" spans="2:13">
      <c r="B1510" s="333">
        <v>11</v>
      </c>
      <c r="C1510" s="271" t="s">
        <v>365</v>
      </c>
      <c r="D1510" s="291" t="s">
        <v>244</v>
      </c>
      <c r="E1510" s="302">
        <v>3.95</v>
      </c>
      <c r="F1510" s="302">
        <v>5.0359999999999996</v>
      </c>
      <c r="G1510" s="286">
        <v>4.0053280000000004</v>
      </c>
      <c r="H1510" s="302">
        <v>5.8952790000000004</v>
      </c>
      <c r="I1510" s="287">
        <v>0.1371</v>
      </c>
      <c r="J1510" s="287">
        <v>0.10879999999999999</v>
      </c>
      <c r="K1510" s="286">
        <v>46.286765000000003</v>
      </c>
      <c r="L1510" s="332"/>
      <c r="M1510" s="399"/>
    </row>
    <row r="1511" spans="2:13">
      <c r="B1511" s="335">
        <v>12</v>
      </c>
      <c r="C1511" s="316"/>
      <c r="D1511" s="299" t="s">
        <v>245</v>
      </c>
      <c r="E1511" s="304">
        <v>3.9569999999999999</v>
      </c>
      <c r="F1511" s="304">
        <v>5.016</v>
      </c>
      <c r="G1511" s="300">
        <v>3.982364</v>
      </c>
      <c r="H1511" s="304">
        <v>5.8698810000000003</v>
      </c>
      <c r="I1511" s="301">
        <v>0.13700000000000001</v>
      </c>
      <c r="J1511" s="301">
        <v>0.1089</v>
      </c>
      <c r="K1511" s="300">
        <v>46.060606</v>
      </c>
      <c r="L1511" s="321"/>
      <c r="M1511" s="399"/>
    </row>
    <row r="1512" spans="2:13">
      <c r="B1512" s="335">
        <v>13</v>
      </c>
      <c r="C1512" s="320"/>
      <c r="D1512" s="299" t="s">
        <v>227</v>
      </c>
      <c r="E1512" s="304">
        <v>3.96</v>
      </c>
      <c r="F1512" s="304">
        <v>5.0049999999999999</v>
      </c>
      <c r="G1512" s="300">
        <v>3.970621</v>
      </c>
      <c r="H1512" s="304">
        <v>5.8493170000000001</v>
      </c>
      <c r="I1512" s="301">
        <v>0.1371</v>
      </c>
      <c r="J1512" s="301">
        <v>0.109</v>
      </c>
      <c r="K1512" s="300">
        <v>45.917431000000001</v>
      </c>
      <c r="L1512" s="321"/>
      <c r="M1512" s="399"/>
    </row>
    <row r="1513" spans="2:13">
      <c r="B1513" s="335">
        <v>14</v>
      </c>
      <c r="C1513" s="320"/>
      <c r="D1513" s="299" t="s">
        <v>228</v>
      </c>
      <c r="E1513" s="304">
        <v>3.9590000000000001</v>
      </c>
      <c r="F1513" s="304">
        <v>4.9829999999999997</v>
      </c>
      <c r="G1513" s="300">
        <v>3.9541659999999998</v>
      </c>
      <c r="H1513" s="304">
        <v>5.8173120000000003</v>
      </c>
      <c r="I1513" s="301">
        <v>0.1371</v>
      </c>
      <c r="J1513" s="301">
        <v>0.1089</v>
      </c>
      <c r="K1513" s="300">
        <v>45.757576</v>
      </c>
      <c r="L1513" s="321"/>
      <c r="M1513" s="399"/>
    </row>
    <row r="1514" spans="2:13" ht="17.25" thickBot="1">
      <c r="B1514" s="336">
        <v>15</v>
      </c>
      <c r="C1514" s="323"/>
      <c r="D1514" s="293" t="s">
        <v>246</v>
      </c>
      <c r="E1514" s="371">
        <v>3.9540000000000002</v>
      </c>
      <c r="F1514" s="371">
        <v>4.9580000000000002</v>
      </c>
      <c r="G1514" s="288">
        <v>3.9393030000000002</v>
      </c>
      <c r="H1514" s="371">
        <v>5.8110280000000003</v>
      </c>
      <c r="I1514" s="289">
        <v>0.13719999999999999</v>
      </c>
      <c r="J1514" s="289">
        <v>0.1087</v>
      </c>
      <c r="K1514" s="288">
        <v>45.611775999999999</v>
      </c>
      <c r="L1514" s="324"/>
      <c r="M1514" s="399"/>
    </row>
    <row r="1515" spans="2:13" ht="17.25" thickBot="1">
      <c r="B1515" s="337"/>
      <c r="C1515" s="326"/>
      <c r="D1515" s="327" t="s">
        <v>463</v>
      </c>
      <c r="E1515" s="328">
        <f>AVERAGE(E1510:E1514)</f>
        <v>3.9560000000000004</v>
      </c>
      <c r="F1515" s="328">
        <f t="shared" ref="F1515:K1515" si="432">AVERAGE(F1510:F1514)</f>
        <v>4.9995999999999992</v>
      </c>
      <c r="G1515" s="328">
        <f t="shared" si="432"/>
        <v>3.9703564</v>
      </c>
      <c r="H1515" s="328">
        <f t="shared" si="432"/>
        <v>5.8485634000000006</v>
      </c>
      <c r="I1515" s="329">
        <f t="shared" si="432"/>
        <v>0.1371</v>
      </c>
      <c r="J1515" s="329">
        <f t="shared" si="432"/>
        <v>0.10886</v>
      </c>
      <c r="K1515" s="330">
        <f t="shared" si="432"/>
        <v>45.926830799999998</v>
      </c>
      <c r="L1515" s="331"/>
      <c r="M1515" s="399"/>
    </row>
    <row r="1516" spans="2:13">
      <c r="B1516" s="333">
        <v>16</v>
      </c>
      <c r="C1516" s="271" t="s">
        <v>378</v>
      </c>
      <c r="D1516" s="291" t="s">
        <v>247</v>
      </c>
      <c r="E1516" s="302">
        <v>3.952</v>
      </c>
      <c r="F1516" s="302">
        <v>5.0199999999999996</v>
      </c>
      <c r="G1516" s="286">
        <v>3.9905819999999999</v>
      </c>
      <c r="H1516" s="302">
        <v>5.876951</v>
      </c>
      <c r="I1516" s="287">
        <v>0.13719999999999999</v>
      </c>
      <c r="J1516" s="287">
        <v>0.1086</v>
      </c>
      <c r="K1516" s="286">
        <v>46.224677999999997</v>
      </c>
      <c r="L1516" s="359"/>
      <c r="M1516" s="401"/>
    </row>
    <row r="1517" spans="2:13">
      <c r="B1517" s="335">
        <v>17</v>
      </c>
      <c r="C1517" s="320"/>
      <c r="D1517" s="299" t="s">
        <v>248</v>
      </c>
      <c r="E1517" s="304">
        <v>3.9569999999999999</v>
      </c>
      <c r="F1517" s="304">
        <v>5.0019999999999998</v>
      </c>
      <c r="G1517" s="300">
        <v>3.9712489999999998</v>
      </c>
      <c r="H1517" s="304">
        <v>5.849952</v>
      </c>
      <c r="I1517" s="301">
        <v>0.13719999999999999</v>
      </c>
      <c r="J1517" s="301">
        <v>0.10879999999999999</v>
      </c>
      <c r="K1517" s="300">
        <v>45.974265000000003</v>
      </c>
      <c r="L1517" s="321"/>
      <c r="M1517" s="399"/>
    </row>
    <row r="1518" spans="2:13">
      <c r="B1518" s="335">
        <v>18</v>
      </c>
      <c r="C1518" s="320"/>
      <c r="D1518" s="299" t="s">
        <v>232</v>
      </c>
      <c r="E1518" s="304">
        <v>3.96</v>
      </c>
      <c r="F1518" s="304">
        <v>4.9790000000000001</v>
      </c>
      <c r="G1518" s="300">
        <v>3.9499939999999998</v>
      </c>
      <c r="H1518" s="304">
        <v>5.8227320000000002</v>
      </c>
      <c r="I1518" s="301">
        <v>0.13719999999999999</v>
      </c>
      <c r="J1518" s="301">
        <v>0.1089</v>
      </c>
      <c r="K1518" s="300">
        <v>45.720844999999997</v>
      </c>
      <c r="L1518" s="321"/>
      <c r="M1518" s="399"/>
    </row>
    <row r="1519" spans="2:13">
      <c r="B1519" s="335">
        <v>19</v>
      </c>
      <c r="C1519" s="320"/>
      <c r="D1519" s="299" t="s">
        <v>233</v>
      </c>
      <c r="E1519" s="304">
        <v>3.9569999999999999</v>
      </c>
      <c r="F1519" s="304">
        <v>4.9509999999999996</v>
      </c>
      <c r="G1519" s="300">
        <v>3.9307590000000001</v>
      </c>
      <c r="H1519" s="304">
        <v>5.8000179999999997</v>
      </c>
      <c r="I1519" s="301">
        <v>0.13719999999999999</v>
      </c>
      <c r="J1519" s="301">
        <v>0.10879999999999999</v>
      </c>
      <c r="K1519" s="300">
        <v>45.505515000000003</v>
      </c>
      <c r="L1519" s="321"/>
      <c r="M1519" s="399"/>
    </row>
    <row r="1520" spans="2:13" ht="17.25" thickBot="1">
      <c r="B1520" s="336">
        <v>20</v>
      </c>
      <c r="C1520" s="323"/>
      <c r="D1520" s="293" t="s">
        <v>249</v>
      </c>
      <c r="E1520" s="371">
        <v>3.952</v>
      </c>
      <c r="F1520" s="371">
        <v>4.92</v>
      </c>
      <c r="G1520" s="288">
        <v>3.911089</v>
      </c>
      <c r="H1520" s="371">
        <v>5.7677959999999997</v>
      </c>
      <c r="I1520" s="289">
        <v>0.13730000000000001</v>
      </c>
      <c r="J1520" s="289">
        <v>0.1084</v>
      </c>
      <c r="K1520" s="288">
        <v>45.387453999999998</v>
      </c>
      <c r="L1520" s="324"/>
      <c r="M1520" s="399"/>
    </row>
    <row r="1521" spans="2:13" ht="17.25" thickBot="1">
      <c r="B1521" s="337"/>
      <c r="C1521" s="326"/>
      <c r="D1521" s="327" t="s">
        <v>463</v>
      </c>
      <c r="E1521" s="328">
        <f>AVERAGE(E1516:E1520)</f>
        <v>3.9555999999999996</v>
      </c>
      <c r="F1521" s="328">
        <f t="shared" ref="F1521:K1521" si="433">AVERAGE(F1516:F1520)</f>
        <v>4.9744000000000002</v>
      </c>
      <c r="G1521" s="328">
        <f t="shared" si="433"/>
        <v>3.9507345999999997</v>
      </c>
      <c r="H1521" s="328">
        <f t="shared" si="433"/>
        <v>5.8234898000000008</v>
      </c>
      <c r="I1521" s="329">
        <f t="shared" si="433"/>
        <v>0.13721999999999998</v>
      </c>
      <c r="J1521" s="329">
        <f t="shared" si="433"/>
        <v>0.10869999999999999</v>
      </c>
      <c r="K1521" s="328">
        <f t="shared" si="433"/>
        <v>45.762551399999992</v>
      </c>
      <c r="L1521" s="331"/>
      <c r="M1521" s="399"/>
    </row>
    <row r="1522" spans="2:13">
      <c r="B1522" s="333">
        <v>21</v>
      </c>
      <c r="C1522" s="271" t="s">
        <v>378</v>
      </c>
      <c r="D1522" s="291" t="s">
        <v>250</v>
      </c>
      <c r="E1522" s="302">
        <v>3.9470000000000001</v>
      </c>
      <c r="F1522" s="302">
        <v>4.9729999999999999</v>
      </c>
      <c r="G1522" s="286">
        <v>3.9582280000000001</v>
      </c>
      <c r="H1522" s="302">
        <v>5.8445320000000001</v>
      </c>
      <c r="I1522" s="287">
        <v>0.13730000000000001</v>
      </c>
      <c r="J1522" s="287">
        <v>0.1081</v>
      </c>
      <c r="K1522" s="286">
        <v>46.003700000000002</v>
      </c>
      <c r="L1522" s="332"/>
      <c r="M1522" s="399"/>
    </row>
    <row r="1523" spans="2:13">
      <c r="B1523" s="335">
        <v>22</v>
      </c>
      <c r="C1523" s="320"/>
      <c r="D1523" s="299" t="s">
        <v>251</v>
      </c>
      <c r="E1523" s="304">
        <v>3.952</v>
      </c>
      <c r="F1523" s="304">
        <v>4.968</v>
      </c>
      <c r="G1523" s="300">
        <v>3.949246</v>
      </c>
      <c r="H1523" s="304">
        <v>5.8295909999999997</v>
      </c>
      <c r="I1523" s="301">
        <v>0.13730000000000001</v>
      </c>
      <c r="J1523" s="301">
        <v>0.1085</v>
      </c>
      <c r="K1523" s="300">
        <v>45.788018000000001</v>
      </c>
      <c r="L1523" s="321"/>
      <c r="M1523" s="399"/>
    </row>
    <row r="1524" spans="2:13">
      <c r="B1524" s="335">
        <v>23</v>
      </c>
      <c r="C1524" s="320"/>
      <c r="D1524" s="299" t="s">
        <v>237</v>
      </c>
      <c r="E1524" s="304">
        <v>3.9529999999999998</v>
      </c>
      <c r="F1524" s="304">
        <v>4.9489999999999998</v>
      </c>
      <c r="G1524" s="300">
        <v>3.9331469999999999</v>
      </c>
      <c r="H1524" s="304">
        <v>5.7899250000000002</v>
      </c>
      <c r="I1524" s="301">
        <v>0.13730000000000001</v>
      </c>
      <c r="J1524" s="301">
        <v>0.1085</v>
      </c>
      <c r="K1524" s="300">
        <v>45.612903000000003</v>
      </c>
      <c r="L1524" s="321"/>
      <c r="M1524" s="399"/>
    </row>
    <row r="1525" spans="2:13">
      <c r="B1525" s="335">
        <v>24</v>
      </c>
      <c r="C1525" s="320"/>
      <c r="D1525" s="299" t="s">
        <v>238</v>
      </c>
      <c r="E1525" s="304">
        <v>3.952</v>
      </c>
      <c r="F1525" s="304">
        <v>4.9249999999999998</v>
      </c>
      <c r="G1525" s="300">
        <v>3.915063</v>
      </c>
      <c r="H1525" s="304">
        <v>5.7785250000000001</v>
      </c>
      <c r="I1525" s="301">
        <v>0.13739999999999999</v>
      </c>
      <c r="J1525" s="301">
        <v>0.1084</v>
      </c>
      <c r="K1525" s="300">
        <v>45.433579000000002</v>
      </c>
      <c r="L1525" s="321"/>
      <c r="M1525" s="399"/>
    </row>
    <row r="1526" spans="2:13" ht="17.25" thickBot="1">
      <c r="B1526" s="336">
        <v>25</v>
      </c>
      <c r="C1526" s="323"/>
      <c r="D1526" s="293" t="s">
        <v>252</v>
      </c>
      <c r="E1526" s="371">
        <v>3.9460000000000002</v>
      </c>
      <c r="F1526" s="371">
        <v>4.8899999999999997</v>
      </c>
      <c r="G1526" s="288">
        <v>3.893151</v>
      </c>
      <c r="H1526" s="371">
        <v>5.7493340000000002</v>
      </c>
      <c r="I1526" s="289">
        <v>0.13750000000000001</v>
      </c>
      <c r="J1526" s="289">
        <v>0.1082</v>
      </c>
      <c r="K1526" s="288">
        <v>45.194085000000001</v>
      </c>
      <c r="L1526" s="324"/>
      <c r="M1526" s="399"/>
    </row>
    <row r="1527" spans="2:13" ht="17.25" thickBot="1">
      <c r="B1527" s="339" t="s">
        <v>464</v>
      </c>
      <c r="C1527" s="340"/>
      <c r="D1527" s="341" t="s">
        <v>465</v>
      </c>
      <c r="E1527" s="342">
        <f>AVERAGE(E1522:E1526)</f>
        <v>3.95</v>
      </c>
      <c r="F1527" s="342">
        <f t="shared" ref="F1527:K1527" si="434">AVERAGE(F1522:F1526)</f>
        <v>4.9409999999999998</v>
      </c>
      <c r="G1527" s="342">
        <f t="shared" si="434"/>
        <v>3.9297670000000005</v>
      </c>
      <c r="H1527" s="342">
        <f t="shared" si="434"/>
        <v>5.7983814000000002</v>
      </c>
      <c r="I1527" s="343">
        <f t="shared" si="434"/>
        <v>0.13736000000000001</v>
      </c>
      <c r="J1527" s="343">
        <f t="shared" si="434"/>
        <v>0.10833999999999999</v>
      </c>
      <c r="K1527" s="342">
        <f t="shared" si="434"/>
        <v>45.606457000000006</v>
      </c>
      <c r="L1527" s="344"/>
      <c r="M1527" s="399"/>
    </row>
    <row r="1528" spans="2:13">
      <c r="B1528" s="333"/>
      <c r="C1528" s="345"/>
      <c r="D1528" s="291" t="s">
        <v>466</v>
      </c>
      <c r="E1528" s="346">
        <f>MEDIAN(E1498:E1502,E1504:E1508,E1510:E1514,E1516:E1520,E1522:E1526)</f>
        <v>3.9569999999999999</v>
      </c>
      <c r="F1528" s="346">
        <f t="shared" ref="F1528:K1528" si="435">MEDIAN(F1498:F1502,F1504:F1508,F1510:F1514,F1516:F1520,F1522:F1526)</f>
        <v>5.008</v>
      </c>
      <c r="G1528" s="346">
        <f t="shared" si="435"/>
        <v>3.9740039999999999</v>
      </c>
      <c r="H1528" s="346">
        <f t="shared" si="435"/>
        <v>5.8674119999999998</v>
      </c>
      <c r="I1528" s="347">
        <f t="shared" si="435"/>
        <v>0.1371</v>
      </c>
      <c r="J1528" s="347">
        <f t="shared" si="435"/>
        <v>0.1086</v>
      </c>
      <c r="K1528" s="348">
        <f t="shared" si="435"/>
        <v>46.060606</v>
      </c>
      <c r="L1528" s="332"/>
      <c r="M1528" s="399"/>
    </row>
    <row r="1529" spans="2:13">
      <c r="B1529" s="335"/>
      <c r="C1529" s="320"/>
      <c r="D1529" s="299" t="s">
        <v>467</v>
      </c>
      <c r="E1529" s="349">
        <f>AVERAGE(E1498:E1502,E1504:E1508,E1510:E1514,E1516:E1520,E1522:E1526)</f>
        <v>3.9536799999999994</v>
      </c>
      <c r="F1529" s="349">
        <f t="shared" ref="F1529:K1529" si="436">AVERAGE(F1498:F1502,F1504:F1508,F1510:F1514,F1516:F1520,F1522:F1526)</f>
        <v>5.0201599999999997</v>
      </c>
      <c r="G1529" s="349">
        <f t="shared" si="436"/>
        <v>3.9890599600000005</v>
      </c>
      <c r="H1529" s="349">
        <f t="shared" si="436"/>
        <v>5.8826042000000003</v>
      </c>
      <c r="I1529" s="350">
        <f t="shared" si="436"/>
        <v>0.13714000000000004</v>
      </c>
      <c r="J1529" s="350">
        <f t="shared" si="436"/>
        <v>0.108584</v>
      </c>
      <c r="K1529" s="351">
        <f t="shared" si="436"/>
        <v>46.233361200000012</v>
      </c>
      <c r="L1529" s="321"/>
      <c r="M1529" s="399"/>
    </row>
    <row r="1530" spans="2:13">
      <c r="B1530" s="335"/>
      <c r="C1530" s="320"/>
      <c r="D1530" s="299" t="s">
        <v>199</v>
      </c>
      <c r="E1530" s="349">
        <f>MAX(E1498:E1502,E1504:E1508,E1510:E1514,E1516:E1520,E1522:E1526)</f>
        <v>3.964</v>
      </c>
      <c r="F1530" s="349">
        <f t="shared" ref="F1530:K1530" si="437">MAX(F1498:F1502,F1504:F1508,F1510:F1514,F1516:F1520,F1522:F1526)</f>
        <v>5.1550000000000002</v>
      </c>
      <c r="G1530" s="349">
        <f t="shared" si="437"/>
        <v>4.137391</v>
      </c>
      <c r="H1530" s="349">
        <f t="shared" si="437"/>
        <v>6.0654070000000004</v>
      </c>
      <c r="I1530" s="350">
        <f t="shared" si="437"/>
        <v>0.13750000000000001</v>
      </c>
      <c r="J1530" s="350">
        <f t="shared" si="437"/>
        <v>0.109</v>
      </c>
      <c r="K1530" s="351">
        <f t="shared" si="437"/>
        <v>47.659573999999999</v>
      </c>
      <c r="L1530" s="321"/>
      <c r="M1530" s="399"/>
    </row>
    <row r="1531" spans="2:13">
      <c r="B1531" s="335"/>
      <c r="C1531" s="320"/>
      <c r="D1531" s="299" t="s">
        <v>200</v>
      </c>
      <c r="E1531" s="349">
        <f>MIN(E1498:E1502,E1504:E1508,E1510:E1514,E1516:E1520,E1522:E1526)</f>
        <v>3.9119999999999999</v>
      </c>
      <c r="F1531" s="349">
        <f t="shared" ref="F1531:K1531" si="438">MIN(F1498:F1502,F1504:F1508,F1510:F1514,F1516:F1520,F1522:F1526)</f>
        <v>4.8899999999999997</v>
      </c>
      <c r="G1531" s="349">
        <f t="shared" si="438"/>
        <v>3.893151</v>
      </c>
      <c r="H1531" s="349">
        <f t="shared" si="438"/>
        <v>5.7493340000000002</v>
      </c>
      <c r="I1531" s="350">
        <f t="shared" si="438"/>
        <v>0.13689999999999999</v>
      </c>
      <c r="J1531" s="350">
        <f t="shared" si="438"/>
        <v>0.1081</v>
      </c>
      <c r="K1531" s="351">
        <f t="shared" si="438"/>
        <v>45.194085000000001</v>
      </c>
      <c r="L1531" s="321"/>
      <c r="M1531" s="399"/>
    </row>
    <row r="1532" spans="2:13">
      <c r="B1532" s="335"/>
      <c r="C1532" s="320"/>
      <c r="D1532" s="299" t="s">
        <v>201</v>
      </c>
      <c r="E1532" s="349">
        <f>E1530-E1531</f>
        <v>5.2000000000000046E-2</v>
      </c>
      <c r="F1532" s="349">
        <f t="shared" ref="F1532:K1532" si="439">F1530-F1531</f>
        <v>0.26500000000000057</v>
      </c>
      <c r="G1532" s="349">
        <f t="shared" si="439"/>
        <v>0.24424000000000001</v>
      </c>
      <c r="H1532" s="349">
        <f t="shared" si="439"/>
        <v>0.31607300000000027</v>
      </c>
      <c r="I1532" s="350">
        <f t="shared" si="439"/>
        <v>6.0000000000001719E-4</v>
      </c>
      <c r="J1532" s="350">
        <f t="shared" si="439"/>
        <v>8.9999999999999802E-4</v>
      </c>
      <c r="K1532" s="349">
        <f t="shared" si="439"/>
        <v>2.465488999999998</v>
      </c>
      <c r="L1532" s="321"/>
      <c r="M1532" s="399"/>
    </row>
    <row r="1533" spans="2:13" ht="17.25" thickBot="1">
      <c r="B1533" s="336"/>
      <c r="C1533" s="323"/>
      <c r="D1533" s="293" t="s">
        <v>202</v>
      </c>
      <c r="E1533" s="352">
        <f>STDEVA(E1498:E1502,E1504:E1508,E1510:E1514,E1516:E1520,E1522:E1526)</f>
        <v>1.0052860289489754E-2</v>
      </c>
      <c r="F1533" s="352">
        <f t="shared" ref="F1533:K1533" si="440">STDEVA(F1498:F1502,F1504:F1508,F1510:F1514,F1516:F1520,F1522:F1526)</f>
        <v>7.6245043554756281E-2</v>
      </c>
      <c r="G1533" s="352">
        <f t="shared" si="440"/>
        <v>6.2960323041896846E-2</v>
      </c>
      <c r="H1533" s="352">
        <f t="shared" si="440"/>
        <v>9.2479227669875569E-2</v>
      </c>
      <c r="I1533" s="353">
        <f t="shared" si="440"/>
        <v>1.4999999999999779E-4</v>
      </c>
      <c r="J1533" s="353">
        <f t="shared" si="440"/>
        <v>2.59293913027924E-4</v>
      </c>
      <c r="K1533" s="352">
        <f t="shared" si="440"/>
        <v>0.7216316086786132</v>
      </c>
      <c r="L1533" s="324"/>
      <c r="M1533" s="399"/>
    </row>
    <row r="1535" spans="2:13">
      <c r="B1535" s="240" t="s">
        <v>510</v>
      </c>
      <c r="C1535" s="240"/>
      <c r="E1535" s="240"/>
      <c r="F1535" s="240"/>
      <c r="G1535" s="240"/>
      <c r="H1535" s="240"/>
      <c r="I1535" s="240"/>
      <c r="J1535" s="240"/>
      <c r="K1535" s="240"/>
    </row>
    <row r="1536" spans="2:13" ht="17.25" thickBot="1">
      <c r="B1536" s="240" t="s">
        <v>469</v>
      </c>
      <c r="C1536" s="240"/>
      <c r="E1536" s="240"/>
      <c r="F1536" s="240"/>
      <c r="G1536" s="240"/>
      <c r="H1536" s="240"/>
      <c r="I1536" s="240"/>
      <c r="J1536" s="240"/>
      <c r="K1536" s="240"/>
    </row>
    <row r="1537" spans="2:13" ht="17.25" thickBot="1">
      <c r="B1537" s="313" t="s">
        <v>11</v>
      </c>
      <c r="C1537" s="250" t="s">
        <v>0</v>
      </c>
      <c r="D1537" s="250" t="s">
        <v>1</v>
      </c>
      <c r="E1537" s="250" t="s">
        <v>2</v>
      </c>
      <c r="F1537" s="250" t="s">
        <v>3</v>
      </c>
      <c r="G1537" s="250" t="s">
        <v>192</v>
      </c>
      <c r="H1537" s="250" t="s">
        <v>16</v>
      </c>
      <c r="I1537" s="250" t="s">
        <v>6</v>
      </c>
      <c r="J1537" s="251" t="s">
        <v>7</v>
      </c>
      <c r="K1537" s="252" t="s">
        <v>8</v>
      </c>
      <c r="L1537" s="254" t="s">
        <v>470</v>
      </c>
      <c r="M1537" s="404"/>
    </row>
    <row r="1538" spans="2:13">
      <c r="B1538" s="314">
        <v>1</v>
      </c>
      <c r="C1538" s="271" t="s">
        <v>365</v>
      </c>
      <c r="D1538" s="291" t="s">
        <v>213</v>
      </c>
      <c r="E1538" s="302">
        <v>3.9119999999999999</v>
      </c>
      <c r="F1538" s="302">
        <v>5.1829999999999998</v>
      </c>
      <c r="G1538" s="302">
        <v>4.1622859999999999</v>
      </c>
      <c r="H1538" s="364">
        <v>6.1477130000000004</v>
      </c>
      <c r="I1538" s="287">
        <v>0.13769999999999999</v>
      </c>
      <c r="J1538" s="287">
        <v>0.106</v>
      </c>
      <c r="K1538" s="286">
        <v>48.896225999999999</v>
      </c>
      <c r="L1538" s="275"/>
      <c r="M1538" s="397"/>
    </row>
    <row r="1539" spans="2:13">
      <c r="B1539" s="315">
        <v>2</v>
      </c>
      <c r="C1539" s="316"/>
      <c r="D1539" s="299" t="s">
        <v>214</v>
      </c>
      <c r="E1539" s="304">
        <v>3.9209999999999998</v>
      </c>
      <c r="F1539" s="304">
        <v>5.1849999999999996</v>
      </c>
      <c r="G1539" s="304">
        <v>4.1543340000000004</v>
      </c>
      <c r="H1539" s="370">
        <v>6.1456670000000004</v>
      </c>
      <c r="I1539" s="301">
        <v>0.13769999999999999</v>
      </c>
      <c r="J1539" s="301">
        <v>0.10630000000000001</v>
      </c>
      <c r="K1539" s="300">
        <v>48.777045999999999</v>
      </c>
      <c r="L1539" s="319"/>
      <c r="M1539" s="398"/>
    </row>
    <row r="1540" spans="2:13">
      <c r="B1540" s="315">
        <v>3</v>
      </c>
      <c r="C1540" s="320"/>
      <c r="D1540" s="299" t="s">
        <v>217</v>
      </c>
      <c r="E1540" s="304">
        <v>3.9249999999999998</v>
      </c>
      <c r="F1540" s="304">
        <v>5.1829999999999998</v>
      </c>
      <c r="G1540" s="304">
        <v>4.1485000000000003</v>
      </c>
      <c r="H1540" s="370">
        <v>6.1462310000000002</v>
      </c>
      <c r="I1540" s="301">
        <v>0.1376</v>
      </c>
      <c r="J1540" s="301">
        <v>0.10639999999999999</v>
      </c>
      <c r="K1540" s="300">
        <v>48.712406000000001</v>
      </c>
      <c r="L1540" s="356"/>
      <c r="M1540" s="400"/>
    </row>
    <row r="1541" spans="2:13">
      <c r="B1541" s="315">
        <v>4</v>
      </c>
      <c r="C1541" s="320"/>
      <c r="D1541" s="299" t="s">
        <v>218</v>
      </c>
      <c r="E1541" s="304">
        <v>3.9260000000000002</v>
      </c>
      <c r="F1541" s="304">
        <v>5.18</v>
      </c>
      <c r="G1541" s="304">
        <v>4.1450420000000001</v>
      </c>
      <c r="H1541" s="370">
        <v>6.1507589999999999</v>
      </c>
      <c r="I1541" s="301">
        <v>0.1376</v>
      </c>
      <c r="J1541" s="301">
        <v>0.10639999999999999</v>
      </c>
      <c r="K1541" s="300">
        <v>48.684210999999998</v>
      </c>
      <c r="L1541" s="356"/>
      <c r="M1541" s="400"/>
    </row>
    <row r="1542" spans="2:13" ht="17.25" thickBot="1">
      <c r="B1542" s="322">
        <v>5</v>
      </c>
      <c r="C1542" s="323"/>
      <c r="D1542" s="293" t="s">
        <v>240</v>
      </c>
      <c r="E1542" s="371">
        <v>3.923</v>
      </c>
      <c r="F1542" s="371">
        <v>5.1749999999999998</v>
      </c>
      <c r="G1542" s="371">
        <v>4.1442079999999999</v>
      </c>
      <c r="H1542" s="372">
        <v>6.1408649999999998</v>
      </c>
      <c r="I1542" s="289">
        <v>0.13769999999999999</v>
      </c>
      <c r="J1542" s="289">
        <v>0.10630000000000001</v>
      </c>
      <c r="K1542" s="288">
        <v>48.682972999999997</v>
      </c>
      <c r="L1542" s="324"/>
      <c r="M1542" s="399"/>
    </row>
    <row r="1543" spans="2:13" ht="17.25" thickBot="1">
      <c r="B1543" s="325"/>
      <c r="C1543" s="326"/>
      <c r="D1543" s="327" t="s">
        <v>463</v>
      </c>
      <c r="E1543" s="328">
        <f>AVERAGE(E1538:E1542)</f>
        <v>3.9213999999999998</v>
      </c>
      <c r="F1543" s="328">
        <f t="shared" ref="F1543:K1543" si="441">AVERAGE(F1538:F1542)</f>
        <v>5.1811999999999996</v>
      </c>
      <c r="G1543" s="328">
        <f t="shared" si="441"/>
        <v>4.150874</v>
      </c>
      <c r="H1543" s="373">
        <f t="shared" si="441"/>
        <v>6.1462469999999998</v>
      </c>
      <c r="I1543" s="329">
        <f t="shared" si="441"/>
        <v>0.13765999999999998</v>
      </c>
      <c r="J1543" s="329">
        <f t="shared" si="441"/>
        <v>0.10628</v>
      </c>
      <c r="K1543" s="330">
        <f t="shared" si="441"/>
        <v>48.750572399999996</v>
      </c>
      <c r="L1543" s="331"/>
      <c r="M1543" s="399"/>
    </row>
    <row r="1544" spans="2:13">
      <c r="B1544" s="314">
        <v>6</v>
      </c>
      <c r="C1544" s="271" t="s">
        <v>382</v>
      </c>
      <c r="D1544" s="291" t="s">
        <v>241</v>
      </c>
      <c r="E1544" s="378">
        <v>3.923</v>
      </c>
      <c r="F1544" s="378">
        <v>5.1509999999999998</v>
      </c>
      <c r="G1544" s="378">
        <v>4.1249890000000002</v>
      </c>
      <c r="H1544" s="380">
        <v>6.1229500000000003</v>
      </c>
      <c r="I1544" s="381">
        <v>0.13780000000000001</v>
      </c>
      <c r="J1544" s="381">
        <v>0.10589999999999999</v>
      </c>
      <c r="K1544" s="379">
        <v>48.640227000000003</v>
      </c>
      <c r="L1544" s="332"/>
      <c r="M1544" s="399"/>
    </row>
    <row r="1545" spans="2:13">
      <c r="B1545" s="315">
        <v>7</v>
      </c>
      <c r="C1545" s="320"/>
      <c r="D1545" s="299" t="s">
        <v>242</v>
      </c>
      <c r="E1545" s="304">
        <v>3.927</v>
      </c>
      <c r="F1545" s="304">
        <v>5.1529999999999996</v>
      </c>
      <c r="G1545" s="304">
        <v>4.1223869999999998</v>
      </c>
      <c r="H1545" s="370">
        <v>6.1171139999999999</v>
      </c>
      <c r="I1545" s="301">
        <v>0.13780000000000001</v>
      </c>
      <c r="J1545" s="301">
        <v>0.1062</v>
      </c>
      <c r="K1545" s="300">
        <v>48.521656999999998</v>
      </c>
      <c r="L1545" s="321"/>
      <c r="M1545" s="399"/>
    </row>
    <row r="1546" spans="2:13">
      <c r="B1546" s="315">
        <v>8</v>
      </c>
      <c r="C1546" s="320"/>
      <c r="D1546" s="299" t="s">
        <v>222</v>
      </c>
      <c r="E1546" s="304">
        <v>3.9279999999999999</v>
      </c>
      <c r="F1546" s="304">
        <v>5.149</v>
      </c>
      <c r="G1546" s="304">
        <v>4.1181380000000001</v>
      </c>
      <c r="H1546" s="370">
        <v>6.1049290000000003</v>
      </c>
      <c r="I1546" s="301">
        <v>0.13780000000000001</v>
      </c>
      <c r="J1546" s="301">
        <v>0.10630000000000001</v>
      </c>
      <c r="K1546" s="300">
        <v>48.438381999999997</v>
      </c>
      <c r="L1546" s="321"/>
      <c r="M1546" s="399"/>
    </row>
    <row r="1547" spans="2:13">
      <c r="B1547" s="315">
        <v>9</v>
      </c>
      <c r="C1547" s="320"/>
      <c r="D1547" s="299" t="s">
        <v>223</v>
      </c>
      <c r="E1547" s="304">
        <v>3.927</v>
      </c>
      <c r="F1547" s="304">
        <v>5.1340000000000003</v>
      </c>
      <c r="G1547" s="304">
        <v>4.1071869999999997</v>
      </c>
      <c r="H1547" s="370">
        <v>6.0897810000000003</v>
      </c>
      <c r="I1547" s="301">
        <v>0.1376</v>
      </c>
      <c r="J1547" s="301">
        <v>0.1062</v>
      </c>
      <c r="K1547" s="300">
        <v>48.342750000000002</v>
      </c>
      <c r="L1547" s="321"/>
      <c r="M1547" s="399"/>
    </row>
    <row r="1548" spans="2:13" ht="17.25" thickBot="1">
      <c r="B1548" s="322">
        <v>10</v>
      </c>
      <c r="C1548" s="323"/>
      <c r="D1548" s="293" t="s">
        <v>243</v>
      </c>
      <c r="E1548" s="371">
        <v>3.9239999999999999</v>
      </c>
      <c r="F1548" s="371">
        <v>5.1280000000000001</v>
      </c>
      <c r="G1548" s="371">
        <v>4.1055229999999998</v>
      </c>
      <c r="H1548" s="372">
        <v>6.0857720000000004</v>
      </c>
      <c r="I1548" s="289">
        <v>0.13780000000000001</v>
      </c>
      <c r="J1548" s="289">
        <v>0.1062</v>
      </c>
      <c r="K1548" s="288">
        <v>48.286251999999998</v>
      </c>
      <c r="L1548" s="324"/>
      <c r="M1548" s="399"/>
    </row>
    <row r="1549" spans="2:13" ht="17.25" thickBot="1">
      <c r="B1549" s="325" t="s">
        <v>464</v>
      </c>
      <c r="C1549" s="326"/>
      <c r="D1549" s="327" t="s">
        <v>463</v>
      </c>
      <c r="E1549" s="328">
        <f t="shared" ref="E1549:K1549" si="442">AVERAGE(E1544:E1548)</f>
        <v>3.9257999999999997</v>
      </c>
      <c r="F1549" s="328">
        <f t="shared" si="442"/>
        <v>5.1429999999999998</v>
      </c>
      <c r="G1549" s="328">
        <f t="shared" si="442"/>
        <v>4.1156448000000001</v>
      </c>
      <c r="H1549" s="373">
        <f t="shared" si="442"/>
        <v>6.1041092000000008</v>
      </c>
      <c r="I1549" s="329">
        <f t="shared" si="442"/>
        <v>0.13775999999999999</v>
      </c>
      <c r="J1549" s="329">
        <f t="shared" si="442"/>
        <v>0.10616</v>
      </c>
      <c r="K1549" s="330">
        <f t="shared" si="442"/>
        <v>48.4458536</v>
      </c>
      <c r="L1549" s="331"/>
      <c r="M1549" s="399"/>
    </row>
    <row r="1550" spans="2:13">
      <c r="B1550" s="333">
        <v>11</v>
      </c>
      <c r="C1550" s="271" t="s">
        <v>365</v>
      </c>
      <c r="D1550" s="291" t="s">
        <v>244</v>
      </c>
      <c r="E1550" s="302">
        <v>3.9119999999999999</v>
      </c>
      <c r="F1550" s="302">
        <v>5.0490000000000004</v>
      </c>
      <c r="G1550" s="302">
        <v>4.0546749999999996</v>
      </c>
      <c r="H1550" s="302">
        <v>5.9703179999999998</v>
      </c>
      <c r="I1550" s="287">
        <v>0.13789999999999999</v>
      </c>
      <c r="J1550" s="287">
        <v>0.10639999999999999</v>
      </c>
      <c r="K1550" s="286">
        <v>47.453007999999997</v>
      </c>
      <c r="L1550" s="332"/>
      <c r="M1550" s="399"/>
    </row>
    <row r="1551" spans="2:13">
      <c r="B1551" s="335">
        <v>12</v>
      </c>
      <c r="C1551" s="316"/>
      <c r="D1551" s="299" t="s">
        <v>245</v>
      </c>
      <c r="E1551" s="304">
        <v>3.9180000000000001</v>
      </c>
      <c r="F1551" s="304">
        <v>5.048</v>
      </c>
      <c r="G1551" s="304">
        <v>4.0476640000000002</v>
      </c>
      <c r="H1551" s="304">
        <v>5.979832</v>
      </c>
      <c r="I1551" s="301">
        <v>0.13769999999999999</v>
      </c>
      <c r="J1551" s="301">
        <v>0.1067</v>
      </c>
      <c r="K1551" s="300">
        <v>47.310215999999997</v>
      </c>
      <c r="L1551" s="321"/>
      <c r="M1551" s="399"/>
    </row>
    <row r="1552" spans="2:13">
      <c r="B1552" s="335">
        <v>13</v>
      </c>
      <c r="C1552" s="320"/>
      <c r="D1552" s="299" t="s">
        <v>227</v>
      </c>
      <c r="E1552" s="304">
        <v>3.92</v>
      </c>
      <c r="F1552" s="304">
        <v>5.0350000000000001</v>
      </c>
      <c r="G1552" s="304">
        <v>4.0351800000000004</v>
      </c>
      <c r="H1552" s="304">
        <v>5.9576289999999998</v>
      </c>
      <c r="I1552" s="301">
        <v>0.13780000000000001</v>
      </c>
      <c r="J1552" s="301">
        <v>0.10680000000000001</v>
      </c>
      <c r="K1552" s="300">
        <v>47.144195000000003</v>
      </c>
      <c r="L1552" s="321"/>
      <c r="M1552" s="399"/>
    </row>
    <row r="1553" spans="2:13">
      <c r="B1553" s="335">
        <v>14</v>
      </c>
      <c r="C1553" s="320"/>
      <c r="D1553" s="299" t="s">
        <v>228</v>
      </c>
      <c r="E1553" s="304">
        <v>3.9180000000000001</v>
      </c>
      <c r="F1553" s="304">
        <v>5.03</v>
      </c>
      <c r="G1553" s="304">
        <v>4.0332309999999998</v>
      </c>
      <c r="H1553" s="304">
        <v>5.9470910000000003</v>
      </c>
      <c r="I1553" s="301">
        <v>0.13769999999999999</v>
      </c>
      <c r="J1553" s="301">
        <v>0.10680000000000001</v>
      </c>
      <c r="K1553" s="300">
        <v>47.097377999999999</v>
      </c>
      <c r="L1553" s="321"/>
      <c r="M1553" s="399"/>
    </row>
    <row r="1554" spans="2:13" ht="17.25" thickBot="1">
      <c r="B1554" s="336">
        <v>15</v>
      </c>
      <c r="C1554" s="323"/>
      <c r="D1554" s="293" t="s">
        <v>246</v>
      </c>
      <c r="E1554" s="371">
        <v>3.9140000000000001</v>
      </c>
      <c r="F1554" s="371">
        <v>5.016</v>
      </c>
      <c r="G1554" s="371">
        <v>4.0261149999999999</v>
      </c>
      <c r="H1554" s="371">
        <v>5.940048</v>
      </c>
      <c r="I1554" s="289">
        <v>0.13780000000000001</v>
      </c>
      <c r="J1554" s="289">
        <v>0.1067</v>
      </c>
      <c r="K1554" s="288">
        <v>47.010308999999999</v>
      </c>
      <c r="L1554" s="324"/>
      <c r="M1554" s="399"/>
    </row>
    <row r="1555" spans="2:13" ht="17.25" thickBot="1">
      <c r="B1555" s="337"/>
      <c r="C1555" s="326"/>
      <c r="D1555" s="327" t="s">
        <v>463</v>
      </c>
      <c r="E1555" s="328">
        <f>AVERAGE(E1550:E1554)</f>
        <v>3.9164000000000003</v>
      </c>
      <c r="F1555" s="328">
        <f t="shared" ref="F1555:K1555" si="443">AVERAGE(F1550:F1554)</f>
        <v>5.0356000000000005</v>
      </c>
      <c r="G1555" s="328">
        <f t="shared" si="443"/>
        <v>4.0393730000000003</v>
      </c>
      <c r="H1555" s="328">
        <f t="shared" si="443"/>
        <v>5.9589836000000007</v>
      </c>
      <c r="I1555" s="329">
        <f t="shared" si="443"/>
        <v>0.13777999999999999</v>
      </c>
      <c r="J1555" s="329">
        <f t="shared" si="443"/>
        <v>0.10668</v>
      </c>
      <c r="K1555" s="330">
        <f t="shared" si="443"/>
        <v>47.203021200000002</v>
      </c>
      <c r="L1555" s="331"/>
      <c r="M1555" s="399"/>
    </row>
    <row r="1556" spans="2:13">
      <c r="B1556" s="333">
        <v>16</v>
      </c>
      <c r="C1556" s="271" t="s">
        <v>382</v>
      </c>
      <c r="D1556" s="291" t="s">
        <v>247</v>
      </c>
      <c r="E1556" s="302">
        <v>3.9129999999999998</v>
      </c>
      <c r="F1556" s="302">
        <v>5.0540000000000003</v>
      </c>
      <c r="G1556" s="302">
        <v>4.0576530000000002</v>
      </c>
      <c r="H1556" s="302">
        <v>6.0077069999999999</v>
      </c>
      <c r="I1556" s="287">
        <v>0.13789999999999999</v>
      </c>
      <c r="J1556" s="287">
        <v>0.106</v>
      </c>
      <c r="K1556" s="286">
        <v>47.679245000000002</v>
      </c>
      <c r="L1556" s="359"/>
      <c r="M1556" s="401"/>
    </row>
    <row r="1557" spans="2:13">
      <c r="B1557" s="335">
        <v>17</v>
      </c>
      <c r="C1557" s="320"/>
      <c r="D1557" s="299" t="s">
        <v>248</v>
      </c>
      <c r="E1557" s="304">
        <v>3.9180000000000001</v>
      </c>
      <c r="F1557" s="304">
        <v>5.0549999999999997</v>
      </c>
      <c r="G1557" s="304">
        <v>4.0532769999999996</v>
      </c>
      <c r="H1557" s="304">
        <v>6.0012119999999998</v>
      </c>
      <c r="I1557" s="301">
        <v>0.13780000000000001</v>
      </c>
      <c r="J1557" s="301">
        <v>0.1062</v>
      </c>
      <c r="K1557" s="300">
        <v>47.598869999999998</v>
      </c>
      <c r="L1557" s="321"/>
      <c r="M1557" s="399"/>
    </row>
    <row r="1558" spans="2:13">
      <c r="B1558" s="335">
        <v>18</v>
      </c>
      <c r="C1558" s="320"/>
      <c r="D1558" s="299" t="s">
        <v>232</v>
      </c>
      <c r="E1558" s="304">
        <v>3.9209999999999998</v>
      </c>
      <c r="F1558" s="304">
        <v>5.0540000000000003</v>
      </c>
      <c r="G1558" s="304">
        <v>4.0493740000000003</v>
      </c>
      <c r="H1558" s="304">
        <v>6.0033839999999996</v>
      </c>
      <c r="I1558" s="301">
        <v>0.13789999999999999</v>
      </c>
      <c r="J1558" s="301">
        <v>0.10639999999999999</v>
      </c>
      <c r="K1558" s="300">
        <v>47.5</v>
      </c>
      <c r="L1558" s="321"/>
      <c r="M1558" s="399"/>
    </row>
    <row r="1559" spans="2:13">
      <c r="B1559" s="335">
        <v>19</v>
      </c>
      <c r="C1559" s="320"/>
      <c r="D1559" s="299" t="s">
        <v>233</v>
      </c>
      <c r="E1559" s="304">
        <v>3.92</v>
      </c>
      <c r="F1559" s="304">
        <v>5.0460000000000003</v>
      </c>
      <c r="G1559" s="304">
        <v>4.0439959999999999</v>
      </c>
      <c r="H1559" s="304">
        <v>5.9761129999999998</v>
      </c>
      <c r="I1559" s="301">
        <v>0.13780000000000001</v>
      </c>
      <c r="J1559" s="301">
        <v>0.10639999999999999</v>
      </c>
      <c r="K1559" s="300">
        <v>47.424812000000003</v>
      </c>
      <c r="L1559" s="321"/>
      <c r="M1559" s="399"/>
    </row>
    <row r="1560" spans="2:13" ht="17.25" thickBot="1">
      <c r="B1560" s="336">
        <v>20</v>
      </c>
      <c r="C1560" s="323"/>
      <c r="D1560" s="293" t="s">
        <v>249</v>
      </c>
      <c r="E1560" s="371">
        <v>3.9169999999999998</v>
      </c>
      <c r="F1560" s="371">
        <v>5.0410000000000004</v>
      </c>
      <c r="G1560" s="371">
        <v>4.0430830000000002</v>
      </c>
      <c r="H1560" s="371">
        <v>5.9722629999999999</v>
      </c>
      <c r="I1560" s="289">
        <v>0.13780000000000001</v>
      </c>
      <c r="J1560" s="289">
        <v>0.10639999999999999</v>
      </c>
      <c r="K1560" s="288">
        <v>47.37782</v>
      </c>
      <c r="L1560" s="324"/>
      <c r="M1560" s="399"/>
    </row>
    <row r="1561" spans="2:13" ht="17.25" thickBot="1">
      <c r="B1561" s="337"/>
      <c r="C1561" s="326"/>
      <c r="D1561" s="327" t="s">
        <v>463</v>
      </c>
      <c r="E1561" s="328">
        <f>AVERAGE(E1556:E1560)</f>
        <v>3.9177999999999997</v>
      </c>
      <c r="F1561" s="328">
        <f t="shared" ref="F1561:K1561" si="444">AVERAGE(F1556:F1560)</f>
        <v>5.05</v>
      </c>
      <c r="G1561" s="328">
        <f t="shared" si="444"/>
        <v>4.0494766000000002</v>
      </c>
      <c r="H1561" s="328">
        <f t="shared" si="444"/>
        <v>5.9921357999999998</v>
      </c>
      <c r="I1561" s="329">
        <f t="shared" si="444"/>
        <v>0.13784000000000002</v>
      </c>
      <c r="J1561" s="329">
        <f t="shared" si="444"/>
        <v>0.10628</v>
      </c>
      <c r="K1561" s="328">
        <f t="shared" si="444"/>
        <v>47.516149400000003</v>
      </c>
      <c r="L1561" s="331"/>
      <c r="M1561" s="399"/>
    </row>
    <row r="1562" spans="2:13">
      <c r="B1562" s="333">
        <v>21</v>
      </c>
      <c r="C1562" s="271" t="s">
        <v>382</v>
      </c>
      <c r="D1562" s="291" t="s">
        <v>250</v>
      </c>
      <c r="E1562" s="302">
        <v>3.8969999999999998</v>
      </c>
      <c r="F1562" s="302">
        <v>4.92</v>
      </c>
      <c r="G1562" s="302">
        <v>3.966288</v>
      </c>
      <c r="H1562" s="302">
        <v>5.8326159999999998</v>
      </c>
      <c r="I1562" s="287">
        <v>0.1381</v>
      </c>
      <c r="J1562" s="287">
        <v>0.1061</v>
      </c>
      <c r="K1562" s="286">
        <v>46.371347999999998</v>
      </c>
      <c r="L1562" s="332"/>
      <c r="M1562" s="399"/>
    </row>
    <row r="1563" spans="2:13">
      <c r="B1563" s="335">
        <v>22</v>
      </c>
      <c r="C1563" s="320"/>
      <c r="D1563" s="299" t="s">
        <v>251</v>
      </c>
      <c r="E1563" s="304">
        <v>3.9020000000000001</v>
      </c>
      <c r="F1563" s="304">
        <v>4.9359999999999999</v>
      </c>
      <c r="G1563" s="304">
        <v>3.9740869999999999</v>
      </c>
      <c r="H1563" s="304">
        <v>5.858663</v>
      </c>
      <c r="I1563" s="301">
        <v>0.1381</v>
      </c>
      <c r="J1563" s="301">
        <v>0.10630000000000001</v>
      </c>
      <c r="K1563" s="300">
        <v>46.434618999999998</v>
      </c>
      <c r="L1563" s="321"/>
      <c r="M1563" s="399"/>
    </row>
    <row r="1564" spans="2:13">
      <c r="B1564" s="335">
        <v>23</v>
      </c>
      <c r="C1564" s="320"/>
      <c r="D1564" s="299" t="s">
        <v>237</v>
      </c>
      <c r="E1564" s="304">
        <v>3.9060000000000001</v>
      </c>
      <c r="F1564" s="304">
        <v>4.9269999999999996</v>
      </c>
      <c r="G1564" s="304">
        <v>3.9627789999999998</v>
      </c>
      <c r="H1564" s="304">
        <v>5.8325230000000001</v>
      </c>
      <c r="I1564" s="301">
        <v>0.13800000000000001</v>
      </c>
      <c r="J1564" s="301">
        <v>0.10639999999999999</v>
      </c>
      <c r="K1564" s="300">
        <v>46.306390999999998</v>
      </c>
      <c r="L1564" s="321"/>
      <c r="M1564" s="399"/>
    </row>
    <row r="1565" spans="2:13">
      <c r="B1565" s="335">
        <v>24</v>
      </c>
      <c r="C1565" s="320"/>
      <c r="D1565" s="299" t="s">
        <v>238</v>
      </c>
      <c r="E1565" s="304">
        <v>3.907</v>
      </c>
      <c r="F1565" s="304">
        <v>4.931</v>
      </c>
      <c r="G1565" s="304">
        <v>3.9649809999999999</v>
      </c>
      <c r="H1565" s="304">
        <v>5.8542899999999998</v>
      </c>
      <c r="I1565" s="301">
        <v>0.1381</v>
      </c>
      <c r="J1565" s="301">
        <v>0.10639999999999999</v>
      </c>
      <c r="K1565" s="300">
        <v>46.343985000000004</v>
      </c>
      <c r="L1565" s="321"/>
      <c r="M1565" s="399"/>
    </row>
    <row r="1566" spans="2:13" ht="17.25" thickBot="1">
      <c r="B1566" s="336">
        <v>25</v>
      </c>
      <c r="C1566" s="323"/>
      <c r="D1566" s="293" t="s">
        <v>252</v>
      </c>
      <c r="E1566" s="371">
        <v>3.9049999999999998</v>
      </c>
      <c r="F1566" s="371">
        <v>4.923</v>
      </c>
      <c r="G1566" s="371">
        <v>3.9605760000000001</v>
      </c>
      <c r="H1566" s="371">
        <v>5.8408600000000002</v>
      </c>
      <c r="I1566" s="289">
        <v>0.13800000000000001</v>
      </c>
      <c r="J1566" s="289">
        <v>0.10630000000000001</v>
      </c>
      <c r="K1566" s="288">
        <v>46.312323999999997</v>
      </c>
      <c r="L1566" s="324"/>
      <c r="M1566" s="399"/>
    </row>
    <row r="1567" spans="2:13" ht="17.25" thickBot="1">
      <c r="B1567" s="339" t="s">
        <v>464</v>
      </c>
      <c r="C1567" s="340"/>
      <c r="D1567" s="341" t="s">
        <v>465</v>
      </c>
      <c r="E1567" s="342">
        <f>AVERAGE(E1562:E1566)</f>
        <v>3.9034</v>
      </c>
      <c r="F1567" s="342">
        <f t="shared" ref="F1567:K1567" si="445">AVERAGE(F1562:F1566)</f>
        <v>4.9274000000000004</v>
      </c>
      <c r="G1567" s="342">
        <f t="shared" si="445"/>
        <v>3.9657421999999998</v>
      </c>
      <c r="H1567" s="342">
        <f t="shared" si="445"/>
        <v>5.8437903999999996</v>
      </c>
      <c r="I1567" s="343">
        <f t="shared" si="445"/>
        <v>0.13806000000000002</v>
      </c>
      <c r="J1567" s="343">
        <f t="shared" si="445"/>
        <v>0.10629999999999999</v>
      </c>
      <c r="K1567" s="342">
        <f t="shared" si="445"/>
        <v>46.353733399999996</v>
      </c>
      <c r="L1567" s="344"/>
      <c r="M1567" s="399"/>
    </row>
    <row r="1568" spans="2:13">
      <c r="B1568" s="333"/>
      <c r="C1568" s="345"/>
      <c r="D1568" s="291" t="s">
        <v>466</v>
      </c>
      <c r="E1568" s="346">
        <f>MEDIAN(E1538:E1542,E1544:E1548,E1550:E1554,E1556:E1560,E1562:E1566)</f>
        <v>3.9180000000000001</v>
      </c>
      <c r="F1568" s="346">
        <f t="shared" ref="F1568:K1568" si="446">MEDIAN(F1538:F1542,F1544:F1548,F1550:F1554,F1556:F1560,F1562:F1566)</f>
        <v>5.0540000000000003</v>
      </c>
      <c r="G1568" s="346">
        <f t="shared" si="446"/>
        <v>4.0532769999999996</v>
      </c>
      <c r="H1568" s="346">
        <f t="shared" si="446"/>
        <v>6.0012119999999998</v>
      </c>
      <c r="I1568" s="347">
        <f t="shared" si="446"/>
        <v>0.13780000000000001</v>
      </c>
      <c r="J1568" s="347">
        <f t="shared" si="446"/>
        <v>0.10630000000000001</v>
      </c>
      <c r="K1568" s="348">
        <f t="shared" si="446"/>
        <v>47.5</v>
      </c>
      <c r="L1568" s="332"/>
      <c r="M1568" s="399"/>
    </row>
    <row r="1569" spans="2:13">
      <c r="B1569" s="335"/>
      <c r="C1569" s="320"/>
      <c r="D1569" s="299" t="s">
        <v>467</v>
      </c>
      <c r="E1569" s="349">
        <f>AVERAGE(E1538:E1542,E1544:E1548,E1550:E1554,E1556:E1560,E1562:E1566)</f>
        <v>3.9169600000000009</v>
      </c>
      <c r="F1569" s="349">
        <f t="shared" ref="F1569:K1569" si="447">AVERAGE(F1538:F1542,F1544:F1548,F1550:F1554,F1556:F1560,F1562:F1566)</f>
        <v>5.0674400000000013</v>
      </c>
      <c r="G1569" s="349">
        <f t="shared" si="447"/>
        <v>4.0642221199999984</v>
      </c>
      <c r="H1569" s="349">
        <f t="shared" si="447"/>
        <v>6.0090531999999994</v>
      </c>
      <c r="I1569" s="350">
        <f t="shared" si="447"/>
        <v>0.13781999999999997</v>
      </c>
      <c r="J1569" s="350">
        <f t="shared" si="447"/>
        <v>0.10633999999999999</v>
      </c>
      <c r="K1569" s="351">
        <f t="shared" si="447"/>
        <v>47.653866000000001</v>
      </c>
      <c r="L1569" s="321"/>
      <c r="M1569" s="399"/>
    </row>
    <row r="1570" spans="2:13">
      <c r="B1570" s="335"/>
      <c r="C1570" s="320"/>
      <c r="D1570" s="299" t="s">
        <v>199</v>
      </c>
      <c r="E1570" s="349">
        <f>MAX(E1538:E1542,E1544:E1548,E1550:E1554,E1556:E1560,E1562:E1566)</f>
        <v>3.9279999999999999</v>
      </c>
      <c r="F1570" s="349">
        <f t="shared" ref="F1570:K1570" si="448">MAX(F1538:F1542,F1544:F1548,F1550:F1554,F1556:F1560,F1562:F1566)</f>
        <v>5.1849999999999996</v>
      </c>
      <c r="G1570" s="349">
        <f t="shared" si="448"/>
        <v>4.1622859999999999</v>
      </c>
      <c r="H1570" s="349">
        <f t="shared" si="448"/>
        <v>6.1507589999999999</v>
      </c>
      <c r="I1570" s="350">
        <f t="shared" si="448"/>
        <v>0.1381</v>
      </c>
      <c r="J1570" s="350">
        <f t="shared" si="448"/>
        <v>0.10680000000000001</v>
      </c>
      <c r="K1570" s="351">
        <f t="shared" si="448"/>
        <v>48.896225999999999</v>
      </c>
      <c r="L1570" s="321"/>
      <c r="M1570" s="399"/>
    </row>
    <row r="1571" spans="2:13">
      <c r="B1571" s="335"/>
      <c r="C1571" s="320"/>
      <c r="D1571" s="299" t="s">
        <v>200</v>
      </c>
      <c r="E1571" s="349">
        <f>MIN(E1538:E1542,E1544:E1548,E1550:E1554,E1556:E1560,E1562:E1566)</f>
        <v>3.8969999999999998</v>
      </c>
      <c r="F1571" s="349">
        <f t="shared" ref="F1571:K1571" si="449">MIN(F1538:F1542,F1544:F1548,F1550:F1554,F1556:F1560,F1562:F1566)</f>
        <v>4.92</v>
      </c>
      <c r="G1571" s="349">
        <f t="shared" si="449"/>
        <v>3.9605760000000001</v>
      </c>
      <c r="H1571" s="349">
        <f t="shared" si="449"/>
        <v>5.8325230000000001</v>
      </c>
      <c r="I1571" s="350">
        <f t="shared" si="449"/>
        <v>0.1376</v>
      </c>
      <c r="J1571" s="350">
        <f t="shared" si="449"/>
        <v>0.10589999999999999</v>
      </c>
      <c r="K1571" s="351">
        <f t="shared" si="449"/>
        <v>46.306390999999998</v>
      </c>
      <c r="L1571" s="321"/>
      <c r="M1571" s="399"/>
    </row>
    <row r="1572" spans="2:13">
      <c r="B1572" s="335"/>
      <c r="C1572" s="320"/>
      <c r="D1572" s="299" t="s">
        <v>201</v>
      </c>
      <c r="E1572" s="349">
        <f>E1570-E1571</f>
        <v>3.1000000000000139E-2</v>
      </c>
      <c r="F1572" s="349">
        <f t="shared" ref="F1572:K1572" si="450">F1570-F1571</f>
        <v>0.26499999999999968</v>
      </c>
      <c r="G1572" s="349">
        <f t="shared" si="450"/>
        <v>0.20170999999999983</v>
      </c>
      <c r="H1572" s="349">
        <f t="shared" si="450"/>
        <v>0.31823599999999974</v>
      </c>
      <c r="I1572" s="350">
        <f t="shared" si="450"/>
        <v>5.0000000000000044E-4</v>
      </c>
      <c r="J1572" s="350">
        <f t="shared" si="450"/>
        <v>9.000000000000119E-4</v>
      </c>
      <c r="K1572" s="349">
        <f t="shared" si="450"/>
        <v>2.5898350000000008</v>
      </c>
      <c r="L1572" s="321"/>
      <c r="M1572" s="399"/>
    </row>
    <row r="1573" spans="2:13" ht="17.25" thickBot="1">
      <c r="B1573" s="336"/>
      <c r="C1573" s="323"/>
      <c r="D1573" s="293" t="s">
        <v>202</v>
      </c>
      <c r="E1573" s="352">
        <f>STDEVA(E1538:E1542,E1544:E1548,E1550:E1554,E1556:E1560,E1562:E1566)</f>
        <v>8.4285230022822025E-3</v>
      </c>
      <c r="F1573" s="352">
        <f t="shared" ref="F1573:K1573" si="451">STDEVA(F1538:F1542,F1544:F1548,F1550:F1554,F1556:F1560,F1562:F1566)</f>
        <v>9.1179804050385269E-2</v>
      </c>
      <c r="G1573" s="352">
        <f t="shared" si="451"/>
        <v>6.6068669862197213E-2</v>
      </c>
      <c r="H1573" s="352">
        <f t="shared" si="451"/>
        <v>0.11062165977367792</v>
      </c>
      <c r="I1573" s="353">
        <f t="shared" si="451"/>
        <v>1.5000000000000243E-4</v>
      </c>
      <c r="J1573" s="353">
        <f t="shared" si="451"/>
        <v>2.3094010767585159E-4</v>
      </c>
      <c r="K1573" s="352">
        <f t="shared" si="451"/>
        <v>0.89028939587103739</v>
      </c>
      <c r="L1573" s="324"/>
      <c r="M1573" s="399"/>
    </row>
    <row r="1575" spans="2:13">
      <c r="B1575" s="240" t="s">
        <v>511</v>
      </c>
      <c r="C1575" s="240"/>
      <c r="E1575" s="240"/>
      <c r="F1575" s="240"/>
      <c r="G1575" s="240"/>
      <c r="H1575" s="240"/>
      <c r="I1575" s="240"/>
      <c r="J1575" s="240"/>
      <c r="K1575" s="240"/>
    </row>
    <row r="1576" spans="2:13" ht="17.25" thickBot="1">
      <c r="B1576" s="240" t="s">
        <v>469</v>
      </c>
      <c r="C1576" s="240"/>
      <c r="E1576" s="240"/>
      <c r="F1576" s="240"/>
      <c r="G1576" s="240"/>
      <c r="H1576" s="240"/>
      <c r="I1576" s="240"/>
      <c r="J1576" s="240"/>
      <c r="K1576" s="240"/>
    </row>
    <row r="1577" spans="2:13" ht="17.25" thickBot="1">
      <c r="B1577" s="313" t="s">
        <v>11</v>
      </c>
      <c r="C1577" s="250" t="s">
        <v>0</v>
      </c>
      <c r="D1577" s="250" t="s">
        <v>1</v>
      </c>
      <c r="E1577" s="250" t="s">
        <v>2</v>
      </c>
      <c r="F1577" s="250" t="s">
        <v>3</v>
      </c>
      <c r="G1577" s="250" t="s">
        <v>192</v>
      </c>
      <c r="H1577" s="250" t="s">
        <v>16</v>
      </c>
      <c r="I1577" s="250" t="s">
        <v>6</v>
      </c>
      <c r="J1577" s="251" t="s">
        <v>7</v>
      </c>
      <c r="K1577" s="252" t="s">
        <v>8</v>
      </c>
      <c r="L1577" s="254" t="s">
        <v>470</v>
      </c>
      <c r="M1577" s="404"/>
    </row>
    <row r="1578" spans="2:13">
      <c r="B1578" s="314">
        <v>1</v>
      </c>
      <c r="C1578" s="383" t="s">
        <v>512</v>
      </c>
      <c r="D1578" s="291" t="s">
        <v>213</v>
      </c>
      <c r="E1578" s="302">
        <v>4.1040000000000001</v>
      </c>
      <c r="F1578" s="302">
        <v>5.15</v>
      </c>
      <c r="G1578" s="302">
        <v>3.9422969999999999</v>
      </c>
      <c r="H1578" s="364">
        <v>5.9407880000000004</v>
      </c>
      <c r="I1578" s="287">
        <v>0.13750000000000001</v>
      </c>
      <c r="J1578" s="287">
        <v>0.1105</v>
      </c>
      <c r="K1578" s="286">
        <v>46.606335000000001</v>
      </c>
      <c r="L1578" s="275"/>
      <c r="M1578" s="397"/>
    </row>
    <row r="1579" spans="2:13">
      <c r="B1579" s="315">
        <v>2</v>
      </c>
      <c r="C1579" s="384"/>
      <c r="D1579" s="299" t="s">
        <v>214</v>
      </c>
      <c r="E1579" s="304">
        <v>4.1189999999999998</v>
      </c>
      <c r="F1579" s="304">
        <v>5.1390000000000002</v>
      </c>
      <c r="G1579" s="304">
        <v>3.9195509999999998</v>
      </c>
      <c r="H1579" s="370">
        <v>5.9289860000000001</v>
      </c>
      <c r="I1579" s="301">
        <v>0.13739999999999999</v>
      </c>
      <c r="J1579" s="301">
        <v>0.11070000000000001</v>
      </c>
      <c r="K1579" s="300">
        <v>46.422764000000001</v>
      </c>
      <c r="L1579" s="319"/>
      <c r="M1579" s="398"/>
    </row>
    <row r="1580" spans="2:13">
      <c r="B1580" s="315">
        <v>3</v>
      </c>
      <c r="C1580" s="385"/>
      <c r="D1580" s="299" t="s">
        <v>217</v>
      </c>
      <c r="E1580" s="304">
        <v>4.125</v>
      </c>
      <c r="F1580" s="304">
        <v>5.1369999999999996</v>
      </c>
      <c r="G1580" s="304">
        <v>3.9123269999999999</v>
      </c>
      <c r="H1580" s="370">
        <v>5.911905</v>
      </c>
      <c r="I1580" s="301">
        <v>0.13739999999999999</v>
      </c>
      <c r="J1580" s="301">
        <v>0.1108</v>
      </c>
      <c r="K1580" s="300">
        <v>46.362816000000002</v>
      </c>
      <c r="L1580" s="356"/>
      <c r="M1580" s="400"/>
    </row>
    <row r="1581" spans="2:13">
      <c r="B1581" s="315">
        <v>4</v>
      </c>
      <c r="C1581" s="385"/>
      <c r="D1581" s="299" t="s">
        <v>218</v>
      </c>
      <c r="E1581" s="304">
        <v>4.1230000000000002</v>
      </c>
      <c r="F1581" s="304">
        <v>5.1420000000000003</v>
      </c>
      <c r="G1581" s="304">
        <v>3.918034</v>
      </c>
      <c r="H1581" s="370">
        <v>5.9193360000000004</v>
      </c>
      <c r="I1581" s="301">
        <v>0.13730000000000001</v>
      </c>
      <c r="J1581" s="301">
        <v>0.11070000000000001</v>
      </c>
      <c r="K1581" s="300">
        <v>46.449863999999998</v>
      </c>
      <c r="L1581" s="356"/>
      <c r="M1581" s="400"/>
    </row>
    <row r="1582" spans="2:13" ht="17.25" thickBot="1">
      <c r="B1582" s="322">
        <v>5</v>
      </c>
      <c r="C1582" s="386"/>
      <c r="D1582" s="293" t="s">
        <v>240</v>
      </c>
      <c r="E1582" s="371">
        <v>4.1130000000000004</v>
      </c>
      <c r="F1582" s="371">
        <v>5.1470000000000002</v>
      </c>
      <c r="G1582" s="371">
        <v>3.9313790000000002</v>
      </c>
      <c r="H1582" s="372">
        <v>5.9335389999999997</v>
      </c>
      <c r="I1582" s="289">
        <v>0.13739999999999999</v>
      </c>
      <c r="J1582" s="289">
        <v>0.11070000000000001</v>
      </c>
      <c r="K1582" s="288">
        <v>46.495032000000002</v>
      </c>
      <c r="L1582" s="324"/>
      <c r="M1582" s="399"/>
    </row>
    <row r="1583" spans="2:13" ht="17.25" thickBot="1">
      <c r="B1583" s="325"/>
      <c r="C1583" s="387"/>
      <c r="D1583" s="327" t="s">
        <v>463</v>
      </c>
      <c r="E1583" s="328">
        <f>AVERAGE(E1578:E1582)</f>
        <v>4.1167999999999996</v>
      </c>
      <c r="F1583" s="328">
        <f t="shared" ref="F1583:K1583" si="452">AVERAGE(F1578:F1582)</f>
        <v>5.1430000000000007</v>
      </c>
      <c r="G1583" s="328">
        <f t="shared" si="452"/>
        <v>3.9247176000000001</v>
      </c>
      <c r="H1583" s="373">
        <f t="shared" si="452"/>
        <v>5.9269107999999999</v>
      </c>
      <c r="I1583" s="329">
        <f t="shared" si="452"/>
        <v>0.13739999999999999</v>
      </c>
      <c r="J1583" s="329">
        <f t="shared" si="452"/>
        <v>0.11068</v>
      </c>
      <c r="K1583" s="330">
        <f t="shared" si="452"/>
        <v>46.467362200000004</v>
      </c>
      <c r="L1583" s="331"/>
      <c r="M1583" s="399"/>
    </row>
    <row r="1584" spans="2:13">
      <c r="B1584" s="314">
        <v>6</v>
      </c>
      <c r="C1584" s="383" t="s">
        <v>512</v>
      </c>
      <c r="D1584" s="291" t="s">
        <v>241</v>
      </c>
      <c r="E1584" s="302">
        <v>4.1310000000000002</v>
      </c>
      <c r="F1584" s="302">
        <v>5.1669999999999998</v>
      </c>
      <c r="G1584" s="302">
        <v>3.929459</v>
      </c>
      <c r="H1584" s="364">
        <v>5.961176</v>
      </c>
      <c r="I1584" s="287">
        <v>0.13750000000000001</v>
      </c>
      <c r="J1584" s="287">
        <v>0.11070000000000001</v>
      </c>
      <c r="K1584" s="286">
        <v>46.675699999999999</v>
      </c>
      <c r="L1584" s="332"/>
      <c r="M1584" s="399"/>
    </row>
    <row r="1585" spans="2:13">
      <c r="B1585" s="315">
        <v>7</v>
      </c>
      <c r="C1585" s="385"/>
      <c r="D1585" s="299" t="s">
        <v>242</v>
      </c>
      <c r="E1585" s="304">
        <v>4.1379999999999999</v>
      </c>
      <c r="F1585" s="304">
        <v>5.1539999999999999</v>
      </c>
      <c r="G1585" s="304">
        <v>3.9129420000000001</v>
      </c>
      <c r="H1585" s="370">
        <v>5.923565</v>
      </c>
      <c r="I1585" s="301">
        <v>0.13739999999999999</v>
      </c>
      <c r="J1585" s="301">
        <v>0.1111</v>
      </c>
      <c r="K1585" s="300">
        <v>46.390639</v>
      </c>
      <c r="L1585" s="321"/>
      <c r="M1585" s="399"/>
    </row>
    <row r="1586" spans="2:13">
      <c r="B1586" s="315">
        <v>8</v>
      </c>
      <c r="C1586" s="385"/>
      <c r="D1586" s="299" t="s">
        <v>222</v>
      </c>
      <c r="E1586" s="304">
        <v>4.1420000000000003</v>
      </c>
      <c r="F1586" s="304">
        <v>5.1710000000000003</v>
      </c>
      <c r="G1586" s="304">
        <v>3.9220570000000001</v>
      </c>
      <c r="H1586" s="370">
        <v>5.9403199999999998</v>
      </c>
      <c r="I1586" s="301">
        <v>0.13739999999999999</v>
      </c>
      <c r="J1586" s="301">
        <v>0.11119999999999999</v>
      </c>
      <c r="K1586" s="300">
        <v>46.501798999999998</v>
      </c>
      <c r="L1586" s="321"/>
      <c r="M1586" s="399"/>
    </row>
    <row r="1587" spans="2:13">
      <c r="B1587" s="315">
        <v>9</v>
      </c>
      <c r="C1587" s="385"/>
      <c r="D1587" s="299" t="s">
        <v>223</v>
      </c>
      <c r="E1587" s="304">
        <v>4.1399999999999997</v>
      </c>
      <c r="F1587" s="304">
        <v>5.1449999999999996</v>
      </c>
      <c r="G1587" s="304">
        <v>3.9042219999999999</v>
      </c>
      <c r="H1587" s="370">
        <v>5.9229649999999996</v>
      </c>
      <c r="I1587" s="301">
        <v>0.13739999999999999</v>
      </c>
      <c r="J1587" s="301">
        <v>0.1111</v>
      </c>
      <c r="K1587" s="300">
        <v>46.309631000000003</v>
      </c>
      <c r="L1587" s="321"/>
      <c r="M1587" s="399"/>
    </row>
    <row r="1588" spans="2:13" ht="17.25" thickBot="1">
      <c r="B1588" s="322">
        <v>10</v>
      </c>
      <c r="C1588" s="386"/>
      <c r="D1588" s="293" t="s">
        <v>243</v>
      </c>
      <c r="E1588" s="371">
        <v>4.1230000000000002</v>
      </c>
      <c r="F1588" s="371">
        <v>5.1660000000000004</v>
      </c>
      <c r="G1588" s="371">
        <v>3.9363220000000001</v>
      </c>
      <c r="H1588" s="372">
        <v>5.9506439999999996</v>
      </c>
      <c r="I1588" s="289">
        <v>0.13739999999999999</v>
      </c>
      <c r="J1588" s="289">
        <v>0.1109</v>
      </c>
      <c r="K1588" s="288">
        <v>46.582507</v>
      </c>
      <c r="L1588" s="324"/>
      <c r="M1588" s="399"/>
    </row>
    <row r="1589" spans="2:13" ht="17.25" thickBot="1">
      <c r="B1589" s="325" t="s">
        <v>464</v>
      </c>
      <c r="C1589" s="387"/>
      <c r="D1589" s="327" t="s">
        <v>463</v>
      </c>
      <c r="E1589" s="328">
        <f t="shared" ref="E1589:K1589" si="453">AVERAGE(E1584:E1588)</f>
        <v>4.1348000000000003</v>
      </c>
      <c r="F1589" s="328">
        <f t="shared" si="453"/>
        <v>5.1606000000000005</v>
      </c>
      <c r="G1589" s="328">
        <f t="shared" si="453"/>
        <v>3.9210004000000005</v>
      </c>
      <c r="H1589" s="373">
        <f t="shared" si="453"/>
        <v>5.9397339999999996</v>
      </c>
      <c r="I1589" s="329">
        <f t="shared" si="453"/>
        <v>0.13741999999999999</v>
      </c>
      <c r="J1589" s="329">
        <f t="shared" si="453"/>
        <v>0.11099999999999999</v>
      </c>
      <c r="K1589" s="330">
        <f t="shared" si="453"/>
        <v>46.492055199999996</v>
      </c>
      <c r="L1589" s="331"/>
      <c r="M1589" s="399"/>
    </row>
    <row r="1590" spans="2:13">
      <c r="B1590" s="333">
        <v>11</v>
      </c>
      <c r="C1590" s="383" t="s">
        <v>512</v>
      </c>
      <c r="D1590" s="291" t="s">
        <v>244</v>
      </c>
      <c r="E1590" s="302">
        <v>4.1340000000000003</v>
      </c>
      <c r="F1590" s="302">
        <v>5.165</v>
      </c>
      <c r="G1590" s="302">
        <v>3.9250880000000001</v>
      </c>
      <c r="H1590" s="302">
        <v>5.9471970000000001</v>
      </c>
      <c r="I1590" s="287">
        <v>0.13739999999999999</v>
      </c>
      <c r="J1590" s="287">
        <v>0.1109</v>
      </c>
      <c r="K1590" s="286">
        <v>46.57349</v>
      </c>
      <c r="L1590" s="332"/>
      <c r="M1590" s="399"/>
    </row>
    <row r="1591" spans="2:13">
      <c r="B1591" s="335">
        <v>12</v>
      </c>
      <c r="C1591" s="384"/>
      <c r="D1591" s="299" t="s">
        <v>245</v>
      </c>
      <c r="E1591" s="304">
        <v>4.1470000000000002</v>
      </c>
      <c r="F1591" s="304">
        <v>5.14</v>
      </c>
      <c r="G1591" s="304">
        <v>3.8938440000000001</v>
      </c>
      <c r="H1591" s="304">
        <v>5.9068500000000004</v>
      </c>
      <c r="I1591" s="301">
        <v>0.13739999999999999</v>
      </c>
      <c r="J1591" s="301">
        <v>0.1111</v>
      </c>
      <c r="K1591" s="300">
        <v>46.264626</v>
      </c>
      <c r="L1591" s="321"/>
      <c r="M1591" s="399"/>
    </row>
    <row r="1592" spans="2:13">
      <c r="B1592" s="335">
        <v>13</v>
      </c>
      <c r="C1592" s="320"/>
      <c r="D1592" s="299" t="s">
        <v>227</v>
      </c>
      <c r="E1592" s="304">
        <v>4.1470000000000002</v>
      </c>
      <c r="F1592" s="304">
        <v>5.1710000000000003</v>
      </c>
      <c r="G1592" s="304">
        <v>3.9173290000000001</v>
      </c>
      <c r="H1592" s="304">
        <v>5.9435039999999999</v>
      </c>
      <c r="I1592" s="301">
        <v>0.13730000000000001</v>
      </c>
      <c r="J1592" s="301">
        <v>0.11119999999999999</v>
      </c>
      <c r="K1592" s="300">
        <v>46.501798999999998</v>
      </c>
      <c r="L1592" s="321"/>
      <c r="M1592" s="399"/>
    </row>
    <row r="1593" spans="2:13">
      <c r="B1593" s="335">
        <v>14</v>
      </c>
      <c r="C1593" s="320"/>
      <c r="D1593" s="299" t="s">
        <v>228</v>
      </c>
      <c r="E1593" s="304">
        <v>4.1440000000000001</v>
      </c>
      <c r="F1593" s="304">
        <v>5.1580000000000004</v>
      </c>
      <c r="G1593" s="304">
        <v>3.9103089999999998</v>
      </c>
      <c r="H1593" s="304">
        <v>5.9278820000000003</v>
      </c>
      <c r="I1593" s="301">
        <v>0.13730000000000001</v>
      </c>
      <c r="J1593" s="301">
        <v>0.1111</v>
      </c>
      <c r="K1593" s="300">
        <v>46.426642999999999</v>
      </c>
      <c r="L1593" s="321"/>
      <c r="M1593" s="399"/>
    </row>
    <row r="1594" spans="2:13" ht="17.25" thickBot="1">
      <c r="B1594" s="336">
        <v>15</v>
      </c>
      <c r="C1594" s="323"/>
      <c r="D1594" s="293" t="s">
        <v>246</v>
      </c>
      <c r="E1594" s="371">
        <v>4.1260000000000003</v>
      </c>
      <c r="F1594" s="371">
        <v>5.0819999999999999</v>
      </c>
      <c r="G1594" s="371">
        <v>3.8695010000000001</v>
      </c>
      <c r="H1594" s="371">
        <v>5.8435949999999997</v>
      </c>
      <c r="I1594" s="289">
        <v>0.13730000000000001</v>
      </c>
      <c r="J1594" s="289">
        <v>0.111</v>
      </c>
      <c r="K1594" s="288">
        <v>45.783783999999997</v>
      </c>
      <c r="L1594" s="324"/>
      <c r="M1594" s="399"/>
    </row>
    <row r="1595" spans="2:13" ht="17.25" thickBot="1">
      <c r="B1595" s="337"/>
      <c r="C1595" s="326"/>
      <c r="D1595" s="327" t="s">
        <v>463</v>
      </c>
      <c r="E1595" s="328">
        <f>AVERAGE(E1590:E1594)</f>
        <v>4.1396000000000006</v>
      </c>
      <c r="F1595" s="328">
        <f t="shared" ref="F1595:K1595" si="454">AVERAGE(F1590:F1594)</f>
        <v>5.1432000000000002</v>
      </c>
      <c r="G1595" s="328">
        <f t="shared" si="454"/>
        <v>3.9032141999999999</v>
      </c>
      <c r="H1595" s="328">
        <f t="shared" si="454"/>
        <v>5.9138056000000008</v>
      </c>
      <c r="I1595" s="329">
        <f t="shared" si="454"/>
        <v>0.13733999999999999</v>
      </c>
      <c r="J1595" s="329">
        <f t="shared" si="454"/>
        <v>0.11106000000000001</v>
      </c>
      <c r="K1595" s="330">
        <f t="shared" si="454"/>
        <v>46.310068399999992</v>
      </c>
      <c r="L1595" s="331"/>
      <c r="M1595" s="399"/>
    </row>
    <row r="1596" spans="2:13">
      <c r="B1596" s="333">
        <v>16</v>
      </c>
      <c r="C1596" s="271" t="s">
        <v>386</v>
      </c>
      <c r="D1596" s="291" t="s">
        <v>247</v>
      </c>
      <c r="E1596" s="302">
        <v>4.1269999999999998</v>
      </c>
      <c r="F1596" s="302">
        <v>5.1139999999999999</v>
      </c>
      <c r="G1596" s="302">
        <v>3.8929230000000001</v>
      </c>
      <c r="H1596" s="302">
        <v>5.9365259999999997</v>
      </c>
      <c r="I1596" s="287">
        <v>0.13730000000000001</v>
      </c>
      <c r="J1596" s="287">
        <v>0.1095</v>
      </c>
      <c r="K1596" s="286">
        <v>46.703195999999998</v>
      </c>
      <c r="L1596" s="359"/>
      <c r="M1596" s="401"/>
    </row>
    <row r="1597" spans="2:13">
      <c r="B1597" s="335">
        <v>17</v>
      </c>
      <c r="C1597" s="320"/>
      <c r="D1597" s="299" t="s">
        <v>248</v>
      </c>
      <c r="E1597" s="304">
        <v>4.1360000000000001</v>
      </c>
      <c r="F1597" s="304">
        <v>5.1189999999999998</v>
      </c>
      <c r="G1597" s="304">
        <v>3.8882490000000001</v>
      </c>
      <c r="H1597" s="304">
        <v>5.9474840000000002</v>
      </c>
      <c r="I1597" s="301">
        <v>0.13719999999999999</v>
      </c>
      <c r="J1597" s="301">
        <v>0.10970000000000001</v>
      </c>
      <c r="K1597" s="300">
        <v>46.663628000000003</v>
      </c>
      <c r="L1597" s="321"/>
      <c r="M1597" s="399"/>
    </row>
    <row r="1598" spans="2:13">
      <c r="B1598" s="335">
        <v>18</v>
      </c>
      <c r="C1598" s="320"/>
      <c r="D1598" s="299" t="s">
        <v>232</v>
      </c>
      <c r="E1598" s="304">
        <v>4.1399999999999997</v>
      </c>
      <c r="F1598" s="304">
        <v>5.1120000000000001</v>
      </c>
      <c r="G1598" s="304">
        <v>3.879181</v>
      </c>
      <c r="H1598" s="304">
        <v>5.9263279999999998</v>
      </c>
      <c r="I1598" s="301">
        <v>0.1371</v>
      </c>
      <c r="J1598" s="301">
        <v>0.10979999999999999</v>
      </c>
      <c r="K1598" s="300">
        <v>46.557377000000002</v>
      </c>
      <c r="L1598" s="321"/>
      <c r="M1598" s="399"/>
    </row>
    <row r="1599" spans="2:13">
      <c r="B1599" s="335">
        <v>19</v>
      </c>
      <c r="C1599" s="320"/>
      <c r="D1599" s="299" t="s">
        <v>233</v>
      </c>
      <c r="E1599" s="304">
        <v>4.1360000000000001</v>
      </c>
      <c r="F1599" s="304">
        <v>5.117</v>
      </c>
      <c r="G1599" s="304">
        <v>3.88673</v>
      </c>
      <c r="H1599" s="304">
        <v>5.9401289999999998</v>
      </c>
      <c r="I1599" s="301">
        <v>0.1371</v>
      </c>
      <c r="J1599" s="301">
        <v>0.10979999999999999</v>
      </c>
      <c r="K1599" s="300">
        <v>46.602913999999998</v>
      </c>
      <c r="L1599" s="321"/>
      <c r="M1599" s="399"/>
    </row>
    <row r="1600" spans="2:13" ht="17.25" thickBot="1">
      <c r="B1600" s="336">
        <v>20</v>
      </c>
      <c r="C1600" s="323"/>
      <c r="D1600" s="293" t="s">
        <v>249</v>
      </c>
      <c r="E1600" s="371">
        <v>4.1239999999999997</v>
      </c>
      <c r="F1600" s="371">
        <v>5.101</v>
      </c>
      <c r="G1600" s="371">
        <v>3.8858510000000002</v>
      </c>
      <c r="H1600" s="371">
        <v>5.9248000000000003</v>
      </c>
      <c r="I1600" s="289">
        <v>0.1371</v>
      </c>
      <c r="J1600" s="289">
        <v>0.1096</v>
      </c>
      <c r="K1600" s="288">
        <v>46.541970999999997</v>
      </c>
      <c r="L1600" s="324"/>
      <c r="M1600" s="399"/>
    </row>
    <row r="1601" spans="2:13" ht="17.25" thickBot="1">
      <c r="B1601" s="337"/>
      <c r="C1601" s="326"/>
      <c r="D1601" s="327" t="s">
        <v>463</v>
      </c>
      <c r="E1601" s="328">
        <f>AVERAGE(E1596:E1600)</f>
        <v>4.1325999999999992</v>
      </c>
      <c r="F1601" s="328">
        <f t="shared" ref="F1601:K1601" si="455">AVERAGE(F1596:F1600)</f>
        <v>5.1125999999999996</v>
      </c>
      <c r="G1601" s="328">
        <f t="shared" si="455"/>
        <v>3.8865867999999999</v>
      </c>
      <c r="H1601" s="328">
        <f t="shared" si="455"/>
        <v>5.9350534000000001</v>
      </c>
      <c r="I1601" s="329">
        <f t="shared" si="455"/>
        <v>0.13716</v>
      </c>
      <c r="J1601" s="329">
        <f t="shared" si="455"/>
        <v>0.10968</v>
      </c>
      <c r="K1601" s="328">
        <f t="shared" si="455"/>
        <v>46.6138172</v>
      </c>
      <c r="L1601" s="331"/>
      <c r="M1601" s="399"/>
    </row>
    <row r="1602" spans="2:13">
      <c r="B1602" s="333">
        <v>21</v>
      </c>
      <c r="C1602" s="271" t="s">
        <v>386</v>
      </c>
      <c r="D1602" s="291" t="s">
        <v>250</v>
      </c>
      <c r="E1602" s="302">
        <v>4.1159999999999997</v>
      </c>
      <c r="F1602" s="302">
        <v>5.093</v>
      </c>
      <c r="G1602" s="302">
        <v>3.8872979999999999</v>
      </c>
      <c r="H1602" s="302">
        <v>5.933516</v>
      </c>
      <c r="I1602" s="287">
        <v>0.13730000000000001</v>
      </c>
      <c r="J1602" s="287">
        <v>0.1091</v>
      </c>
      <c r="K1602" s="286">
        <v>46.681942999999997</v>
      </c>
      <c r="L1602" s="332"/>
      <c r="M1602" s="399"/>
    </row>
    <row r="1603" spans="2:13">
      <c r="B1603" s="335">
        <v>22</v>
      </c>
      <c r="C1603" s="320"/>
      <c r="D1603" s="299" t="s">
        <v>251</v>
      </c>
      <c r="E1603" s="304">
        <v>4.125</v>
      </c>
      <c r="F1603" s="304">
        <v>5.1020000000000003</v>
      </c>
      <c r="G1603" s="304">
        <v>3.8856709999999999</v>
      </c>
      <c r="H1603" s="304">
        <v>5.9348479999999997</v>
      </c>
      <c r="I1603" s="301">
        <v>0.13719999999999999</v>
      </c>
      <c r="J1603" s="301">
        <v>0.1094</v>
      </c>
      <c r="K1603" s="300">
        <v>46.636197000000003</v>
      </c>
      <c r="L1603" s="321"/>
      <c r="M1603" s="399"/>
    </row>
    <row r="1604" spans="2:13">
      <c r="B1604" s="335">
        <v>23</v>
      </c>
      <c r="C1604" s="320"/>
      <c r="D1604" s="299" t="s">
        <v>237</v>
      </c>
      <c r="E1604" s="304">
        <v>4.1280000000000001</v>
      </c>
      <c r="F1604" s="304">
        <v>5.1109999999999998</v>
      </c>
      <c r="G1604" s="304">
        <v>3.8896959999999998</v>
      </c>
      <c r="H1604" s="304">
        <v>5.9347779999999997</v>
      </c>
      <c r="I1604" s="301">
        <v>0.13719999999999999</v>
      </c>
      <c r="J1604" s="301">
        <v>0.10970000000000001</v>
      </c>
      <c r="K1604" s="300">
        <v>46.590702</v>
      </c>
      <c r="L1604" s="321"/>
      <c r="M1604" s="399"/>
    </row>
    <row r="1605" spans="2:13">
      <c r="B1605" s="335">
        <v>24</v>
      </c>
      <c r="C1605" s="320"/>
      <c r="D1605" s="299" t="s">
        <v>238</v>
      </c>
      <c r="E1605" s="304">
        <v>4.1260000000000003</v>
      </c>
      <c r="F1605" s="304">
        <v>5.093</v>
      </c>
      <c r="G1605" s="304">
        <v>3.8778760000000001</v>
      </c>
      <c r="H1605" s="304">
        <v>5.9166540000000003</v>
      </c>
      <c r="I1605" s="301">
        <v>0.1371</v>
      </c>
      <c r="J1605" s="301">
        <v>0.1095</v>
      </c>
      <c r="K1605" s="300">
        <v>46.511415999999997</v>
      </c>
      <c r="L1605" s="321"/>
      <c r="M1605" s="399"/>
    </row>
    <row r="1606" spans="2:13" ht="17.25" thickBot="1">
      <c r="B1606" s="336">
        <v>25</v>
      </c>
      <c r="C1606" s="323"/>
      <c r="D1606" s="293" t="s">
        <v>252</v>
      </c>
      <c r="E1606" s="371">
        <v>4.1120000000000001</v>
      </c>
      <c r="F1606" s="371">
        <v>5.0720000000000001</v>
      </c>
      <c r="G1606" s="371">
        <v>3.875035</v>
      </c>
      <c r="H1606" s="371">
        <v>5.9027890000000003</v>
      </c>
      <c r="I1606" s="289">
        <v>0.13719999999999999</v>
      </c>
      <c r="J1606" s="289">
        <v>0.1094</v>
      </c>
      <c r="K1606" s="288">
        <v>46.361973999999996</v>
      </c>
      <c r="L1606" s="324"/>
      <c r="M1606" s="399"/>
    </row>
    <row r="1607" spans="2:13" ht="17.25" thickBot="1">
      <c r="B1607" s="339" t="s">
        <v>464</v>
      </c>
      <c r="C1607" s="340"/>
      <c r="D1607" s="341" t="s">
        <v>465</v>
      </c>
      <c r="E1607" s="342">
        <f>AVERAGE(E1602:E1606)</f>
        <v>4.1213999999999995</v>
      </c>
      <c r="F1607" s="342">
        <f t="shared" ref="F1607:K1607" si="456">AVERAGE(F1602:F1606)</f>
        <v>5.0941999999999998</v>
      </c>
      <c r="G1607" s="342">
        <f t="shared" si="456"/>
        <v>3.8831152000000002</v>
      </c>
      <c r="H1607" s="342">
        <f t="shared" si="456"/>
        <v>5.9245169999999998</v>
      </c>
      <c r="I1607" s="343">
        <f t="shared" si="456"/>
        <v>0.13719999999999999</v>
      </c>
      <c r="J1607" s="343">
        <f t="shared" si="456"/>
        <v>0.10941999999999999</v>
      </c>
      <c r="K1607" s="342">
        <f t="shared" si="456"/>
        <v>46.556446399999999</v>
      </c>
      <c r="L1607" s="344"/>
      <c r="M1607" s="399"/>
    </row>
    <row r="1608" spans="2:13">
      <c r="B1608" s="333"/>
      <c r="C1608" s="345"/>
      <c r="D1608" s="291" t="s">
        <v>466</v>
      </c>
      <c r="E1608" s="346">
        <f>MEDIAN(E1578:E1582,E1584:E1588,E1590:E1594,E1596:E1600,E1602:E1606)</f>
        <v>4.1269999999999998</v>
      </c>
      <c r="F1608" s="346">
        <f t="shared" ref="F1608:K1608" si="457">MEDIAN(F1578:F1582,F1584:F1588,F1590:F1594,F1596:F1600,F1602:F1606)</f>
        <v>5.1390000000000002</v>
      </c>
      <c r="G1608" s="346">
        <f t="shared" si="457"/>
        <v>3.9042219999999999</v>
      </c>
      <c r="H1608" s="346">
        <f t="shared" si="457"/>
        <v>5.933516</v>
      </c>
      <c r="I1608" s="347">
        <f t="shared" si="457"/>
        <v>0.13730000000000001</v>
      </c>
      <c r="J1608" s="347">
        <f t="shared" si="457"/>
        <v>0.11070000000000001</v>
      </c>
      <c r="K1608" s="348">
        <f t="shared" si="457"/>
        <v>46.511415999999997</v>
      </c>
      <c r="L1608" s="332"/>
      <c r="M1608" s="399"/>
    </row>
    <row r="1609" spans="2:13">
      <c r="B1609" s="335"/>
      <c r="C1609" s="320"/>
      <c r="D1609" s="299" t="s">
        <v>467</v>
      </c>
      <c r="E1609" s="349">
        <f>AVERAGE(E1578:E1582,E1584:E1588,E1590:E1594,E1596:E1600,E1602:E1606)</f>
        <v>4.1290399999999998</v>
      </c>
      <c r="F1609" s="349">
        <f t="shared" ref="F1609:K1609" si="458">AVERAGE(F1578:F1582,F1584:F1588,F1590:F1594,F1596:F1600,F1602:F1606)</f>
        <v>5.1307200000000002</v>
      </c>
      <c r="G1609" s="349">
        <f t="shared" si="458"/>
        <v>3.9037268400000005</v>
      </c>
      <c r="H1609" s="349">
        <f t="shared" si="458"/>
        <v>5.9280041599999995</v>
      </c>
      <c r="I1609" s="350">
        <f t="shared" si="458"/>
        <v>0.13730400000000004</v>
      </c>
      <c r="J1609" s="350">
        <f t="shared" si="458"/>
        <v>0.11036799999999999</v>
      </c>
      <c r="K1609" s="351">
        <f t="shared" si="458"/>
        <v>46.487949880000002</v>
      </c>
      <c r="L1609" s="321"/>
      <c r="M1609" s="399"/>
    </row>
    <row r="1610" spans="2:13">
      <c r="B1610" s="335"/>
      <c r="C1610" s="320"/>
      <c r="D1610" s="299" t="s">
        <v>199</v>
      </c>
      <c r="E1610" s="349">
        <f>MAX(E1578:E1582,E1584:E1588,E1590:E1594,E1596:E1600,E1602:E1606)</f>
        <v>4.1470000000000002</v>
      </c>
      <c r="F1610" s="349">
        <f t="shared" ref="F1610:K1610" si="459">MAX(F1578:F1582,F1584:F1588,F1590:F1594,F1596:F1600,F1602:F1606)</f>
        <v>5.1710000000000003</v>
      </c>
      <c r="G1610" s="349">
        <f t="shared" si="459"/>
        <v>3.9422969999999999</v>
      </c>
      <c r="H1610" s="349">
        <f t="shared" si="459"/>
        <v>5.961176</v>
      </c>
      <c r="I1610" s="350">
        <f t="shared" si="459"/>
        <v>0.13750000000000001</v>
      </c>
      <c r="J1610" s="350">
        <f t="shared" si="459"/>
        <v>0.11119999999999999</v>
      </c>
      <c r="K1610" s="351">
        <f t="shared" si="459"/>
        <v>46.703195999999998</v>
      </c>
      <c r="L1610" s="321"/>
      <c r="M1610" s="399"/>
    </row>
    <row r="1611" spans="2:13">
      <c r="B1611" s="335"/>
      <c r="C1611" s="320"/>
      <c r="D1611" s="299" t="s">
        <v>200</v>
      </c>
      <c r="E1611" s="349">
        <f>MIN(E1578:E1582,E1584:E1588,E1590:E1594,E1596:E1600,E1602:E1606)</f>
        <v>4.1040000000000001</v>
      </c>
      <c r="F1611" s="349">
        <f t="shared" ref="F1611:K1611" si="460">MIN(F1578:F1582,F1584:F1588,F1590:F1594,F1596:F1600,F1602:F1606)</f>
        <v>5.0720000000000001</v>
      </c>
      <c r="G1611" s="349">
        <f t="shared" si="460"/>
        <v>3.8695010000000001</v>
      </c>
      <c r="H1611" s="349">
        <f t="shared" si="460"/>
        <v>5.8435949999999997</v>
      </c>
      <c r="I1611" s="350">
        <f t="shared" si="460"/>
        <v>0.1371</v>
      </c>
      <c r="J1611" s="350">
        <f t="shared" si="460"/>
        <v>0.1091</v>
      </c>
      <c r="K1611" s="351">
        <f t="shared" si="460"/>
        <v>45.783783999999997</v>
      </c>
      <c r="L1611" s="321"/>
      <c r="M1611" s="399"/>
    </row>
    <row r="1612" spans="2:13">
      <c r="B1612" s="335"/>
      <c r="C1612" s="320"/>
      <c r="D1612" s="299" t="s">
        <v>201</v>
      </c>
      <c r="E1612" s="349">
        <f>E1610-E1611</f>
        <v>4.3000000000000149E-2</v>
      </c>
      <c r="F1612" s="349">
        <f t="shared" ref="F1612:K1612" si="461">F1610-F1611</f>
        <v>9.9000000000000199E-2</v>
      </c>
      <c r="G1612" s="349">
        <f t="shared" si="461"/>
        <v>7.2795999999999861E-2</v>
      </c>
      <c r="H1612" s="349">
        <f t="shared" si="461"/>
        <v>0.11758100000000038</v>
      </c>
      <c r="I1612" s="350">
        <f t="shared" si="461"/>
        <v>4.0000000000001146E-4</v>
      </c>
      <c r="J1612" s="350">
        <f t="shared" si="461"/>
        <v>2.0999999999999908E-3</v>
      </c>
      <c r="K1612" s="349">
        <f t="shared" si="461"/>
        <v>0.91941200000000123</v>
      </c>
      <c r="L1612" s="321"/>
      <c r="M1612" s="399"/>
    </row>
    <row r="1613" spans="2:13" ht="17.25" thickBot="1">
      <c r="B1613" s="336"/>
      <c r="C1613" s="323"/>
      <c r="D1613" s="293" t="s">
        <v>202</v>
      </c>
      <c r="E1613" s="352">
        <f>STDEVA(E1578:E1582,E1584:E1588,E1590:E1594,E1596:E1600,E1602:E1606)</f>
        <v>1.1333872536192871E-2</v>
      </c>
      <c r="F1613" s="352">
        <f t="shared" ref="F1613:K1613" si="462">STDEVA(F1578:F1582,F1584:F1588,F1590:F1594,F1596:F1600,F1602:F1606)</f>
        <v>2.9685181488412767E-2</v>
      </c>
      <c r="G1613" s="352">
        <f t="shared" si="462"/>
        <v>2.1146635907948422E-2</v>
      </c>
      <c r="H1613" s="352">
        <f t="shared" si="462"/>
        <v>2.2379301284296903E-2</v>
      </c>
      <c r="I1613" s="353">
        <f t="shared" si="462"/>
        <v>1.2409673645991004E-4</v>
      </c>
      <c r="J1613" s="353">
        <f t="shared" si="462"/>
        <v>7.1456280339799426E-4</v>
      </c>
      <c r="K1613" s="352">
        <f t="shared" si="462"/>
        <v>0.18960506681330216</v>
      </c>
      <c r="L1613" s="324"/>
      <c r="M1613" s="399"/>
    </row>
    <row r="1615" spans="2:13">
      <c r="B1615" s="240" t="s">
        <v>513</v>
      </c>
      <c r="C1615" s="240"/>
      <c r="E1615" s="240"/>
      <c r="F1615" s="240"/>
      <c r="G1615" s="240"/>
      <c r="H1615" s="240"/>
      <c r="I1615" s="240"/>
      <c r="J1615" s="240"/>
      <c r="K1615" s="240"/>
    </row>
    <row r="1616" spans="2:13" ht="17.25" thickBot="1">
      <c r="B1616" s="240" t="s">
        <v>469</v>
      </c>
      <c r="C1616" s="240"/>
      <c r="E1616" s="240"/>
      <c r="F1616" s="240"/>
      <c r="G1616" s="240"/>
      <c r="H1616" s="240"/>
      <c r="I1616" s="240"/>
      <c r="J1616" s="240"/>
      <c r="K1616" s="240"/>
    </row>
    <row r="1617" spans="2:13" ht="17.25" thickBot="1">
      <c r="B1617" s="313" t="s">
        <v>11</v>
      </c>
      <c r="C1617" s="250" t="s">
        <v>0</v>
      </c>
      <c r="D1617" s="250" t="s">
        <v>1</v>
      </c>
      <c r="E1617" s="250" t="s">
        <v>2</v>
      </c>
      <c r="F1617" s="250" t="s">
        <v>3</v>
      </c>
      <c r="G1617" s="250" t="s">
        <v>192</v>
      </c>
      <c r="H1617" s="250" t="s">
        <v>16</v>
      </c>
      <c r="I1617" s="250" t="s">
        <v>6</v>
      </c>
      <c r="J1617" s="251" t="s">
        <v>7</v>
      </c>
      <c r="K1617" s="252" t="s">
        <v>8</v>
      </c>
      <c r="L1617" s="254" t="s">
        <v>470</v>
      </c>
      <c r="M1617" s="404"/>
    </row>
    <row r="1618" spans="2:13">
      <c r="B1618" s="314">
        <v>1</v>
      </c>
      <c r="C1618" s="383" t="s">
        <v>512</v>
      </c>
      <c r="D1618" s="291" t="s">
        <v>213</v>
      </c>
      <c r="E1618" s="302">
        <v>4.0970000000000004</v>
      </c>
      <c r="F1618" s="302">
        <v>5.1829999999999998</v>
      </c>
      <c r="G1618" s="302">
        <v>3.9743379999999999</v>
      </c>
      <c r="H1618" s="364">
        <v>6.0157629999999997</v>
      </c>
      <c r="I1618" s="287">
        <v>0.13769999999999999</v>
      </c>
      <c r="J1618" s="287">
        <v>0.1095</v>
      </c>
      <c r="K1618" s="286">
        <v>47.333333000000003</v>
      </c>
      <c r="L1618" s="275"/>
      <c r="M1618" s="397"/>
    </row>
    <row r="1619" spans="2:13">
      <c r="B1619" s="315">
        <v>2</v>
      </c>
      <c r="C1619" s="384"/>
      <c r="D1619" s="299" t="s">
        <v>214</v>
      </c>
      <c r="E1619" s="304">
        <v>4.1109999999999998</v>
      </c>
      <c r="F1619" s="304">
        <v>5.1890000000000001</v>
      </c>
      <c r="G1619" s="304">
        <v>3.9653879999999999</v>
      </c>
      <c r="H1619" s="370">
        <v>6.0139639999999996</v>
      </c>
      <c r="I1619" s="301">
        <v>0.1376</v>
      </c>
      <c r="J1619" s="301">
        <v>0.1099</v>
      </c>
      <c r="K1619" s="300">
        <v>47.215651000000001</v>
      </c>
      <c r="L1619" s="319"/>
      <c r="M1619" s="398"/>
    </row>
    <row r="1620" spans="2:13">
      <c r="B1620" s="315">
        <v>3</v>
      </c>
      <c r="C1620" s="385"/>
      <c r="D1620" s="299" t="s">
        <v>217</v>
      </c>
      <c r="E1620" s="304">
        <v>4.1260000000000003</v>
      </c>
      <c r="F1620" s="304">
        <v>5.2</v>
      </c>
      <c r="G1620" s="304">
        <v>3.9593479999999999</v>
      </c>
      <c r="H1620" s="370">
        <v>6.0160179999999999</v>
      </c>
      <c r="I1620" s="301">
        <v>0.1376</v>
      </c>
      <c r="J1620" s="301">
        <v>0.11</v>
      </c>
      <c r="K1620" s="300">
        <v>47.272727000000003</v>
      </c>
      <c r="L1620" s="356"/>
      <c r="M1620" s="400"/>
    </row>
    <row r="1621" spans="2:13">
      <c r="B1621" s="315">
        <v>4</v>
      </c>
      <c r="C1621" s="385"/>
      <c r="D1621" s="299" t="s">
        <v>218</v>
      </c>
      <c r="E1621" s="304">
        <v>4.133</v>
      </c>
      <c r="F1621" s="304">
        <v>5.181</v>
      </c>
      <c r="G1621" s="304">
        <v>3.938199</v>
      </c>
      <c r="H1621" s="370">
        <v>5.9848590000000002</v>
      </c>
      <c r="I1621" s="301">
        <v>0.1376</v>
      </c>
      <c r="J1621" s="301">
        <v>0.11</v>
      </c>
      <c r="K1621" s="300">
        <v>47.1</v>
      </c>
      <c r="L1621" s="356"/>
      <c r="M1621" s="400"/>
    </row>
    <row r="1622" spans="2:13" ht="17.25" thickBot="1">
      <c r="B1622" s="322">
        <v>5</v>
      </c>
      <c r="C1622" s="386"/>
      <c r="D1622" s="293" t="s">
        <v>240</v>
      </c>
      <c r="E1622" s="371">
        <v>4.1180000000000003</v>
      </c>
      <c r="F1622" s="371">
        <v>5.2290000000000001</v>
      </c>
      <c r="G1622" s="371">
        <v>3.989163</v>
      </c>
      <c r="H1622" s="372">
        <v>6.0522710000000002</v>
      </c>
      <c r="I1622" s="289">
        <v>0.13739999999999999</v>
      </c>
      <c r="J1622" s="289">
        <v>0.10979999999999999</v>
      </c>
      <c r="K1622" s="288">
        <v>47.622951</v>
      </c>
      <c r="L1622" s="324"/>
      <c r="M1622" s="399"/>
    </row>
    <row r="1623" spans="2:13" ht="17.25" thickBot="1">
      <c r="B1623" s="325"/>
      <c r="C1623" s="387"/>
      <c r="D1623" s="327" t="s">
        <v>463</v>
      </c>
      <c r="E1623" s="328">
        <f>AVERAGE(E1618:E1622)</f>
        <v>4.117</v>
      </c>
      <c r="F1623" s="328">
        <f t="shared" ref="F1623:K1623" si="463">AVERAGE(F1618:F1622)</f>
        <v>5.1963999999999997</v>
      </c>
      <c r="G1623" s="328">
        <f t="shared" si="463"/>
        <v>3.9652872000000001</v>
      </c>
      <c r="H1623" s="373">
        <f t="shared" si="463"/>
        <v>6.0165750000000005</v>
      </c>
      <c r="I1623" s="329">
        <f t="shared" si="463"/>
        <v>0.13757999999999998</v>
      </c>
      <c r="J1623" s="329">
        <f t="shared" si="463"/>
        <v>0.10983999999999998</v>
      </c>
      <c r="K1623" s="330">
        <f t="shared" si="463"/>
        <v>47.308932399999996</v>
      </c>
      <c r="L1623" s="331"/>
      <c r="M1623" s="399"/>
    </row>
    <row r="1624" spans="2:13">
      <c r="B1624" s="314">
        <v>6</v>
      </c>
      <c r="C1624" s="383" t="s">
        <v>512</v>
      </c>
      <c r="D1624" s="291" t="s">
        <v>241</v>
      </c>
      <c r="E1624" s="302">
        <v>4.1029999999999998</v>
      </c>
      <c r="F1624" s="302">
        <v>5.194</v>
      </c>
      <c r="G1624" s="302">
        <v>3.9769480000000001</v>
      </c>
      <c r="H1624" s="364">
        <v>6.005039</v>
      </c>
      <c r="I1624" s="287">
        <v>0.1376</v>
      </c>
      <c r="J1624" s="287">
        <v>0.1099</v>
      </c>
      <c r="K1624" s="286">
        <v>47.261145999999997</v>
      </c>
      <c r="L1624" s="332"/>
      <c r="M1624" s="399"/>
    </row>
    <row r="1625" spans="2:13">
      <c r="B1625" s="315">
        <v>7</v>
      </c>
      <c r="C1625" s="385"/>
      <c r="D1625" s="299" t="s">
        <v>242</v>
      </c>
      <c r="E1625" s="304">
        <v>4.117</v>
      </c>
      <c r="F1625" s="304">
        <v>5.2050000000000001</v>
      </c>
      <c r="G1625" s="304">
        <v>3.9718179999999998</v>
      </c>
      <c r="H1625" s="370">
        <v>6.022011</v>
      </c>
      <c r="I1625" s="301">
        <v>0.1376</v>
      </c>
      <c r="J1625" s="301">
        <v>0.11020000000000001</v>
      </c>
      <c r="K1625" s="300">
        <v>47.232304999999997</v>
      </c>
      <c r="L1625" s="321"/>
      <c r="M1625" s="399"/>
    </row>
    <row r="1626" spans="2:13">
      <c r="B1626" s="315">
        <v>8</v>
      </c>
      <c r="C1626" s="385"/>
      <c r="D1626" s="299" t="s">
        <v>222</v>
      </c>
      <c r="E1626" s="304">
        <v>4.13</v>
      </c>
      <c r="F1626" s="304">
        <v>5.2149999999999999</v>
      </c>
      <c r="G1626" s="304">
        <v>3.966923</v>
      </c>
      <c r="H1626" s="370">
        <v>6.0174000000000003</v>
      </c>
      <c r="I1626" s="301">
        <v>0.13739999999999999</v>
      </c>
      <c r="J1626" s="301">
        <v>0.1104</v>
      </c>
      <c r="K1626" s="300">
        <v>47.237318999999999</v>
      </c>
      <c r="L1626" s="321"/>
      <c r="M1626" s="399"/>
    </row>
    <row r="1627" spans="2:13">
      <c r="B1627" s="315">
        <v>9</v>
      </c>
      <c r="C1627" s="385"/>
      <c r="D1627" s="299" t="s">
        <v>223</v>
      </c>
      <c r="E1627" s="304">
        <v>4.1349999999999998</v>
      </c>
      <c r="F1627" s="304">
        <v>5.2210000000000001</v>
      </c>
      <c r="G1627" s="304">
        <v>3.966685</v>
      </c>
      <c r="H1627" s="370">
        <v>6.0226300000000004</v>
      </c>
      <c r="I1627" s="301">
        <v>0.13750000000000001</v>
      </c>
      <c r="J1627" s="301">
        <v>0.1105</v>
      </c>
      <c r="K1627" s="300">
        <v>47.248868999999999</v>
      </c>
      <c r="L1627" s="321"/>
      <c r="M1627" s="399"/>
    </row>
    <row r="1628" spans="2:13" ht="17.25" thickBot="1">
      <c r="B1628" s="322">
        <v>10</v>
      </c>
      <c r="C1628" s="386"/>
      <c r="D1628" s="293" t="s">
        <v>243</v>
      </c>
      <c r="E1628" s="371">
        <v>4.1360000000000001</v>
      </c>
      <c r="F1628" s="371">
        <v>5.2</v>
      </c>
      <c r="G1628" s="371">
        <v>3.9497749999999998</v>
      </c>
      <c r="H1628" s="372">
        <v>5.9954679999999998</v>
      </c>
      <c r="I1628" s="289">
        <v>0.1376</v>
      </c>
      <c r="J1628" s="289">
        <v>0.1103</v>
      </c>
      <c r="K1628" s="288">
        <v>47.144151999999998</v>
      </c>
      <c r="L1628" s="324"/>
      <c r="M1628" s="399"/>
    </row>
    <row r="1629" spans="2:13" ht="17.25" thickBot="1">
      <c r="B1629" s="325" t="s">
        <v>464</v>
      </c>
      <c r="C1629" s="387"/>
      <c r="D1629" s="327" t="s">
        <v>463</v>
      </c>
      <c r="E1629" s="328">
        <f t="shared" ref="E1629:K1629" si="464">AVERAGE(E1624:E1628)</f>
        <v>4.1242000000000001</v>
      </c>
      <c r="F1629" s="328">
        <f t="shared" si="464"/>
        <v>5.2069999999999999</v>
      </c>
      <c r="G1629" s="328">
        <f t="shared" si="464"/>
        <v>3.9664298000000002</v>
      </c>
      <c r="H1629" s="373">
        <f t="shared" si="464"/>
        <v>6.0125095999999996</v>
      </c>
      <c r="I1629" s="329">
        <f t="shared" si="464"/>
        <v>0.13754</v>
      </c>
      <c r="J1629" s="329">
        <f t="shared" si="464"/>
        <v>0.11026</v>
      </c>
      <c r="K1629" s="330">
        <f t="shared" si="464"/>
        <v>47.224758200000004</v>
      </c>
      <c r="L1629" s="331"/>
      <c r="M1629" s="399"/>
    </row>
    <row r="1630" spans="2:13">
      <c r="B1630" s="333">
        <v>11</v>
      </c>
      <c r="C1630" s="383" t="s">
        <v>512</v>
      </c>
      <c r="D1630" s="291" t="s">
        <v>244</v>
      </c>
      <c r="E1630" s="302">
        <v>4.1029999999999998</v>
      </c>
      <c r="F1630" s="302">
        <v>5.2050000000000001</v>
      </c>
      <c r="G1630" s="302">
        <v>3.9853710000000002</v>
      </c>
      <c r="H1630" s="302">
        <v>6.0080159999999996</v>
      </c>
      <c r="I1630" s="287">
        <v>0.1376</v>
      </c>
      <c r="J1630" s="287">
        <v>0.1101</v>
      </c>
      <c r="K1630" s="286">
        <v>47.275204000000002</v>
      </c>
      <c r="L1630" s="332"/>
      <c r="M1630" s="399"/>
    </row>
    <row r="1631" spans="2:13">
      <c r="B1631" s="335">
        <v>12</v>
      </c>
      <c r="C1631" s="384"/>
      <c r="D1631" s="299" t="s">
        <v>245</v>
      </c>
      <c r="E1631" s="304">
        <v>4.1180000000000003</v>
      </c>
      <c r="F1631" s="304">
        <v>5.2169999999999996</v>
      </c>
      <c r="G1631" s="304">
        <v>3.9800089999999999</v>
      </c>
      <c r="H1631" s="304">
        <v>6.0195730000000003</v>
      </c>
      <c r="I1631" s="301">
        <v>0.1376</v>
      </c>
      <c r="J1631" s="301">
        <v>0.1105</v>
      </c>
      <c r="K1631" s="300">
        <v>47.212670000000003</v>
      </c>
      <c r="L1631" s="321"/>
      <c r="M1631" s="399"/>
    </row>
    <row r="1632" spans="2:13">
      <c r="B1632" s="335">
        <v>13</v>
      </c>
      <c r="C1632" s="320"/>
      <c r="D1632" s="299" t="s">
        <v>227</v>
      </c>
      <c r="E1632" s="304">
        <v>4.1289999999999996</v>
      </c>
      <c r="F1632" s="304">
        <v>5.1959999999999997</v>
      </c>
      <c r="G1632" s="304">
        <v>3.953427</v>
      </c>
      <c r="H1632" s="304">
        <v>6.000248</v>
      </c>
      <c r="I1632" s="301">
        <v>0.13739999999999999</v>
      </c>
      <c r="J1632" s="301">
        <v>0.1105</v>
      </c>
      <c r="K1632" s="300">
        <v>47.022624</v>
      </c>
      <c r="L1632" s="321"/>
      <c r="M1632" s="399"/>
    </row>
    <row r="1633" spans="2:13">
      <c r="B1633" s="335">
        <v>14</v>
      </c>
      <c r="C1633" s="320"/>
      <c r="D1633" s="299" t="s">
        <v>228</v>
      </c>
      <c r="E1633" s="304">
        <v>4.133</v>
      </c>
      <c r="F1633" s="304">
        <v>5.2140000000000004</v>
      </c>
      <c r="G1633" s="304">
        <v>3.9632830000000001</v>
      </c>
      <c r="H1633" s="304">
        <v>6.0133020000000004</v>
      </c>
      <c r="I1633" s="301">
        <v>0.13750000000000001</v>
      </c>
      <c r="J1633" s="301">
        <v>0.1105</v>
      </c>
      <c r="K1633" s="300">
        <v>47.185519999999997</v>
      </c>
      <c r="L1633" s="321"/>
      <c r="M1633" s="399"/>
    </row>
    <row r="1634" spans="2:13" ht="17.25" thickBot="1">
      <c r="B1634" s="336">
        <v>15</v>
      </c>
      <c r="C1634" s="323"/>
      <c r="D1634" s="293" t="s">
        <v>246</v>
      </c>
      <c r="E1634" s="371">
        <v>4.13</v>
      </c>
      <c r="F1634" s="371">
        <v>5.2060000000000004</v>
      </c>
      <c r="G1634" s="371">
        <v>3.9600770000000001</v>
      </c>
      <c r="H1634" s="371">
        <v>6.0089740000000003</v>
      </c>
      <c r="I1634" s="289">
        <v>0.13750000000000001</v>
      </c>
      <c r="J1634" s="289">
        <v>0.1104</v>
      </c>
      <c r="K1634" s="288">
        <v>47.155797</v>
      </c>
      <c r="L1634" s="324"/>
      <c r="M1634" s="399"/>
    </row>
    <row r="1635" spans="2:13" ht="17.25" thickBot="1">
      <c r="B1635" s="337"/>
      <c r="C1635" s="326"/>
      <c r="D1635" s="327" t="s">
        <v>463</v>
      </c>
      <c r="E1635" s="328">
        <f>AVERAGE(E1630:E1634)</f>
        <v>4.1226000000000003</v>
      </c>
      <c r="F1635" s="328">
        <f t="shared" ref="F1635:K1635" si="465">AVERAGE(F1630:F1634)</f>
        <v>5.2076000000000002</v>
      </c>
      <c r="G1635" s="328">
        <f t="shared" si="465"/>
        <v>3.9684333999999999</v>
      </c>
      <c r="H1635" s="328">
        <f t="shared" si="465"/>
        <v>6.0100225999999992</v>
      </c>
      <c r="I1635" s="329">
        <f t="shared" si="465"/>
        <v>0.13752</v>
      </c>
      <c r="J1635" s="329">
        <f t="shared" si="465"/>
        <v>0.11040000000000001</v>
      </c>
      <c r="K1635" s="330">
        <f t="shared" si="465"/>
        <v>47.170363000000002</v>
      </c>
      <c r="L1635" s="331"/>
      <c r="M1635" s="399"/>
    </row>
    <row r="1636" spans="2:13">
      <c r="B1636" s="333">
        <v>16</v>
      </c>
      <c r="C1636" s="271" t="s">
        <v>386</v>
      </c>
      <c r="D1636" s="291" t="s">
        <v>247</v>
      </c>
      <c r="E1636" s="302">
        <v>4.0919999999999996</v>
      </c>
      <c r="F1636" s="302">
        <v>5.16</v>
      </c>
      <c r="G1636" s="302">
        <v>3.9615360000000002</v>
      </c>
      <c r="H1636" s="302">
        <v>6.0257240000000003</v>
      </c>
      <c r="I1636" s="287">
        <v>0.13739999999999999</v>
      </c>
      <c r="J1636" s="287">
        <v>0.10879999999999999</v>
      </c>
      <c r="K1636" s="286">
        <v>47.426470999999999</v>
      </c>
      <c r="L1636" s="359"/>
      <c r="M1636" s="401"/>
    </row>
    <row r="1637" spans="2:13">
      <c r="B1637" s="335">
        <v>17</v>
      </c>
      <c r="C1637" s="320"/>
      <c r="D1637" s="299" t="s">
        <v>248</v>
      </c>
      <c r="E1637" s="304">
        <v>4.1059999999999999</v>
      </c>
      <c r="F1637" s="304">
        <v>5.1459999999999999</v>
      </c>
      <c r="G1637" s="304">
        <v>3.9373170000000002</v>
      </c>
      <c r="H1637" s="304">
        <v>6.0001499999999997</v>
      </c>
      <c r="I1637" s="301">
        <v>0.13719999999999999</v>
      </c>
      <c r="J1637" s="301">
        <v>0.1091</v>
      </c>
      <c r="K1637" s="300">
        <v>47.167735999999998</v>
      </c>
      <c r="L1637" s="321"/>
      <c r="M1637" s="399"/>
    </row>
    <row r="1638" spans="2:13">
      <c r="B1638" s="335">
        <v>18</v>
      </c>
      <c r="C1638" s="320"/>
      <c r="D1638" s="299" t="s">
        <v>232</v>
      </c>
      <c r="E1638" s="304">
        <v>4.1150000000000002</v>
      </c>
      <c r="F1638" s="304">
        <v>5.1760000000000002</v>
      </c>
      <c r="G1638" s="304">
        <v>3.9516089999999999</v>
      </c>
      <c r="H1638" s="304">
        <v>6.0177230000000002</v>
      </c>
      <c r="I1638" s="301">
        <v>0.13719999999999999</v>
      </c>
      <c r="J1638" s="301">
        <v>0.1094</v>
      </c>
      <c r="K1638" s="300">
        <v>47.312614000000004</v>
      </c>
      <c r="L1638" s="321"/>
      <c r="M1638" s="399"/>
    </row>
    <row r="1639" spans="2:13">
      <c r="B1639" s="335">
        <v>19</v>
      </c>
      <c r="C1639" s="320"/>
      <c r="D1639" s="299" t="s">
        <v>233</v>
      </c>
      <c r="E1639" s="304">
        <v>4.12</v>
      </c>
      <c r="F1639" s="304">
        <v>5.16</v>
      </c>
      <c r="G1639" s="304">
        <v>3.9346130000000001</v>
      </c>
      <c r="H1639" s="304">
        <v>6.0026760000000001</v>
      </c>
      <c r="I1639" s="301">
        <v>0.1371</v>
      </c>
      <c r="J1639" s="301">
        <v>0.10929999999999999</v>
      </c>
      <c r="K1639" s="300">
        <v>47.209515000000003</v>
      </c>
      <c r="L1639" s="321"/>
      <c r="M1639" s="399"/>
    </row>
    <row r="1640" spans="2:13" ht="17.25" thickBot="1">
      <c r="B1640" s="336">
        <v>20</v>
      </c>
      <c r="C1640" s="323"/>
      <c r="D1640" s="293" t="s">
        <v>249</v>
      </c>
      <c r="E1640" s="371">
        <v>4.1159999999999997</v>
      </c>
      <c r="F1640" s="371">
        <v>5.165</v>
      </c>
      <c r="G1640" s="371">
        <v>3.942253</v>
      </c>
      <c r="H1640" s="371">
        <v>6.0261120000000004</v>
      </c>
      <c r="I1640" s="289">
        <v>0.13719999999999999</v>
      </c>
      <c r="J1640" s="289">
        <v>0.10920000000000001</v>
      </c>
      <c r="K1640" s="288">
        <v>47.298535000000001</v>
      </c>
      <c r="L1640" s="324"/>
      <c r="M1640" s="399"/>
    </row>
    <row r="1641" spans="2:13" ht="17.25" thickBot="1">
      <c r="B1641" s="337"/>
      <c r="C1641" s="326"/>
      <c r="D1641" s="327" t="s">
        <v>463</v>
      </c>
      <c r="E1641" s="328">
        <f>AVERAGE(E1636:E1640)</f>
        <v>4.1097999999999999</v>
      </c>
      <c r="F1641" s="328">
        <f t="shared" ref="F1641:K1641" si="466">AVERAGE(F1636:F1640)</f>
        <v>5.1614000000000004</v>
      </c>
      <c r="G1641" s="328">
        <f t="shared" si="466"/>
        <v>3.9454655999999999</v>
      </c>
      <c r="H1641" s="328">
        <f t="shared" si="466"/>
        <v>6.0144770000000003</v>
      </c>
      <c r="I1641" s="329">
        <f t="shared" si="466"/>
        <v>0.13721999999999998</v>
      </c>
      <c r="J1641" s="329">
        <f t="shared" si="466"/>
        <v>0.10915999999999999</v>
      </c>
      <c r="K1641" s="328">
        <f t="shared" si="466"/>
        <v>47.282974199999998</v>
      </c>
      <c r="L1641" s="331"/>
      <c r="M1641" s="399"/>
    </row>
    <row r="1642" spans="2:13">
      <c r="B1642" s="333">
        <v>21</v>
      </c>
      <c r="C1642" s="271" t="s">
        <v>386</v>
      </c>
      <c r="D1642" s="291" t="s">
        <v>250</v>
      </c>
      <c r="E1642" s="302">
        <v>4.0810000000000004</v>
      </c>
      <c r="F1642" s="302">
        <v>5.1559999999999997</v>
      </c>
      <c r="G1642" s="302">
        <v>3.9691350000000001</v>
      </c>
      <c r="H1642" s="302">
        <v>6.0213650000000003</v>
      </c>
      <c r="I1642" s="287">
        <v>0.13739999999999999</v>
      </c>
      <c r="J1642" s="287">
        <v>0.1085</v>
      </c>
      <c r="K1642" s="286">
        <v>47.520736999999997</v>
      </c>
      <c r="L1642" s="332"/>
      <c r="M1642" s="399"/>
    </row>
    <row r="1643" spans="2:13">
      <c r="B1643" s="335">
        <v>22</v>
      </c>
      <c r="C1643" s="320"/>
      <c r="D1643" s="299" t="s">
        <v>251</v>
      </c>
      <c r="E1643" s="304">
        <v>4.0919999999999996</v>
      </c>
      <c r="F1643" s="304">
        <v>5.1529999999999996</v>
      </c>
      <c r="G1643" s="304">
        <v>3.956162</v>
      </c>
      <c r="H1643" s="304">
        <v>6.0085259999999998</v>
      </c>
      <c r="I1643" s="301">
        <v>0.13730000000000001</v>
      </c>
      <c r="J1643" s="301">
        <v>0.1089</v>
      </c>
      <c r="K1643" s="300">
        <v>47.318641</v>
      </c>
      <c r="L1643" s="321"/>
      <c r="M1643" s="399"/>
    </row>
    <row r="1644" spans="2:13">
      <c r="B1644" s="335">
        <v>23</v>
      </c>
      <c r="C1644" s="320"/>
      <c r="D1644" s="299" t="s">
        <v>237</v>
      </c>
      <c r="E1644" s="304">
        <v>4.101</v>
      </c>
      <c r="F1644" s="304">
        <v>5.1619999999999999</v>
      </c>
      <c r="G1644" s="304">
        <v>3.9543740000000001</v>
      </c>
      <c r="H1644" s="304">
        <v>6.0085470000000001</v>
      </c>
      <c r="I1644" s="301">
        <v>0.13730000000000001</v>
      </c>
      <c r="J1644" s="301">
        <v>0.10920000000000001</v>
      </c>
      <c r="K1644" s="300">
        <v>47.271062000000001</v>
      </c>
      <c r="L1644" s="321"/>
      <c r="M1644" s="399"/>
    </row>
    <row r="1645" spans="2:13">
      <c r="B1645" s="335">
        <v>24</v>
      </c>
      <c r="C1645" s="320"/>
      <c r="D1645" s="299" t="s">
        <v>238</v>
      </c>
      <c r="E1645" s="304">
        <v>4.1050000000000004</v>
      </c>
      <c r="F1645" s="304">
        <v>5.1609999999999996</v>
      </c>
      <c r="G1645" s="304">
        <v>3.9497550000000001</v>
      </c>
      <c r="H1645" s="304">
        <v>6.0139319999999996</v>
      </c>
      <c r="I1645" s="301">
        <v>0.13730000000000001</v>
      </c>
      <c r="J1645" s="301">
        <v>0.109</v>
      </c>
      <c r="K1645" s="300">
        <v>47.348624000000001</v>
      </c>
      <c r="L1645" s="321"/>
      <c r="M1645" s="399"/>
    </row>
    <row r="1646" spans="2:13" ht="17.25" thickBot="1">
      <c r="B1646" s="336">
        <v>25</v>
      </c>
      <c r="C1646" s="323"/>
      <c r="D1646" s="293" t="s">
        <v>252</v>
      </c>
      <c r="E1646" s="371">
        <v>4.101</v>
      </c>
      <c r="F1646" s="371">
        <v>5.1520000000000001</v>
      </c>
      <c r="G1646" s="371">
        <v>3.9467129999999999</v>
      </c>
      <c r="H1646" s="371">
        <v>6.004372</v>
      </c>
      <c r="I1646" s="289">
        <v>0.13730000000000001</v>
      </c>
      <c r="J1646" s="289">
        <v>0.109</v>
      </c>
      <c r="K1646" s="288">
        <v>47.266055000000001</v>
      </c>
      <c r="L1646" s="324"/>
      <c r="M1646" s="399"/>
    </row>
    <row r="1647" spans="2:13" ht="17.25" thickBot="1">
      <c r="B1647" s="339" t="s">
        <v>464</v>
      </c>
      <c r="C1647" s="340"/>
      <c r="D1647" s="341" t="s">
        <v>465</v>
      </c>
      <c r="E1647" s="342">
        <f>AVERAGE(E1642:E1646)</f>
        <v>4.0960000000000001</v>
      </c>
      <c r="F1647" s="342">
        <f t="shared" ref="F1647:K1647" si="467">AVERAGE(F1642:F1646)</f>
        <v>5.1567999999999996</v>
      </c>
      <c r="G1647" s="342">
        <f t="shared" si="467"/>
        <v>3.9552278000000003</v>
      </c>
      <c r="H1647" s="342">
        <f t="shared" si="467"/>
        <v>6.0113484000000001</v>
      </c>
      <c r="I1647" s="343">
        <f t="shared" si="467"/>
        <v>0.13732</v>
      </c>
      <c r="J1647" s="343">
        <f t="shared" si="467"/>
        <v>0.10891999999999999</v>
      </c>
      <c r="K1647" s="342">
        <f t="shared" si="467"/>
        <v>47.345023799999993</v>
      </c>
      <c r="L1647" s="344"/>
      <c r="M1647" s="399"/>
    </row>
    <row r="1648" spans="2:13">
      <c r="B1648" s="333"/>
      <c r="C1648" s="345"/>
      <c r="D1648" s="291" t="s">
        <v>466</v>
      </c>
      <c r="E1648" s="346">
        <f>MEDIAN(E1618:E1622,E1624:E1628,E1630:E1634,E1636:E1640,E1642:E1646)</f>
        <v>4.1159999999999997</v>
      </c>
      <c r="F1648" s="346">
        <f t="shared" ref="F1648:K1648" si="468">MEDIAN(F1618:F1622,F1624:F1628,F1630:F1634,F1636:F1640,F1642:F1646)</f>
        <v>5.1890000000000001</v>
      </c>
      <c r="G1648" s="346">
        <f t="shared" si="468"/>
        <v>3.9600770000000001</v>
      </c>
      <c r="H1648" s="346">
        <f t="shared" si="468"/>
        <v>6.0139319999999996</v>
      </c>
      <c r="I1648" s="347">
        <f t="shared" si="468"/>
        <v>0.13739999999999999</v>
      </c>
      <c r="J1648" s="347">
        <f t="shared" si="468"/>
        <v>0.1099</v>
      </c>
      <c r="K1648" s="348">
        <f t="shared" si="468"/>
        <v>47.261145999999997</v>
      </c>
      <c r="L1648" s="332"/>
      <c r="M1648" s="399"/>
    </row>
    <row r="1649" spans="2:13">
      <c r="B1649" s="335"/>
      <c r="C1649" s="320"/>
      <c r="D1649" s="299" t="s">
        <v>467</v>
      </c>
      <c r="E1649" s="349">
        <f>AVERAGE(E1618:E1622,E1624:E1628,E1630:E1634,E1636:E1640,E1642:E1646)</f>
        <v>4.1139200000000002</v>
      </c>
      <c r="F1649" s="349">
        <f t="shared" ref="F1649:K1649" si="469">AVERAGE(F1618:F1622,F1624:F1628,F1630:F1634,F1636:F1640,F1642:F1646)</f>
        <v>5.1858400000000007</v>
      </c>
      <c r="G1649" s="349">
        <f t="shared" si="469"/>
        <v>3.9601687600000002</v>
      </c>
      <c r="H1649" s="349">
        <f t="shared" si="469"/>
        <v>6.0129865199999992</v>
      </c>
      <c r="I1649" s="350">
        <f t="shared" si="469"/>
        <v>0.13743600000000003</v>
      </c>
      <c r="J1649" s="350">
        <f t="shared" si="469"/>
        <v>0.10971600000000001</v>
      </c>
      <c r="K1649" s="351">
        <f t="shared" si="469"/>
        <v>47.266410320000006</v>
      </c>
      <c r="L1649" s="321"/>
      <c r="M1649" s="399"/>
    </row>
    <row r="1650" spans="2:13">
      <c r="B1650" s="335"/>
      <c r="C1650" s="320"/>
      <c r="D1650" s="299" t="s">
        <v>199</v>
      </c>
      <c r="E1650" s="349">
        <f>MAX(E1618:E1622,E1624:E1628,E1630:E1634,E1636:E1640,E1642:E1646)</f>
        <v>4.1360000000000001</v>
      </c>
      <c r="F1650" s="349">
        <f t="shared" ref="F1650:K1650" si="470">MAX(F1618:F1622,F1624:F1628,F1630:F1634,F1636:F1640,F1642:F1646)</f>
        <v>5.2290000000000001</v>
      </c>
      <c r="G1650" s="349">
        <f t="shared" si="470"/>
        <v>3.989163</v>
      </c>
      <c r="H1650" s="349">
        <f t="shared" si="470"/>
        <v>6.0522710000000002</v>
      </c>
      <c r="I1650" s="350">
        <f t="shared" si="470"/>
        <v>0.13769999999999999</v>
      </c>
      <c r="J1650" s="350">
        <f t="shared" si="470"/>
        <v>0.1105</v>
      </c>
      <c r="K1650" s="351">
        <f t="shared" si="470"/>
        <v>47.622951</v>
      </c>
      <c r="L1650" s="321"/>
      <c r="M1650" s="399"/>
    </row>
    <row r="1651" spans="2:13">
      <c r="B1651" s="335"/>
      <c r="C1651" s="320"/>
      <c r="D1651" s="299" t="s">
        <v>200</v>
      </c>
      <c r="E1651" s="349">
        <f>MIN(E1618:E1622,E1624:E1628,E1630:E1634,E1636:E1640,E1642:E1646)</f>
        <v>4.0810000000000004</v>
      </c>
      <c r="F1651" s="349">
        <f t="shared" ref="F1651:K1651" si="471">MIN(F1618:F1622,F1624:F1628,F1630:F1634,F1636:F1640,F1642:F1646)</f>
        <v>5.1459999999999999</v>
      </c>
      <c r="G1651" s="349">
        <f t="shared" si="471"/>
        <v>3.9346130000000001</v>
      </c>
      <c r="H1651" s="349">
        <f t="shared" si="471"/>
        <v>5.9848590000000002</v>
      </c>
      <c r="I1651" s="350">
        <f t="shared" si="471"/>
        <v>0.1371</v>
      </c>
      <c r="J1651" s="350">
        <f t="shared" si="471"/>
        <v>0.1085</v>
      </c>
      <c r="K1651" s="351">
        <f t="shared" si="471"/>
        <v>47.022624</v>
      </c>
      <c r="L1651" s="321"/>
      <c r="M1651" s="399"/>
    </row>
    <row r="1652" spans="2:13">
      <c r="B1652" s="335"/>
      <c r="C1652" s="320"/>
      <c r="D1652" s="299" t="s">
        <v>201</v>
      </c>
      <c r="E1652" s="349">
        <f>E1650-E1651</f>
        <v>5.4999999999999716E-2</v>
      </c>
      <c r="F1652" s="349">
        <f t="shared" ref="F1652:K1652" si="472">F1650-F1651</f>
        <v>8.3000000000000185E-2</v>
      </c>
      <c r="G1652" s="349">
        <f t="shared" si="472"/>
        <v>5.4549999999999876E-2</v>
      </c>
      <c r="H1652" s="349">
        <f t="shared" si="472"/>
        <v>6.7412000000000027E-2</v>
      </c>
      <c r="I1652" s="350">
        <f t="shared" si="472"/>
        <v>5.9999999999998943E-4</v>
      </c>
      <c r="J1652" s="350">
        <f t="shared" si="472"/>
        <v>2.0000000000000018E-3</v>
      </c>
      <c r="K1652" s="349">
        <f t="shared" si="472"/>
        <v>0.60032700000000006</v>
      </c>
      <c r="L1652" s="321"/>
      <c r="M1652" s="399"/>
    </row>
    <row r="1653" spans="2:13" ht="17.25" thickBot="1">
      <c r="B1653" s="336"/>
      <c r="C1653" s="323"/>
      <c r="D1653" s="293" t="s">
        <v>202</v>
      </c>
      <c r="E1653" s="352">
        <f>STDEVA(E1618:E1622,E1624:E1628,E1630:E1634,E1636:E1640,E1642:E1646)</f>
        <v>1.5397294134576573E-2</v>
      </c>
      <c r="F1653" s="352">
        <f t="shared" ref="F1653:K1653" si="473">STDEVA(F1618:F1622,F1624:F1628,F1630:F1634,F1636:F1640,F1642:F1646)</f>
        <v>2.5182136525720038E-2</v>
      </c>
      <c r="G1653" s="352">
        <f t="shared" si="473"/>
        <v>1.4776483177896781E-2</v>
      </c>
      <c r="H1653" s="352">
        <f t="shared" si="473"/>
        <v>1.2870776242843149E-2</v>
      </c>
      <c r="I1653" s="353">
        <f t="shared" si="473"/>
        <v>1.655294535724699E-4</v>
      </c>
      <c r="J1653" s="353">
        <f t="shared" si="473"/>
        <v>6.3224467837486302E-4</v>
      </c>
      <c r="K1653" s="352">
        <f t="shared" si="473"/>
        <v>0.12522100707406617</v>
      </c>
      <c r="L1653" s="324"/>
      <c r="M1653" s="399"/>
    </row>
    <row r="1655" spans="2:13">
      <c r="B1655" s="240" t="s">
        <v>514</v>
      </c>
      <c r="C1655" s="240"/>
      <c r="E1655" s="240"/>
      <c r="F1655" s="240"/>
      <c r="G1655" s="240"/>
      <c r="H1655" s="240"/>
      <c r="I1655" s="240"/>
      <c r="J1655" s="240"/>
      <c r="K1655" s="240"/>
    </row>
    <row r="1656" spans="2:13" ht="17.25" thickBot="1">
      <c r="B1656" s="240" t="s">
        <v>469</v>
      </c>
      <c r="C1656" s="240"/>
      <c r="E1656" s="240"/>
      <c r="F1656" s="240"/>
      <c r="G1656" s="240"/>
      <c r="H1656" s="240"/>
      <c r="I1656" s="240"/>
      <c r="J1656" s="240"/>
      <c r="K1656" s="240"/>
    </row>
    <row r="1657" spans="2:13" ht="17.25" thickBot="1">
      <c r="B1657" s="313" t="s">
        <v>11</v>
      </c>
      <c r="C1657" s="250" t="s">
        <v>0</v>
      </c>
      <c r="D1657" s="250" t="s">
        <v>1</v>
      </c>
      <c r="E1657" s="250" t="s">
        <v>2</v>
      </c>
      <c r="F1657" s="250" t="s">
        <v>3</v>
      </c>
      <c r="G1657" s="250" t="s">
        <v>192</v>
      </c>
      <c r="H1657" s="250" t="s">
        <v>16</v>
      </c>
      <c r="I1657" s="250" t="s">
        <v>6</v>
      </c>
      <c r="J1657" s="251" t="s">
        <v>7</v>
      </c>
      <c r="K1657" s="252" t="s">
        <v>8</v>
      </c>
      <c r="L1657" s="254" t="s">
        <v>470</v>
      </c>
      <c r="M1657" s="404"/>
    </row>
    <row r="1658" spans="2:13">
      <c r="B1658" s="314">
        <v>1</v>
      </c>
      <c r="C1658" s="271" t="s">
        <v>389</v>
      </c>
      <c r="D1658" s="291" t="s">
        <v>213</v>
      </c>
      <c r="E1658" s="302">
        <v>3.911</v>
      </c>
      <c r="F1658" s="302">
        <v>5.3339999999999996</v>
      </c>
      <c r="G1658" s="302">
        <v>4.2846440000000001</v>
      </c>
      <c r="H1658" s="364">
        <v>6.2993800000000002</v>
      </c>
      <c r="I1658" s="287">
        <v>0.1368</v>
      </c>
      <c r="J1658" s="287">
        <v>0.1075</v>
      </c>
      <c r="K1658" s="286">
        <v>49.618605000000002</v>
      </c>
      <c r="L1658" s="275"/>
      <c r="M1658" s="397"/>
    </row>
    <row r="1659" spans="2:13">
      <c r="B1659" s="315">
        <v>2</v>
      </c>
      <c r="C1659" s="316"/>
      <c r="D1659" s="299" t="s">
        <v>214</v>
      </c>
      <c r="E1659" s="304">
        <v>3.915</v>
      </c>
      <c r="F1659" s="304">
        <v>5.3319999999999999</v>
      </c>
      <c r="G1659" s="304">
        <v>4.2786609999999996</v>
      </c>
      <c r="H1659" s="370">
        <v>6.28775</v>
      </c>
      <c r="I1659" s="301">
        <v>0.13669999999999999</v>
      </c>
      <c r="J1659" s="301">
        <v>0.1077</v>
      </c>
      <c r="K1659" s="300">
        <v>49.507891999999998</v>
      </c>
      <c r="L1659" s="319"/>
      <c r="M1659" s="398"/>
    </row>
    <row r="1660" spans="2:13">
      <c r="B1660" s="315">
        <v>3</v>
      </c>
      <c r="C1660" s="320"/>
      <c r="D1660" s="299" t="s">
        <v>217</v>
      </c>
      <c r="E1660" s="304">
        <v>3.9159999999999999</v>
      </c>
      <c r="F1660" s="304">
        <v>5.33</v>
      </c>
      <c r="G1660" s="304">
        <v>4.2759640000000001</v>
      </c>
      <c r="H1660" s="370">
        <v>6.2822250000000004</v>
      </c>
      <c r="I1660" s="301">
        <v>0.1368</v>
      </c>
      <c r="J1660" s="301">
        <v>0.10780000000000001</v>
      </c>
      <c r="K1660" s="300">
        <v>49.443413999999997</v>
      </c>
      <c r="L1660" s="356"/>
      <c r="M1660" s="400"/>
    </row>
    <row r="1661" spans="2:13">
      <c r="B1661" s="315">
        <v>4</v>
      </c>
      <c r="C1661" s="320"/>
      <c r="D1661" s="299" t="s">
        <v>218</v>
      </c>
      <c r="E1661" s="304">
        <v>3.9140000000000001</v>
      </c>
      <c r="F1661" s="304">
        <v>5.3209999999999997</v>
      </c>
      <c r="G1661" s="304">
        <v>4.2709250000000001</v>
      </c>
      <c r="H1661" s="370">
        <v>6.2808130000000002</v>
      </c>
      <c r="I1661" s="301">
        <v>0.1368</v>
      </c>
      <c r="J1661" s="301">
        <v>0.1077</v>
      </c>
      <c r="K1661" s="300">
        <v>49.405757000000001</v>
      </c>
      <c r="L1661" s="356"/>
      <c r="M1661" s="400"/>
    </row>
    <row r="1662" spans="2:13" ht="17.25" thickBot="1">
      <c r="B1662" s="322">
        <v>5</v>
      </c>
      <c r="C1662" s="323"/>
      <c r="D1662" s="293" t="s">
        <v>240</v>
      </c>
      <c r="E1662" s="371">
        <v>3.911</v>
      </c>
      <c r="F1662" s="371">
        <v>5.3019999999999996</v>
      </c>
      <c r="G1662" s="371">
        <v>4.2589389999999998</v>
      </c>
      <c r="H1662" s="372">
        <v>6.2648869999999999</v>
      </c>
      <c r="I1662" s="289">
        <v>0.13689999999999999</v>
      </c>
      <c r="J1662" s="289">
        <v>0.10730000000000001</v>
      </c>
      <c r="K1662" s="288">
        <v>49.412860999999999</v>
      </c>
      <c r="L1662" s="324"/>
      <c r="M1662" s="399"/>
    </row>
    <row r="1663" spans="2:13" ht="17.25" thickBot="1">
      <c r="B1663" s="325"/>
      <c r="C1663" s="326"/>
      <c r="D1663" s="327" t="s">
        <v>463</v>
      </c>
      <c r="E1663" s="328">
        <f>AVERAGE(E1658:E1662)</f>
        <v>3.9134000000000002</v>
      </c>
      <c r="F1663" s="328">
        <f t="shared" ref="F1663:K1663" si="474">AVERAGE(F1658:F1662)</f>
        <v>5.3238000000000003</v>
      </c>
      <c r="G1663" s="328">
        <f t="shared" si="474"/>
        <v>4.2738265999999996</v>
      </c>
      <c r="H1663" s="373">
        <f t="shared" si="474"/>
        <v>6.2830110000000001</v>
      </c>
      <c r="I1663" s="329">
        <f t="shared" si="474"/>
        <v>0.1368</v>
      </c>
      <c r="J1663" s="329">
        <f t="shared" si="474"/>
        <v>0.1076</v>
      </c>
      <c r="K1663" s="330">
        <f t="shared" si="474"/>
        <v>49.477705799999995</v>
      </c>
      <c r="L1663" s="331"/>
      <c r="M1663" s="399"/>
    </row>
    <row r="1664" spans="2:13">
      <c r="B1664" s="314">
        <v>6</v>
      </c>
      <c r="C1664" s="271" t="s">
        <v>391</v>
      </c>
      <c r="D1664" s="291" t="s">
        <v>241</v>
      </c>
      <c r="E1664" s="302">
        <v>3.9079999999999999</v>
      </c>
      <c r="F1664" s="302">
        <v>5.3630000000000004</v>
      </c>
      <c r="G1664" s="302">
        <v>4.3112450000000004</v>
      </c>
      <c r="H1664" s="364">
        <v>6.284821</v>
      </c>
      <c r="I1664" s="287">
        <v>0.13650000000000001</v>
      </c>
      <c r="J1664" s="287">
        <v>0.109</v>
      </c>
      <c r="K1664" s="286">
        <v>49.201835000000003</v>
      </c>
      <c r="L1664" s="332"/>
      <c r="M1664" s="399"/>
    </row>
    <row r="1665" spans="2:13">
      <c r="B1665" s="315">
        <v>7</v>
      </c>
      <c r="C1665" s="320"/>
      <c r="D1665" s="299" t="s">
        <v>242</v>
      </c>
      <c r="E1665" s="304">
        <v>3.9140000000000001</v>
      </c>
      <c r="F1665" s="304">
        <v>5.3540000000000001</v>
      </c>
      <c r="G1665" s="304">
        <v>4.2974129999999997</v>
      </c>
      <c r="H1665" s="370">
        <v>6.2632269999999997</v>
      </c>
      <c r="I1665" s="301">
        <v>0.1363</v>
      </c>
      <c r="J1665" s="301">
        <v>0.10920000000000001</v>
      </c>
      <c r="K1665" s="300">
        <v>49.029304000000003</v>
      </c>
      <c r="L1665" s="321"/>
      <c r="M1665" s="399"/>
    </row>
    <row r="1666" spans="2:13">
      <c r="B1666" s="315">
        <v>8</v>
      </c>
      <c r="C1666" s="320"/>
      <c r="D1666" s="299" t="s">
        <v>222</v>
      </c>
      <c r="E1666" s="304">
        <v>3.9180000000000001</v>
      </c>
      <c r="F1666" s="304">
        <v>5.3550000000000004</v>
      </c>
      <c r="G1666" s="304">
        <v>4.2938270000000003</v>
      </c>
      <c r="H1666" s="370">
        <v>6.2709599999999996</v>
      </c>
      <c r="I1666" s="301">
        <v>0.13639999999999999</v>
      </c>
      <c r="J1666" s="301">
        <v>0.10920000000000001</v>
      </c>
      <c r="K1666" s="300">
        <v>49.038462000000003</v>
      </c>
      <c r="L1666" s="321"/>
      <c r="M1666" s="399"/>
    </row>
    <row r="1667" spans="2:13">
      <c r="B1667" s="315">
        <v>9</v>
      </c>
      <c r="C1667" s="320"/>
      <c r="D1667" s="299" t="s">
        <v>223</v>
      </c>
      <c r="E1667" s="304">
        <v>3.9140000000000001</v>
      </c>
      <c r="F1667" s="304">
        <v>5.335</v>
      </c>
      <c r="G1667" s="304">
        <v>4.2821619999999996</v>
      </c>
      <c r="H1667" s="370">
        <v>6.2511190000000001</v>
      </c>
      <c r="I1667" s="301">
        <v>0.13639999999999999</v>
      </c>
      <c r="J1667" s="301">
        <v>0.109</v>
      </c>
      <c r="K1667" s="300">
        <v>48.944954000000003</v>
      </c>
      <c r="L1667" s="321"/>
      <c r="M1667" s="399"/>
    </row>
    <row r="1668" spans="2:13" ht="17.25" thickBot="1">
      <c r="B1668" s="322">
        <v>10</v>
      </c>
      <c r="C1668" s="323"/>
      <c r="D1668" s="293" t="s">
        <v>243</v>
      </c>
      <c r="E1668" s="371">
        <v>3.9089999999999998</v>
      </c>
      <c r="F1668" s="371">
        <v>5.3230000000000004</v>
      </c>
      <c r="G1668" s="371">
        <v>4.2779949999999998</v>
      </c>
      <c r="H1668" s="372">
        <v>6.2484630000000001</v>
      </c>
      <c r="I1668" s="289">
        <v>0.13650000000000001</v>
      </c>
      <c r="J1668" s="289">
        <v>0.1087</v>
      </c>
      <c r="K1668" s="288">
        <v>48.969641000000003</v>
      </c>
      <c r="L1668" s="324"/>
      <c r="M1668" s="399"/>
    </row>
    <row r="1669" spans="2:13" ht="17.25" thickBot="1">
      <c r="B1669" s="325" t="s">
        <v>464</v>
      </c>
      <c r="C1669" s="326"/>
      <c r="D1669" s="327" t="s">
        <v>463</v>
      </c>
      <c r="E1669" s="328">
        <f t="shared" ref="E1669:K1669" si="475">AVERAGE(E1664:E1668)</f>
        <v>3.9125999999999999</v>
      </c>
      <c r="F1669" s="328">
        <f t="shared" si="475"/>
        <v>5.346000000000001</v>
      </c>
      <c r="G1669" s="328">
        <f t="shared" si="475"/>
        <v>4.2925284000000001</v>
      </c>
      <c r="H1669" s="373">
        <f t="shared" si="475"/>
        <v>6.2637179999999999</v>
      </c>
      <c r="I1669" s="329">
        <f t="shared" si="475"/>
        <v>0.13641999999999999</v>
      </c>
      <c r="J1669" s="329">
        <f t="shared" si="475"/>
        <v>0.10902000000000001</v>
      </c>
      <c r="K1669" s="330">
        <f t="shared" si="475"/>
        <v>49.036839200000003</v>
      </c>
      <c r="L1669" s="331"/>
      <c r="M1669" s="399"/>
    </row>
    <row r="1670" spans="2:13">
      <c r="B1670" s="333">
        <v>11</v>
      </c>
      <c r="C1670" s="271" t="s">
        <v>388</v>
      </c>
      <c r="D1670" s="291" t="s">
        <v>244</v>
      </c>
      <c r="E1670" s="302">
        <v>3.9039999999999999</v>
      </c>
      <c r="F1670" s="302">
        <v>5.2919999999999998</v>
      </c>
      <c r="G1670" s="302">
        <v>4.2585280000000001</v>
      </c>
      <c r="H1670" s="302">
        <v>6.2337819999999997</v>
      </c>
      <c r="I1670" s="287">
        <v>0.13669999999999999</v>
      </c>
      <c r="J1670" s="287">
        <v>0.1079</v>
      </c>
      <c r="K1670" s="286">
        <v>49.045411999999999</v>
      </c>
      <c r="L1670" s="332"/>
      <c r="M1670" s="399"/>
    </row>
    <row r="1671" spans="2:13">
      <c r="B1671" s="335">
        <v>12</v>
      </c>
      <c r="C1671" s="316"/>
      <c r="D1671" s="299" t="s">
        <v>245</v>
      </c>
      <c r="E1671" s="304">
        <v>3.91</v>
      </c>
      <c r="F1671" s="304">
        <v>5.2889999999999997</v>
      </c>
      <c r="G1671" s="304">
        <v>4.2495830000000003</v>
      </c>
      <c r="H1671" s="304">
        <v>6.229044</v>
      </c>
      <c r="I1671" s="301">
        <v>0.1368</v>
      </c>
      <c r="J1671" s="301">
        <v>0.1081</v>
      </c>
      <c r="K1671" s="300">
        <v>48.926920000000003</v>
      </c>
      <c r="L1671" s="321"/>
      <c r="M1671" s="399"/>
    </row>
    <row r="1672" spans="2:13">
      <c r="B1672" s="335">
        <v>13</v>
      </c>
      <c r="C1672" s="320"/>
      <c r="D1672" s="299" t="s">
        <v>227</v>
      </c>
      <c r="E1672" s="304">
        <v>3.9119999999999999</v>
      </c>
      <c r="F1672" s="304">
        <v>5.2770000000000001</v>
      </c>
      <c r="G1672" s="304">
        <v>4.2377739999999999</v>
      </c>
      <c r="H1672" s="304">
        <v>6.2110880000000002</v>
      </c>
      <c r="I1672" s="301">
        <v>0.13669999999999999</v>
      </c>
      <c r="J1672" s="301">
        <v>0.1082</v>
      </c>
      <c r="K1672" s="300">
        <v>48.770795</v>
      </c>
      <c r="L1672" s="321"/>
      <c r="M1672" s="399"/>
    </row>
    <row r="1673" spans="2:13">
      <c r="B1673" s="335">
        <v>14</v>
      </c>
      <c r="C1673" s="320"/>
      <c r="D1673" s="299" t="s">
        <v>228</v>
      </c>
      <c r="E1673" s="304">
        <v>3.91</v>
      </c>
      <c r="F1673" s="304">
        <v>5.2690000000000001</v>
      </c>
      <c r="G1673" s="304">
        <v>4.2335130000000003</v>
      </c>
      <c r="H1673" s="304">
        <v>6.2130289999999997</v>
      </c>
      <c r="I1673" s="301">
        <v>0.1368</v>
      </c>
      <c r="J1673" s="301">
        <v>0.108</v>
      </c>
      <c r="K1673" s="300">
        <v>48.787036999999998</v>
      </c>
      <c r="L1673" s="321"/>
      <c r="M1673" s="399"/>
    </row>
    <row r="1674" spans="2:13" ht="17.25" thickBot="1">
      <c r="B1674" s="336">
        <v>15</v>
      </c>
      <c r="C1674" s="323"/>
      <c r="D1674" s="293" t="s">
        <v>246</v>
      </c>
      <c r="E1674" s="371">
        <v>3.9039999999999999</v>
      </c>
      <c r="F1674" s="371">
        <v>5.2519999999999998</v>
      </c>
      <c r="G1674" s="371">
        <v>4.2263400000000004</v>
      </c>
      <c r="H1674" s="371">
        <v>6.1922410000000001</v>
      </c>
      <c r="I1674" s="289">
        <v>0.1368</v>
      </c>
      <c r="J1674" s="289">
        <v>0.1077</v>
      </c>
      <c r="K1674" s="288">
        <v>48.765087999999999</v>
      </c>
      <c r="L1674" s="324"/>
      <c r="M1674" s="399"/>
    </row>
    <row r="1675" spans="2:13" ht="17.25" thickBot="1">
      <c r="B1675" s="337"/>
      <c r="C1675" s="326"/>
      <c r="D1675" s="327" t="s">
        <v>463</v>
      </c>
      <c r="E1675" s="328">
        <f>AVERAGE(E1670:E1674)</f>
        <v>3.9079999999999999</v>
      </c>
      <c r="F1675" s="328">
        <f t="shared" ref="F1675:K1675" si="476">AVERAGE(F1670:F1674)</f>
        <v>5.2758000000000003</v>
      </c>
      <c r="G1675" s="328">
        <f t="shared" si="476"/>
        <v>4.2411475999999997</v>
      </c>
      <c r="H1675" s="328">
        <f t="shared" si="476"/>
        <v>6.2158367999999999</v>
      </c>
      <c r="I1675" s="329">
        <f t="shared" si="476"/>
        <v>0.13675999999999999</v>
      </c>
      <c r="J1675" s="329">
        <f t="shared" si="476"/>
        <v>0.10797999999999999</v>
      </c>
      <c r="K1675" s="330">
        <f t="shared" si="476"/>
        <v>48.859050399999994</v>
      </c>
      <c r="L1675" s="331"/>
      <c r="M1675" s="399"/>
    </row>
    <row r="1676" spans="2:13">
      <c r="B1676" s="333">
        <v>16</v>
      </c>
      <c r="C1676" s="271" t="s">
        <v>390</v>
      </c>
      <c r="D1676" s="291" t="s">
        <v>247</v>
      </c>
      <c r="E1676" s="302">
        <v>3.9039999999999999</v>
      </c>
      <c r="F1676" s="302">
        <v>5.3380000000000001</v>
      </c>
      <c r="G1676" s="302">
        <v>4.2955449999999997</v>
      </c>
      <c r="H1676" s="302">
        <v>6.250521</v>
      </c>
      <c r="I1676" s="287">
        <v>0.13639999999999999</v>
      </c>
      <c r="J1676" s="287">
        <v>0.1091</v>
      </c>
      <c r="K1676" s="286">
        <v>48.927588999999998</v>
      </c>
      <c r="L1676" s="359"/>
      <c r="M1676" s="401"/>
    </row>
    <row r="1677" spans="2:13">
      <c r="B1677" s="335">
        <v>17</v>
      </c>
      <c r="C1677" s="320"/>
      <c r="D1677" s="299" t="s">
        <v>248</v>
      </c>
      <c r="E1677" s="304">
        <v>3.9089999999999998</v>
      </c>
      <c r="F1677" s="304">
        <v>5.3310000000000004</v>
      </c>
      <c r="G1677" s="304">
        <v>4.2844249999999997</v>
      </c>
      <c r="H1677" s="304">
        <v>6.2391620000000003</v>
      </c>
      <c r="I1677" s="301">
        <v>0.1363</v>
      </c>
      <c r="J1677" s="301">
        <v>0.10929999999999999</v>
      </c>
      <c r="K1677" s="300">
        <v>48.774016000000003</v>
      </c>
      <c r="L1677" s="321"/>
      <c r="M1677" s="399"/>
    </row>
    <row r="1678" spans="2:13">
      <c r="B1678" s="335">
        <v>18</v>
      </c>
      <c r="C1678" s="320"/>
      <c r="D1678" s="299" t="s">
        <v>232</v>
      </c>
      <c r="E1678" s="304">
        <v>3.91</v>
      </c>
      <c r="F1678" s="304">
        <v>5.319</v>
      </c>
      <c r="G1678" s="304">
        <v>4.2736869999999998</v>
      </c>
      <c r="H1678" s="304">
        <v>6.2303129999999998</v>
      </c>
      <c r="I1678" s="301">
        <v>0.13639999999999999</v>
      </c>
      <c r="J1678" s="301">
        <v>0.10920000000000001</v>
      </c>
      <c r="K1678" s="300">
        <v>48.708790999999998</v>
      </c>
      <c r="L1678" s="321"/>
      <c r="M1678" s="399"/>
    </row>
    <row r="1679" spans="2:13">
      <c r="B1679" s="335">
        <v>19</v>
      </c>
      <c r="C1679" s="320"/>
      <c r="D1679" s="299" t="s">
        <v>233</v>
      </c>
      <c r="E1679" s="304">
        <v>3.9079999999999999</v>
      </c>
      <c r="F1679" s="304">
        <v>5.3049999999999997</v>
      </c>
      <c r="G1679" s="304">
        <v>4.2646199999999999</v>
      </c>
      <c r="H1679" s="304">
        <v>6.2109670000000001</v>
      </c>
      <c r="I1679" s="301">
        <v>0.13650000000000001</v>
      </c>
      <c r="J1679" s="301">
        <v>0.1091</v>
      </c>
      <c r="K1679" s="300">
        <v>48.625115000000001</v>
      </c>
      <c r="L1679" s="321"/>
      <c r="M1679" s="399"/>
    </row>
    <row r="1680" spans="2:13" ht="17.25" thickBot="1">
      <c r="B1680" s="336">
        <v>20</v>
      </c>
      <c r="C1680" s="323"/>
      <c r="D1680" s="293" t="s">
        <v>249</v>
      </c>
      <c r="E1680" s="371">
        <v>3.9009999999999998</v>
      </c>
      <c r="F1680" s="371">
        <v>5.2869999999999999</v>
      </c>
      <c r="G1680" s="371">
        <v>4.2577769999999999</v>
      </c>
      <c r="H1680" s="371">
        <v>6.203551</v>
      </c>
      <c r="I1680" s="289">
        <v>0.13650000000000001</v>
      </c>
      <c r="J1680" s="289">
        <v>0.1087</v>
      </c>
      <c r="K1680" s="288">
        <v>48.638454000000003</v>
      </c>
      <c r="L1680" s="324"/>
      <c r="M1680" s="399"/>
    </row>
    <row r="1681" spans="2:13" ht="17.25" thickBot="1">
      <c r="B1681" s="337"/>
      <c r="C1681" s="326"/>
      <c r="D1681" s="327" t="s">
        <v>463</v>
      </c>
      <c r="E1681" s="328">
        <f>AVERAGE(E1676:E1680)</f>
        <v>3.9063999999999992</v>
      </c>
      <c r="F1681" s="328">
        <f t="shared" ref="F1681:K1681" si="477">AVERAGE(F1676:F1680)</f>
        <v>5.3159999999999998</v>
      </c>
      <c r="G1681" s="328">
        <f t="shared" si="477"/>
        <v>4.2752108</v>
      </c>
      <c r="H1681" s="328">
        <f t="shared" si="477"/>
        <v>6.2269027999999995</v>
      </c>
      <c r="I1681" s="329">
        <f t="shared" si="477"/>
        <v>0.13642000000000004</v>
      </c>
      <c r="J1681" s="329">
        <f t="shared" si="477"/>
        <v>0.10908</v>
      </c>
      <c r="K1681" s="328">
        <f t="shared" si="477"/>
        <v>48.734792999999996</v>
      </c>
      <c r="L1681" s="331"/>
      <c r="M1681" s="399"/>
    </row>
    <row r="1682" spans="2:13">
      <c r="B1682" s="333">
        <v>21</v>
      </c>
      <c r="C1682" s="271" t="s">
        <v>390</v>
      </c>
      <c r="D1682" s="291" t="s">
        <v>250</v>
      </c>
      <c r="E1682" s="302">
        <v>3.9009999999999998</v>
      </c>
      <c r="F1682" s="302">
        <v>5.3339999999999996</v>
      </c>
      <c r="G1682" s="302">
        <v>4.2956269999999996</v>
      </c>
      <c r="H1682" s="302">
        <v>6.2603460000000002</v>
      </c>
      <c r="I1682" s="287">
        <v>0.13650000000000001</v>
      </c>
      <c r="J1682" s="287">
        <v>0.1086</v>
      </c>
      <c r="K1682" s="286">
        <v>49.116022000000001</v>
      </c>
      <c r="L1682" s="332"/>
      <c r="M1682" s="399"/>
    </row>
    <row r="1683" spans="2:13">
      <c r="B1683" s="335">
        <v>22</v>
      </c>
      <c r="C1683" s="320"/>
      <c r="D1683" s="299" t="s">
        <v>251</v>
      </c>
      <c r="E1683" s="304">
        <v>3.9049999999999998</v>
      </c>
      <c r="F1683" s="304">
        <v>5.319</v>
      </c>
      <c r="G1683" s="304">
        <v>4.2791589999999999</v>
      </c>
      <c r="H1683" s="304">
        <v>6.2468029999999999</v>
      </c>
      <c r="I1683" s="301">
        <v>0.13639999999999999</v>
      </c>
      <c r="J1683" s="301">
        <v>0.10879999999999999</v>
      </c>
      <c r="K1683" s="300">
        <v>48.887867999999997</v>
      </c>
      <c r="L1683" s="321"/>
      <c r="M1683" s="399"/>
    </row>
    <row r="1684" spans="2:13">
      <c r="B1684" s="335">
        <v>23</v>
      </c>
      <c r="C1684" s="320"/>
      <c r="D1684" s="299" t="s">
        <v>237</v>
      </c>
      <c r="E1684" s="304">
        <v>3.9060000000000001</v>
      </c>
      <c r="F1684" s="304">
        <v>5.3120000000000003</v>
      </c>
      <c r="G1684" s="304">
        <v>4.2724339999999996</v>
      </c>
      <c r="H1684" s="304">
        <v>6.22065</v>
      </c>
      <c r="I1684" s="301">
        <v>0.13639999999999999</v>
      </c>
      <c r="J1684" s="301">
        <v>0.1089</v>
      </c>
      <c r="K1684" s="300">
        <v>48.778695999999997</v>
      </c>
      <c r="L1684" s="321"/>
      <c r="M1684" s="399"/>
    </row>
    <row r="1685" spans="2:13">
      <c r="B1685" s="335">
        <v>24</v>
      </c>
      <c r="C1685" s="320"/>
      <c r="D1685" s="299" t="s">
        <v>238</v>
      </c>
      <c r="E1685" s="304">
        <v>3.9020000000000001</v>
      </c>
      <c r="F1685" s="304">
        <v>5.306</v>
      </c>
      <c r="G1685" s="304">
        <v>4.2719829999999996</v>
      </c>
      <c r="H1685" s="304">
        <v>6.2252850000000004</v>
      </c>
      <c r="I1685" s="301">
        <v>0.1366</v>
      </c>
      <c r="J1685" s="301">
        <v>0.1087</v>
      </c>
      <c r="K1685" s="300">
        <v>48.813246999999997</v>
      </c>
      <c r="L1685" s="321"/>
      <c r="M1685" s="399"/>
    </row>
    <row r="1686" spans="2:13" ht="17.25" thickBot="1">
      <c r="B1686" s="336">
        <v>25</v>
      </c>
      <c r="C1686" s="323"/>
      <c r="D1686" s="293" t="s">
        <v>252</v>
      </c>
      <c r="E1686" s="371">
        <v>3.8959999999999999</v>
      </c>
      <c r="F1686" s="371">
        <v>5.2889999999999997</v>
      </c>
      <c r="G1686" s="371">
        <v>4.2648539999999997</v>
      </c>
      <c r="H1686" s="371">
        <v>6.2215490000000004</v>
      </c>
      <c r="I1686" s="289">
        <v>0.13669999999999999</v>
      </c>
      <c r="J1686" s="289">
        <v>0.1084</v>
      </c>
      <c r="K1686" s="288">
        <v>48.791513000000002</v>
      </c>
      <c r="L1686" s="324"/>
      <c r="M1686" s="399"/>
    </row>
    <row r="1687" spans="2:13" ht="17.25" thickBot="1">
      <c r="B1687" s="339" t="s">
        <v>464</v>
      </c>
      <c r="C1687" s="340"/>
      <c r="D1687" s="341" t="s">
        <v>465</v>
      </c>
      <c r="E1687" s="342">
        <f>AVERAGE(E1682:E1686)</f>
        <v>3.9020000000000001</v>
      </c>
      <c r="F1687" s="342">
        <f t="shared" ref="F1687:K1687" si="478">AVERAGE(F1682:F1686)</f>
        <v>5.3120000000000003</v>
      </c>
      <c r="G1687" s="342">
        <f t="shared" si="478"/>
        <v>4.2768113999999997</v>
      </c>
      <c r="H1687" s="342">
        <f t="shared" si="478"/>
        <v>6.2349265999999997</v>
      </c>
      <c r="I1687" s="343">
        <f t="shared" si="478"/>
        <v>0.13652000000000003</v>
      </c>
      <c r="J1687" s="343">
        <f t="shared" si="478"/>
        <v>0.10868</v>
      </c>
      <c r="K1687" s="342">
        <f t="shared" si="478"/>
        <v>48.877469199999993</v>
      </c>
      <c r="L1687" s="344"/>
      <c r="M1687" s="399"/>
    </row>
    <row r="1688" spans="2:13">
      <c r="B1688" s="333"/>
      <c r="C1688" s="345"/>
      <c r="D1688" s="291" t="s">
        <v>466</v>
      </c>
      <c r="E1688" s="346">
        <f>MEDIAN(E1658:E1662,E1664:E1668,E1670:E1674,E1676:E1680,E1682:E1686)</f>
        <v>3.9089999999999998</v>
      </c>
      <c r="F1688" s="346">
        <f t="shared" ref="F1688:K1688" si="479">MEDIAN(F1658:F1662,F1664:F1668,F1670:F1674,F1676:F1680,F1682:F1686)</f>
        <v>5.319</v>
      </c>
      <c r="G1688" s="346">
        <f t="shared" si="479"/>
        <v>4.2736869999999998</v>
      </c>
      <c r="H1688" s="346">
        <f t="shared" si="479"/>
        <v>6.2468029999999999</v>
      </c>
      <c r="I1688" s="347">
        <f t="shared" si="479"/>
        <v>0.13650000000000001</v>
      </c>
      <c r="J1688" s="347">
        <f t="shared" si="479"/>
        <v>0.1087</v>
      </c>
      <c r="K1688" s="348">
        <f t="shared" si="479"/>
        <v>48.927588999999998</v>
      </c>
      <c r="L1688" s="332"/>
      <c r="M1688" s="399"/>
    </row>
    <row r="1689" spans="2:13">
      <c r="B1689" s="335"/>
      <c r="C1689" s="320"/>
      <c r="D1689" s="299" t="s">
        <v>467</v>
      </c>
      <c r="E1689" s="349">
        <f>AVERAGE(E1658:E1662,E1664:E1668,E1670:E1674,E1676:E1680,E1682:E1686)</f>
        <v>3.90848</v>
      </c>
      <c r="F1689" s="349">
        <f t="shared" ref="F1689:K1689" si="480">AVERAGE(F1658:F1662,F1664:F1668,F1670:F1674,F1676:F1680,F1682:F1686)</f>
        <v>5.3147200000000012</v>
      </c>
      <c r="G1689" s="349">
        <f t="shared" si="480"/>
        <v>4.2719049599999996</v>
      </c>
      <c r="H1689" s="349">
        <f t="shared" si="480"/>
        <v>6.2448790400000034</v>
      </c>
      <c r="I1689" s="350">
        <f t="shared" si="480"/>
        <v>0.13658399999999998</v>
      </c>
      <c r="J1689" s="350">
        <f t="shared" si="480"/>
        <v>0.10847199999999999</v>
      </c>
      <c r="K1689" s="351">
        <f t="shared" si="480"/>
        <v>48.997171520000002</v>
      </c>
      <c r="L1689" s="321"/>
      <c r="M1689" s="399"/>
    </row>
    <row r="1690" spans="2:13">
      <c r="B1690" s="335"/>
      <c r="C1690" s="320"/>
      <c r="D1690" s="299" t="s">
        <v>199</v>
      </c>
      <c r="E1690" s="349">
        <f>MAX(E1658:E1662,E1664:E1668,E1670:E1674,E1676:E1680,E1682:E1686)</f>
        <v>3.9180000000000001</v>
      </c>
      <c r="F1690" s="349">
        <f t="shared" ref="F1690:K1690" si="481">MAX(F1658:F1662,F1664:F1668,F1670:F1674,F1676:F1680,F1682:F1686)</f>
        <v>5.3630000000000004</v>
      </c>
      <c r="G1690" s="349">
        <f t="shared" si="481"/>
        <v>4.3112450000000004</v>
      </c>
      <c r="H1690" s="349">
        <f t="shared" si="481"/>
        <v>6.2993800000000002</v>
      </c>
      <c r="I1690" s="350">
        <f t="shared" si="481"/>
        <v>0.13689999999999999</v>
      </c>
      <c r="J1690" s="350">
        <f t="shared" si="481"/>
        <v>0.10929999999999999</v>
      </c>
      <c r="K1690" s="351">
        <f t="shared" si="481"/>
        <v>49.618605000000002</v>
      </c>
      <c r="L1690" s="321"/>
      <c r="M1690" s="399"/>
    </row>
    <row r="1691" spans="2:13">
      <c r="B1691" s="335"/>
      <c r="C1691" s="320"/>
      <c r="D1691" s="299" t="s">
        <v>200</v>
      </c>
      <c r="E1691" s="349">
        <f>MIN(E1658:E1662,E1664:E1668,E1670:E1674,E1676:E1680,E1682:E1686)</f>
        <v>3.8959999999999999</v>
      </c>
      <c r="F1691" s="349">
        <f t="shared" ref="F1691:K1691" si="482">MIN(F1658:F1662,F1664:F1668,F1670:F1674,F1676:F1680,F1682:F1686)</f>
        <v>5.2519999999999998</v>
      </c>
      <c r="G1691" s="349">
        <f t="shared" si="482"/>
        <v>4.2263400000000004</v>
      </c>
      <c r="H1691" s="349">
        <f t="shared" si="482"/>
        <v>6.1922410000000001</v>
      </c>
      <c r="I1691" s="350">
        <f t="shared" si="482"/>
        <v>0.1363</v>
      </c>
      <c r="J1691" s="350">
        <f t="shared" si="482"/>
        <v>0.10730000000000001</v>
      </c>
      <c r="K1691" s="351">
        <f t="shared" si="482"/>
        <v>48.625115000000001</v>
      </c>
      <c r="L1691" s="321"/>
      <c r="M1691" s="399"/>
    </row>
    <row r="1692" spans="2:13">
      <c r="B1692" s="335"/>
      <c r="C1692" s="320"/>
      <c r="D1692" s="299" t="s">
        <v>201</v>
      </c>
      <c r="E1692" s="349">
        <f>E1690-E1691</f>
        <v>2.2000000000000242E-2</v>
      </c>
      <c r="F1692" s="349">
        <f t="shared" ref="F1692:K1692" si="483">F1690-F1691</f>
        <v>0.11100000000000065</v>
      </c>
      <c r="G1692" s="349">
        <f t="shared" si="483"/>
        <v>8.4905000000000008E-2</v>
      </c>
      <c r="H1692" s="349">
        <f t="shared" si="483"/>
        <v>0.1071390000000001</v>
      </c>
      <c r="I1692" s="350">
        <f t="shared" si="483"/>
        <v>5.9999999999998943E-4</v>
      </c>
      <c r="J1692" s="350">
        <f t="shared" si="483"/>
        <v>1.9999999999999879E-3</v>
      </c>
      <c r="K1692" s="349">
        <f t="shared" si="483"/>
        <v>0.99349000000000132</v>
      </c>
      <c r="L1692" s="321"/>
      <c r="M1692" s="399"/>
    </row>
    <row r="1693" spans="2:13" ht="17.25" thickBot="1">
      <c r="B1693" s="336"/>
      <c r="C1693" s="323"/>
      <c r="D1693" s="293" t="s">
        <v>202</v>
      </c>
      <c r="E1693" s="352">
        <f>STDEVA(E1658:E1662,E1664:E1668,E1670:E1674,E1676:E1680,E1682:E1686)</f>
        <v>5.409251334519475E-3</v>
      </c>
      <c r="F1693" s="352">
        <f t="shared" ref="F1693:K1693" si="484">STDEVA(F1658:F1662,F1664:F1668,F1670:F1674,F1676:F1680,F1682:F1686)</f>
        <v>2.7785667768353863E-2</v>
      </c>
      <c r="G1693" s="352">
        <f t="shared" si="484"/>
        <v>2.0659642535790963E-2</v>
      </c>
      <c r="H1693" s="352">
        <f t="shared" si="484"/>
        <v>2.9405495022869436E-2</v>
      </c>
      <c r="I1693" s="353">
        <f t="shared" si="484"/>
        <v>1.8636880997992473E-4</v>
      </c>
      <c r="J1693" s="353">
        <f t="shared" si="484"/>
        <v>6.2617888817813024E-4</v>
      </c>
      <c r="K1693" s="352">
        <f t="shared" si="484"/>
        <v>0.28470452432026211</v>
      </c>
      <c r="L1693" s="324"/>
      <c r="M1693" s="399"/>
    </row>
    <row r="1695" spans="2:13">
      <c r="B1695" s="240" t="s">
        <v>515</v>
      </c>
      <c r="C1695" s="240"/>
      <c r="E1695" s="240"/>
      <c r="F1695" s="240"/>
      <c r="G1695" s="240"/>
      <c r="H1695" s="240"/>
      <c r="I1695" s="240"/>
      <c r="J1695" s="240"/>
      <c r="K1695" s="240"/>
    </row>
    <row r="1696" spans="2:13" ht="17.25" thickBot="1">
      <c r="B1696" s="240" t="s">
        <v>469</v>
      </c>
      <c r="C1696" s="240"/>
      <c r="E1696" s="240"/>
      <c r="F1696" s="240"/>
      <c r="G1696" s="240"/>
      <c r="H1696" s="240"/>
      <c r="I1696" s="240"/>
      <c r="J1696" s="240"/>
      <c r="K1696" s="240"/>
    </row>
    <row r="1697" spans="2:13" ht="17.25" thickBot="1">
      <c r="B1697" s="313" t="s">
        <v>11</v>
      </c>
      <c r="C1697" s="250" t="s">
        <v>0</v>
      </c>
      <c r="D1697" s="250" t="s">
        <v>1</v>
      </c>
      <c r="E1697" s="250" t="s">
        <v>2</v>
      </c>
      <c r="F1697" s="250" t="s">
        <v>3</v>
      </c>
      <c r="G1697" s="250" t="s">
        <v>192</v>
      </c>
      <c r="H1697" s="250" t="s">
        <v>16</v>
      </c>
      <c r="I1697" s="250" t="s">
        <v>6</v>
      </c>
      <c r="J1697" s="251" t="s">
        <v>7</v>
      </c>
      <c r="K1697" s="252" t="s">
        <v>8</v>
      </c>
      <c r="L1697" s="254" t="s">
        <v>470</v>
      </c>
      <c r="M1697" s="404"/>
    </row>
    <row r="1698" spans="2:13">
      <c r="B1698" s="314">
        <v>1</v>
      </c>
      <c r="C1698" s="271" t="s">
        <v>394</v>
      </c>
      <c r="D1698" s="291" t="s">
        <v>213</v>
      </c>
      <c r="E1698" s="302">
        <v>3.89</v>
      </c>
      <c r="F1698" s="302">
        <v>5.2720000000000002</v>
      </c>
      <c r="G1698" s="302">
        <v>4.2577020000000001</v>
      </c>
      <c r="H1698" s="364">
        <v>6.1904139999999996</v>
      </c>
      <c r="I1698" s="287">
        <v>0.1368</v>
      </c>
      <c r="J1698" s="287">
        <v>0.1081</v>
      </c>
      <c r="K1698" s="286">
        <v>48.769658</v>
      </c>
      <c r="L1698" s="275"/>
      <c r="M1698" s="397"/>
    </row>
    <row r="1699" spans="2:13">
      <c r="B1699" s="315">
        <v>2</v>
      </c>
      <c r="C1699" s="316"/>
      <c r="D1699" s="299" t="s">
        <v>214</v>
      </c>
      <c r="E1699" s="304">
        <v>3.9009999999999998</v>
      </c>
      <c r="F1699" s="304">
        <v>5.2519999999999998</v>
      </c>
      <c r="G1699" s="304">
        <v>4.22959</v>
      </c>
      <c r="H1699" s="370">
        <v>6.1721690000000002</v>
      </c>
      <c r="I1699" s="301">
        <v>0.1368</v>
      </c>
      <c r="J1699" s="301">
        <v>0.1085</v>
      </c>
      <c r="K1699" s="300">
        <v>48.405529999999999</v>
      </c>
      <c r="L1699" s="319"/>
      <c r="M1699" s="398"/>
    </row>
    <row r="1700" spans="2:13">
      <c r="B1700" s="315">
        <v>3</v>
      </c>
      <c r="C1700" s="320"/>
      <c r="D1700" s="299" t="s">
        <v>217</v>
      </c>
      <c r="E1700" s="304">
        <v>3.907</v>
      </c>
      <c r="F1700" s="304">
        <v>5.2839999999999998</v>
      </c>
      <c r="G1700" s="304">
        <v>4.2488260000000002</v>
      </c>
      <c r="H1700" s="370">
        <v>6.1893649999999996</v>
      </c>
      <c r="I1700" s="301">
        <v>0.13669999999999999</v>
      </c>
      <c r="J1700" s="301">
        <v>0.1086</v>
      </c>
      <c r="K1700" s="300">
        <v>48.655616999999999</v>
      </c>
      <c r="L1700" s="356"/>
      <c r="M1700" s="400"/>
    </row>
    <row r="1701" spans="2:13">
      <c r="B1701" s="315">
        <v>4</v>
      </c>
      <c r="C1701" s="320"/>
      <c r="D1701" s="299" t="s">
        <v>218</v>
      </c>
      <c r="E1701" s="304">
        <v>3.907</v>
      </c>
      <c r="F1701" s="304">
        <v>5.29</v>
      </c>
      <c r="G1701" s="304">
        <v>4.2536500000000004</v>
      </c>
      <c r="H1701" s="370">
        <v>6.1959669999999996</v>
      </c>
      <c r="I1701" s="301">
        <v>0.13669999999999999</v>
      </c>
      <c r="J1701" s="301">
        <v>0.1086</v>
      </c>
      <c r="K1701" s="300">
        <v>48.710866000000003</v>
      </c>
      <c r="L1701" s="356"/>
      <c r="M1701" s="400"/>
    </row>
    <row r="1702" spans="2:13" ht="17.25" thickBot="1">
      <c r="B1702" s="322">
        <v>5</v>
      </c>
      <c r="C1702" s="323"/>
      <c r="D1702" s="293" t="s">
        <v>240</v>
      </c>
      <c r="E1702" s="371">
        <v>3.9039999999999999</v>
      </c>
      <c r="F1702" s="371">
        <v>5.2859999999999996</v>
      </c>
      <c r="G1702" s="371">
        <v>4.2537000000000003</v>
      </c>
      <c r="H1702" s="372">
        <v>6.2071449999999997</v>
      </c>
      <c r="I1702" s="289">
        <v>0.1368</v>
      </c>
      <c r="J1702" s="289">
        <v>0.10829999999999999</v>
      </c>
      <c r="K1702" s="288">
        <v>48.808864</v>
      </c>
      <c r="L1702" s="324"/>
      <c r="M1702" s="399"/>
    </row>
    <row r="1703" spans="2:13" ht="17.25" thickBot="1">
      <c r="B1703" s="325"/>
      <c r="C1703" s="326"/>
      <c r="D1703" s="327" t="s">
        <v>463</v>
      </c>
      <c r="E1703" s="328">
        <f>AVERAGE(E1698:E1702)</f>
        <v>3.9018000000000002</v>
      </c>
      <c r="F1703" s="328">
        <f t="shared" ref="F1703:K1703" si="485">AVERAGE(F1698:F1702)</f>
        <v>5.2767999999999997</v>
      </c>
      <c r="G1703" s="328">
        <f t="shared" si="485"/>
        <v>4.2486936000000002</v>
      </c>
      <c r="H1703" s="373">
        <f t="shared" si="485"/>
        <v>6.1910119999999997</v>
      </c>
      <c r="I1703" s="329">
        <f t="shared" si="485"/>
        <v>0.13675999999999999</v>
      </c>
      <c r="J1703" s="329">
        <f t="shared" si="485"/>
        <v>0.10842</v>
      </c>
      <c r="K1703" s="330">
        <f t="shared" si="485"/>
        <v>48.670107000000002</v>
      </c>
      <c r="L1703" s="331"/>
      <c r="M1703" s="399"/>
    </row>
    <row r="1704" spans="2:13">
      <c r="B1704" s="314">
        <v>6</v>
      </c>
      <c r="C1704" s="271" t="s">
        <v>395</v>
      </c>
      <c r="D1704" s="291" t="s">
        <v>241</v>
      </c>
      <c r="E1704" s="302">
        <v>3.9129999999999998</v>
      </c>
      <c r="F1704" s="302">
        <v>5.468</v>
      </c>
      <c r="G1704" s="302">
        <v>4.3900370000000004</v>
      </c>
      <c r="H1704" s="364">
        <v>6.3309740000000003</v>
      </c>
      <c r="I1704" s="287">
        <v>0.13600000000000001</v>
      </c>
      <c r="J1704" s="287">
        <v>0.1109</v>
      </c>
      <c r="K1704" s="286">
        <v>49.305681</v>
      </c>
      <c r="L1704" s="332"/>
      <c r="M1704" s="399"/>
    </row>
    <row r="1705" spans="2:13">
      <c r="B1705" s="315">
        <v>7</v>
      </c>
      <c r="C1705" s="320"/>
      <c r="D1705" s="299" t="s">
        <v>242</v>
      </c>
      <c r="E1705" s="304">
        <v>3.92</v>
      </c>
      <c r="F1705" s="304">
        <v>5.4710000000000001</v>
      </c>
      <c r="G1705" s="304">
        <v>4.3846020000000001</v>
      </c>
      <c r="H1705" s="370">
        <v>6.322673</v>
      </c>
      <c r="I1705" s="301">
        <v>0.13589999999999999</v>
      </c>
      <c r="J1705" s="301">
        <v>0.1113</v>
      </c>
      <c r="K1705" s="300">
        <v>49.155436000000002</v>
      </c>
      <c r="L1705" s="321"/>
      <c r="M1705" s="399"/>
    </row>
    <row r="1706" spans="2:13">
      <c r="B1706" s="315">
        <v>8</v>
      </c>
      <c r="C1706" s="320"/>
      <c r="D1706" s="299" t="s">
        <v>222</v>
      </c>
      <c r="E1706" s="304">
        <v>3.923</v>
      </c>
      <c r="F1706" s="304">
        <v>5.4720000000000004</v>
      </c>
      <c r="G1706" s="304">
        <v>4.3820499999999996</v>
      </c>
      <c r="H1706" s="370">
        <v>6.3150190000000004</v>
      </c>
      <c r="I1706" s="301">
        <v>0.1358</v>
      </c>
      <c r="J1706" s="301">
        <v>0.1115</v>
      </c>
      <c r="K1706" s="300">
        <v>49.076233000000002</v>
      </c>
      <c r="L1706" s="321"/>
      <c r="M1706" s="399"/>
    </row>
    <row r="1707" spans="2:13">
      <c r="B1707" s="315">
        <v>9</v>
      </c>
      <c r="C1707" s="320"/>
      <c r="D1707" s="299" t="s">
        <v>223</v>
      </c>
      <c r="E1707" s="304">
        <v>3.9220000000000002</v>
      </c>
      <c r="F1707" s="304">
        <v>5.4710000000000001</v>
      </c>
      <c r="G1707" s="304">
        <v>4.3823660000000002</v>
      </c>
      <c r="H1707" s="370">
        <v>6.3114619999999997</v>
      </c>
      <c r="I1707" s="301">
        <v>0.1358</v>
      </c>
      <c r="J1707" s="301">
        <v>0.1114</v>
      </c>
      <c r="K1707" s="300">
        <v>49.111311000000001</v>
      </c>
      <c r="L1707" s="321"/>
      <c r="M1707" s="399"/>
    </row>
    <row r="1708" spans="2:13" ht="17.25" thickBot="1">
      <c r="B1708" s="322">
        <v>10</v>
      </c>
      <c r="C1708" s="323"/>
      <c r="D1708" s="293" t="s">
        <v>243</v>
      </c>
      <c r="E1708" s="371">
        <v>3.919</v>
      </c>
      <c r="F1708" s="371">
        <v>5.468</v>
      </c>
      <c r="G1708" s="371">
        <v>4.3833159999999998</v>
      </c>
      <c r="H1708" s="372">
        <v>6.3271790000000001</v>
      </c>
      <c r="I1708" s="289">
        <v>0.13589999999999999</v>
      </c>
      <c r="J1708" s="289">
        <v>0.1111</v>
      </c>
      <c r="K1708" s="288">
        <v>49.216921999999997</v>
      </c>
      <c r="L1708" s="324"/>
      <c r="M1708" s="399"/>
    </row>
    <row r="1709" spans="2:13" ht="17.25" thickBot="1">
      <c r="B1709" s="325" t="s">
        <v>464</v>
      </c>
      <c r="C1709" s="326"/>
      <c r="D1709" s="327" t="s">
        <v>463</v>
      </c>
      <c r="E1709" s="328">
        <f t="shared" ref="E1709:K1709" si="486">AVERAGE(E1704:E1708)</f>
        <v>3.9194000000000004</v>
      </c>
      <c r="F1709" s="328">
        <f t="shared" si="486"/>
        <v>5.4700000000000006</v>
      </c>
      <c r="G1709" s="328">
        <f t="shared" si="486"/>
        <v>4.3844742000000005</v>
      </c>
      <c r="H1709" s="373">
        <f t="shared" si="486"/>
        <v>6.3214613999999996</v>
      </c>
      <c r="I1709" s="329">
        <f t="shared" si="486"/>
        <v>0.13588000000000003</v>
      </c>
      <c r="J1709" s="329">
        <f t="shared" si="486"/>
        <v>0.11124000000000001</v>
      </c>
      <c r="K1709" s="330">
        <f t="shared" si="486"/>
        <v>49.1731166</v>
      </c>
      <c r="L1709" s="331"/>
      <c r="M1709" s="399"/>
    </row>
    <row r="1710" spans="2:13">
      <c r="B1710" s="333">
        <v>11</v>
      </c>
      <c r="C1710" s="271" t="s">
        <v>409</v>
      </c>
      <c r="D1710" s="291" t="s">
        <v>244</v>
      </c>
      <c r="E1710" s="302">
        <v>3.8919999999999999</v>
      </c>
      <c r="F1710" s="302">
        <v>5.1950000000000003</v>
      </c>
      <c r="G1710" s="302">
        <v>4.1933610000000003</v>
      </c>
      <c r="H1710" s="302">
        <v>6.0837589999999997</v>
      </c>
      <c r="I1710" s="287">
        <v>0.13700000000000001</v>
      </c>
      <c r="J1710" s="287">
        <v>0.1084</v>
      </c>
      <c r="K1710" s="286">
        <v>47.924354000000001</v>
      </c>
      <c r="L1710" s="332"/>
      <c r="M1710" s="399"/>
    </row>
    <row r="1711" spans="2:13">
      <c r="B1711" s="335">
        <v>12</v>
      </c>
      <c r="C1711" s="316"/>
      <c r="D1711" s="299" t="s">
        <v>245</v>
      </c>
      <c r="E1711" s="304">
        <v>3.8980000000000001</v>
      </c>
      <c r="F1711" s="304">
        <v>5.1849999999999996</v>
      </c>
      <c r="G1711" s="304">
        <v>4.1788470000000002</v>
      </c>
      <c r="H1711" s="304">
        <v>6.0811060000000001</v>
      </c>
      <c r="I1711" s="301">
        <v>0.1368</v>
      </c>
      <c r="J1711" s="301">
        <v>0.1087</v>
      </c>
      <c r="K1711" s="300">
        <v>47.700091999999998</v>
      </c>
      <c r="L1711" s="321"/>
      <c r="M1711" s="399"/>
    </row>
    <row r="1712" spans="2:13">
      <c r="B1712" s="335">
        <v>13</v>
      </c>
      <c r="C1712" s="320"/>
      <c r="D1712" s="299" t="s">
        <v>227</v>
      </c>
      <c r="E1712" s="304">
        <v>3.9</v>
      </c>
      <c r="F1712" s="304">
        <v>5.1829999999999998</v>
      </c>
      <c r="G1712" s="304">
        <v>4.1750930000000004</v>
      </c>
      <c r="H1712" s="304">
        <v>6.0856640000000004</v>
      </c>
      <c r="I1712" s="301">
        <v>0.1368</v>
      </c>
      <c r="J1712" s="301">
        <v>0.10879999999999999</v>
      </c>
      <c r="K1712" s="300">
        <v>47.637867999999997</v>
      </c>
      <c r="L1712" s="321"/>
      <c r="M1712" s="399"/>
    </row>
    <row r="1713" spans="2:13">
      <c r="B1713" s="335">
        <v>14</v>
      </c>
      <c r="C1713" s="320"/>
      <c r="D1713" s="299" t="s">
        <v>228</v>
      </c>
      <c r="E1713" s="304">
        <v>3.9009999999999998</v>
      </c>
      <c r="F1713" s="304">
        <v>5.1909999999999998</v>
      </c>
      <c r="G1713" s="304">
        <v>4.1804649999999999</v>
      </c>
      <c r="H1713" s="304">
        <v>6.0714560000000004</v>
      </c>
      <c r="I1713" s="301">
        <v>0.1368</v>
      </c>
      <c r="J1713" s="301">
        <v>0.10879999999999999</v>
      </c>
      <c r="K1713" s="300">
        <v>47.711396999999998</v>
      </c>
      <c r="L1713" s="321"/>
      <c r="M1713" s="399"/>
    </row>
    <row r="1714" spans="2:13" ht="17.25" thickBot="1">
      <c r="B1714" s="336">
        <v>15</v>
      </c>
      <c r="C1714" s="323"/>
      <c r="D1714" s="293" t="s">
        <v>246</v>
      </c>
      <c r="E1714" s="371">
        <v>3.8980000000000001</v>
      </c>
      <c r="F1714" s="371">
        <v>5.1920000000000002</v>
      </c>
      <c r="G1714" s="371">
        <v>4.184488</v>
      </c>
      <c r="H1714" s="371">
        <v>6.0774949999999999</v>
      </c>
      <c r="I1714" s="289">
        <v>0.13689999999999999</v>
      </c>
      <c r="J1714" s="289">
        <v>0.1085</v>
      </c>
      <c r="K1714" s="288">
        <v>47.852535000000003</v>
      </c>
      <c r="L1714" s="324"/>
      <c r="M1714" s="399"/>
    </row>
    <row r="1715" spans="2:13" ht="17.25" thickBot="1">
      <c r="B1715" s="337"/>
      <c r="C1715" s="326"/>
      <c r="D1715" s="327" t="s">
        <v>463</v>
      </c>
      <c r="E1715" s="328">
        <f>AVERAGE(E1710:E1714)</f>
        <v>3.8978000000000002</v>
      </c>
      <c r="F1715" s="328">
        <f t="shared" ref="F1715:K1715" si="487">AVERAGE(F1710:F1714)</f>
        <v>5.1891999999999996</v>
      </c>
      <c r="G1715" s="328">
        <f t="shared" si="487"/>
        <v>4.1824508000000007</v>
      </c>
      <c r="H1715" s="328">
        <f t="shared" si="487"/>
        <v>6.0798959999999997</v>
      </c>
      <c r="I1715" s="329">
        <f t="shared" si="487"/>
        <v>0.13686000000000004</v>
      </c>
      <c r="J1715" s="329">
        <f t="shared" si="487"/>
        <v>0.10864</v>
      </c>
      <c r="K1715" s="330">
        <f t="shared" si="487"/>
        <v>47.765249200000007</v>
      </c>
      <c r="L1715" s="331"/>
      <c r="M1715" s="399"/>
    </row>
    <row r="1716" spans="2:13">
      <c r="B1716" s="333">
        <v>16</v>
      </c>
      <c r="C1716" s="271" t="s">
        <v>396</v>
      </c>
      <c r="D1716" s="291" t="s">
        <v>247</v>
      </c>
      <c r="E1716" s="302">
        <v>3.9039999999999999</v>
      </c>
      <c r="F1716" s="302">
        <v>5.4260000000000002</v>
      </c>
      <c r="G1716" s="302">
        <v>4.3663590000000001</v>
      </c>
      <c r="H1716" s="302">
        <v>6.3018380000000001</v>
      </c>
      <c r="I1716" s="287">
        <v>0.13600000000000001</v>
      </c>
      <c r="J1716" s="287">
        <v>0.1106</v>
      </c>
      <c r="K1716" s="286">
        <v>49.059674999999999</v>
      </c>
      <c r="L1716" s="359"/>
      <c r="M1716" s="401"/>
    </row>
    <row r="1717" spans="2:13">
      <c r="B1717" s="335">
        <v>17</v>
      </c>
      <c r="C1717" s="320"/>
      <c r="D1717" s="299" t="s">
        <v>248</v>
      </c>
      <c r="E1717" s="304">
        <v>3.9119999999999999</v>
      </c>
      <c r="F1717" s="304">
        <v>5.4329999999999998</v>
      </c>
      <c r="G1717" s="304">
        <v>4.3630519999999997</v>
      </c>
      <c r="H1717" s="304">
        <v>6.2906930000000001</v>
      </c>
      <c r="I1717" s="301">
        <v>0.13600000000000001</v>
      </c>
      <c r="J1717" s="301">
        <v>0.111</v>
      </c>
      <c r="K1717" s="300">
        <v>48.945945999999999</v>
      </c>
      <c r="L1717" s="321"/>
      <c r="M1717" s="399"/>
    </row>
    <row r="1718" spans="2:13">
      <c r="B1718" s="335">
        <v>18</v>
      </c>
      <c r="C1718" s="320"/>
      <c r="D1718" s="299" t="s">
        <v>232</v>
      </c>
      <c r="E1718" s="304">
        <v>3.9140000000000001</v>
      </c>
      <c r="F1718" s="304">
        <v>5.431</v>
      </c>
      <c r="G1718" s="304">
        <v>4.3592170000000001</v>
      </c>
      <c r="H1718" s="304">
        <v>6.2766289999999998</v>
      </c>
      <c r="I1718" s="301">
        <v>0.13589999999999999</v>
      </c>
      <c r="J1718" s="301">
        <v>0.1111</v>
      </c>
      <c r="K1718" s="300">
        <v>48.883887999999999</v>
      </c>
      <c r="L1718" s="321"/>
      <c r="M1718" s="399"/>
    </row>
    <row r="1719" spans="2:13">
      <c r="B1719" s="335">
        <v>19</v>
      </c>
      <c r="C1719" s="320"/>
      <c r="D1719" s="299" t="s">
        <v>233</v>
      </c>
      <c r="E1719" s="304">
        <v>3.915</v>
      </c>
      <c r="F1719" s="304">
        <v>5.431</v>
      </c>
      <c r="G1719" s="304">
        <v>4.358104</v>
      </c>
      <c r="H1719" s="304">
        <v>6.2777770000000004</v>
      </c>
      <c r="I1719" s="301">
        <v>0.13589999999999999</v>
      </c>
      <c r="J1719" s="301">
        <v>0.11119999999999999</v>
      </c>
      <c r="K1719" s="300">
        <v>48.839928</v>
      </c>
      <c r="L1719" s="321"/>
      <c r="M1719" s="399"/>
    </row>
    <row r="1720" spans="2:13" ht="17.25" thickBot="1">
      <c r="B1720" s="336">
        <v>20</v>
      </c>
      <c r="C1720" s="323"/>
      <c r="D1720" s="293" t="s">
        <v>249</v>
      </c>
      <c r="E1720" s="371">
        <v>3.911</v>
      </c>
      <c r="F1720" s="371">
        <v>5.4349999999999996</v>
      </c>
      <c r="G1720" s="371">
        <v>4.365774</v>
      </c>
      <c r="H1720" s="371">
        <v>6.299213</v>
      </c>
      <c r="I1720" s="289">
        <v>0.13600000000000001</v>
      </c>
      <c r="J1720" s="289">
        <v>0.1109</v>
      </c>
      <c r="K1720" s="288">
        <v>49.008114999999997</v>
      </c>
      <c r="L1720" s="324"/>
      <c r="M1720" s="399"/>
    </row>
    <row r="1721" spans="2:13" ht="17.25" thickBot="1">
      <c r="B1721" s="337"/>
      <c r="C1721" s="326"/>
      <c r="D1721" s="327" t="s">
        <v>463</v>
      </c>
      <c r="E1721" s="328">
        <f>AVERAGE(E1716:E1720)</f>
        <v>3.9112</v>
      </c>
      <c r="F1721" s="328">
        <f t="shared" ref="F1721:K1721" si="488">AVERAGE(F1716:F1720)</f>
        <v>5.4311999999999996</v>
      </c>
      <c r="G1721" s="328">
        <f t="shared" si="488"/>
        <v>4.3625011999999996</v>
      </c>
      <c r="H1721" s="328">
        <f t="shared" si="488"/>
        <v>6.2892300000000008</v>
      </c>
      <c r="I1721" s="329">
        <f t="shared" si="488"/>
        <v>0.13596000000000003</v>
      </c>
      <c r="J1721" s="329">
        <f t="shared" si="488"/>
        <v>0.11095999999999999</v>
      </c>
      <c r="K1721" s="328">
        <f t="shared" si="488"/>
        <v>48.947510399999992</v>
      </c>
      <c r="L1721" s="331"/>
      <c r="M1721" s="399"/>
    </row>
    <row r="1722" spans="2:13">
      <c r="B1722" s="333">
        <v>21</v>
      </c>
      <c r="C1722" s="271" t="s">
        <v>396</v>
      </c>
      <c r="D1722" s="291" t="s">
        <v>250</v>
      </c>
      <c r="E1722" s="302">
        <v>3.8959999999999999</v>
      </c>
      <c r="F1722" s="302">
        <v>5.3959999999999999</v>
      </c>
      <c r="G1722" s="302">
        <v>4.3511340000000001</v>
      </c>
      <c r="H1722" s="302">
        <v>6.2833949999999996</v>
      </c>
      <c r="I1722" s="287">
        <v>0.13619999999999999</v>
      </c>
      <c r="J1722" s="287">
        <v>0.1101</v>
      </c>
      <c r="K1722" s="286">
        <v>49.009990999999999</v>
      </c>
      <c r="L1722" s="332"/>
      <c r="M1722" s="399"/>
    </row>
    <row r="1723" spans="2:13">
      <c r="B1723" s="335">
        <v>22</v>
      </c>
      <c r="C1723" s="320"/>
      <c r="D1723" s="299" t="s">
        <v>251</v>
      </c>
      <c r="E1723" s="304">
        <v>3.903</v>
      </c>
      <c r="F1723" s="304">
        <v>5.4009999999999998</v>
      </c>
      <c r="G1723" s="304">
        <v>4.3473550000000003</v>
      </c>
      <c r="H1723" s="304">
        <v>6.2745839999999999</v>
      </c>
      <c r="I1723" s="301">
        <v>0.1361</v>
      </c>
      <c r="J1723" s="301">
        <v>0.1105</v>
      </c>
      <c r="K1723" s="300">
        <v>48.877828000000001</v>
      </c>
      <c r="L1723" s="321"/>
      <c r="M1723" s="399"/>
    </row>
    <row r="1724" spans="2:13">
      <c r="B1724" s="335">
        <v>23</v>
      </c>
      <c r="C1724" s="320"/>
      <c r="D1724" s="299" t="s">
        <v>237</v>
      </c>
      <c r="E1724" s="304">
        <v>3.907</v>
      </c>
      <c r="F1724" s="304">
        <v>5.4050000000000002</v>
      </c>
      <c r="G1724" s="304">
        <v>4.3461210000000001</v>
      </c>
      <c r="H1724" s="304">
        <v>6.2694169999999998</v>
      </c>
      <c r="I1724" s="301">
        <v>0.13600000000000001</v>
      </c>
      <c r="J1724" s="301">
        <v>0.1106</v>
      </c>
      <c r="K1724" s="300">
        <v>48.869801000000002</v>
      </c>
      <c r="L1724" s="321"/>
      <c r="M1724" s="399"/>
    </row>
    <row r="1725" spans="2:13">
      <c r="B1725" s="335">
        <v>24</v>
      </c>
      <c r="C1725" s="320"/>
      <c r="D1725" s="299" t="s">
        <v>238</v>
      </c>
      <c r="E1725" s="304">
        <v>3.9060000000000001</v>
      </c>
      <c r="F1725" s="304">
        <v>5.3849999999999998</v>
      </c>
      <c r="G1725" s="304">
        <v>4.3311479999999998</v>
      </c>
      <c r="H1725" s="304">
        <v>6.2565270000000002</v>
      </c>
      <c r="I1725" s="301">
        <v>0.1361</v>
      </c>
      <c r="J1725" s="301">
        <v>0.1105</v>
      </c>
      <c r="K1725" s="300">
        <v>48.733032000000001</v>
      </c>
      <c r="L1725" s="321"/>
      <c r="M1725" s="399"/>
    </row>
    <row r="1726" spans="2:13" ht="17.25" thickBot="1">
      <c r="B1726" s="336">
        <v>25</v>
      </c>
      <c r="C1726" s="323"/>
      <c r="D1726" s="293" t="s">
        <v>252</v>
      </c>
      <c r="E1726" s="371">
        <v>3.9020000000000001</v>
      </c>
      <c r="F1726" s="371">
        <v>5.4059999999999997</v>
      </c>
      <c r="G1726" s="371">
        <v>4.3524950000000002</v>
      </c>
      <c r="H1726" s="371">
        <v>6.2911260000000002</v>
      </c>
      <c r="I1726" s="289">
        <v>0.13600000000000001</v>
      </c>
      <c r="J1726" s="289">
        <v>0.11020000000000001</v>
      </c>
      <c r="K1726" s="288">
        <v>49.056260999999999</v>
      </c>
      <c r="L1726" s="324"/>
      <c r="M1726" s="399"/>
    </row>
    <row r="1727" spans="2:13" ht="17.25" thickBot="1">
      <c r="B1727" s="339" t="s">
        <v>464</v>
      </c>
      <c r="C1727" s="340"/>
      <c r="D1727" s="341" t="s">
        <v>465</v>
      </c>
      <c r="E1727" s="342">
        <f>AVERAGE(E1722:E1726)</f>
        <v>3.9028</v>
      </c>
      <c r="F1727" s="342">
        <f t="shared" ref="F1727:K1727" si="489">AVERAGE(F1722:F1726)</f>
        <v>5.3986000000000001</v>
      </c>
      <c r="G1727" s="342">
        <f t="shared" si="489"/>
        <v>4.3456506000000008</v>
      </c>
      <c r="H1727" s="342">
        <f t="shared" si="489"/>
        <v>6.2750097999999994</v>
      </c>
      <c r="I1727" s="343">
        <f t="shared" si="489"/>
        <v>0.13608000000000001</v>
      </c>
      <c r="J1727" s="343">
        <f t="shared" si="489"/>
        <v>0.11038000000000001</v>
      </c>
      <c r="K1727" s="342">
        <f t="shared" si="489"/>
        <v>48.909382600000001</v>
      </c>
      <c r="L1727" s="344"/>
      <c r="M1727" s="399"/>
    </row>
    <row r="1728" spans="2:13">
      <c r="B1728" s="333"/>
      <c r="C1728" s="345"/>
      <c r="D1728" s="291" t="s">
        <v>466</v>
      </c>
      <c r="E1728" s="346">
        <f>MEDIAN(E1698:E1702,E1704:E1708,E1710:E1714,E1716:E1720,E1722:E1726)</f>
        <v>3.9060000000000001</v>
      </c>
      <c r="F1728" s="346">
        <f t="shared" ref="F1728:K1728" si="490">MEDIAN(F1698:F1702,F1704:F1708,F1710:F1714,F1716:F1720,F1722:F1726)</f>
        <v>5.4009999999999998</v>
      </c>
      <c r="G1728" s="346">
        <f t="shared" si="490"/>
        <v>4.3473550000000003</v>
      </c>
      <c r="H1728" s="346">
        <f t="shared" si="490"/>
        <v>6.2745839999999999</v>
      </c>
      <c r="I1728" s="347">
        <f t="shared" si="490"/>
        <v>0.1361</v>
      </c>
      <c r="J1728" s="347">
        <f t="shared" si="490"/>
        <v>0.1105</v>
      </c>
      <c r="K1728" s="348">
        <f t="shared" si="490"/>
        <v>48.869801000000002</v>
      </c>
      <c r="L1728" s="332"/>
      <c r="M1728" s="399"/>
    </row>
    <row r="1729" spans="2:23">
      <c r="B1729" s="335"/>
      <c r="C1729" s="320"/>
      <c r="D1729" s="299" t="s">
        <v>467</v>
      </c>
      <c r="E1729" s="349">
        <f>AVERAGE(E1698:E1702,E1704:E1708,E1710:E1714,E1716:E1720,E1722:E1726)</f>
        <v>3.9066000000000014</v>
      </c>
      <c r="F1729" s="349">
        <f t="shared" ref="F1729:K1729" si="491">AVERAGE(F1698:F1702,F1704:F1708,F1710:F1714,F1716:F1720,F1722:F1726)</f>
        <v>5.3531599999999999</v>
      </c>
      <c r="G1729" s="349">
        <f t="shared" si="491"/>
        <v>4.3047540800000004</v>
      </c>
      <c r="H1729" s="349">
        <f t="shared" si="491"/>
        <v>6.2313218400000006</v>
      </c>
      <c r="I1729" s="350">
        <f t="shared" si="491"/>
        <v>0.13630800000000001</v>
      </c>
      <c r="J1729" s="350">
        <f t="shared" si="491"/>
        <v>0.10992800000000001</v>
      </c>
      <c r="K1729" s="351">
        <f t="shared" si="491"/>
        <v>48.693073160000004</v>
      </c>
      <c r="L1729" s="321"/>
      <c r="M1729" s="399"/>
    </row>
    <row r="1730" spans="2:23">
      <c r="B1730" s="335"/>
      <c r="C1730" s="320"/>
      <c r="D1730" s="299" t="s">
        <v>199</v>
      </c>
      <c r="E1730" s="349">
        <f>MAX(E1698:E1702,E1704:E1708,E1710:E1714,E1716:E1720,E1722:E1726)</f>
        <v>3.923</v>
      </c>
      <c r="F1730" s="349">
        <f t="shared" ref="F1730:K1730" si="492">MAX(F1698:F1702,F1704:F1708,F1710:F1714,F1716:F1720,F1722:F1726)</f>
        <v>5.4720000000000004</v>
      </c>
      <c r="G1730" s="349">
        <f t="shared" si="492"/>
        <v>4.3900370000000004</v>
      </c>
      <c r="H1730" s="349">
        <f t="shared" si="492"/>
        <v>6.3309740000000003</v>
      </c>
      <c r="I1730" s="350">
        <f t="shared" si="492"/>
        <v>0.13700000000000001</v>
      </c>
      <c r="J1730" s="350">
        <f t="shared" si="492"/>
        <v>0.1115</v>
      </c>
      <c r="K1730" s="351">
        <f t="shared" si="492"/>
        <v>49.305681</v>
      </c>
      <c r="L1730" s="321"/>
      <c r="M1730" s="399"/>
    </row>
    <row r="1731" spans="2:23">
      <c r="B1731" s="335"/>
      <c r="C1731" s="320"/>
      <c r="D1731" s="299" t="s">
        <v>200</v>
      </c>
      <c r="E1731" s="349">
        <f>MIN(E1698:E1702,E1704:E1708,E1710:E1714,E1716:E1720,E1722:E1726)</f>
        <v>3.89</v>
      </c>
      <c r="F1731" s="349">
        <f t="shared" ref="F1731:K1731" si="493">MIN(F1698:F1702,F1704:F1708,F1710:F1714,F1716:F1720,F1722:F1726)</f>
        <v>5.1829999999999998</v>
      </c>
      <c r="G1731" s="349">
        <f t="shared" si="493"/>
        <v>4.1750930000000004</v>
      </c>
      <c r="H1731" s="349">
        <f t="shared" si="493"/>
        <v>6.0714560000000004</v>
      </c>
      <c r="I1731" s="350">
        <f t="shared" si="493"/>
        <v>0.1358</v>
      </c>
      <c r="J1731" s="350">
        <f t="shared" si="493"/>
        <v>0.1081</v>
      </c>
      <c r="K1731" s="351">
        <f t="shared" si="493"/>
        <v>47.637867999999997</v>
      </c>
      <c r="L1731" s="321"/>
      <c r="M1731" s="399"/>
    </row>
    <row r="1732" spans="2:23">
      <c r="B1732" s="335"/>
      <c r="C1732" s="320"/>
      <c r="D1732" s="299" t="s">
        <v>201</v>
      </c>
      <c r="E1732" s="349">
        <f>E1730-E1731</f>
        <v>3.2999999999999918E-2</v>
      </c>
      <c r="F1732" s="349">
        <f t="shared" ref="F1732:K1732" si="494">F1730-F1731</f>
        <v>0.28900000000000059</v>
      </c>
      <c r="G1732" s="349">
        <f t="shared" si="494"/>
        <v>0.21494400000000002</v>
      </c>
      <c r="H1732" s="349">
        <f t="shared" si="494"/>
        <v>0.25951799999999992</v>
      </c>
      <c r="I1732" s="350">
        <f t="shared" si="494"/>
        <v>1.2000000000000066E-3</v>
      </c>
      <c r="J1732" s="350">
        <f t="shared" si="494"/>
        <v>3.4000000000000002E-3</v>
      </c>
      <c r="K1732" s="349">
        <f t="shared" si="494"/>
        <v>1.6678130000000024</v>
      </c>
      <c r="L1732" s="321"/>
      <c r="M1732" s="399"/>
    </row>
    <row r="1733" spans="2:23" ht="17.25" thickBot="1">
      <c r="B1733" s="336"/>
      <c r="C1733" s="323"/>
      <c r="D1733" s="293" t="s">
        <v>202</v>
      </c>
      <c r="E1733" s="352">
        <f>STDEVA(E1698:E1702,E1704:E1708,E1710:E1714,E1716:E1720,E1722:E1726)</f>
        <v>9.0323492698928323E-3</v>
      </c>
      <c r="F1733" s="352">
        <f t="shared" ref="F1733:K1733" si="495">STDEVA(F1698:F1702,F1704:F1708,F1710:F1714,F1716:F1720,F1722:F1726)</f>
        <v>0.1068494579615015</v>
      </c>
      <c r="G1733" s="352">
        <f t="shared" si="495"/>
        <v>7.8633145236238156E-2</v>
      </c>
      <c r="H1733" s="352">
        <f t="shared" si="495"/>
        <v>8.9442391655970385E-2</v>
      </c>
      <c r="I1733" s="353">
        <f t="shared" si="495"/>
        <v>4.3003875794320363E-4</v>
      </c>
      <c r="J1733" s="353">
        <f t="shared" si="495"/>
        <v>1.2174152947946738E-3</v>
      </c>
      <c r="K1733" s="352">
        <f t="shared" si="495"/>
        <v>0.51252479383478633</v>
      </c>
      <c r="L1733" s="324"/>
      <c r="M1733" s="399"/>
    </row>
    <row r="1735" spans="2:23">
      <c r="B1735" s="240" t="s">
        <v>516</v>
      </c>
      <c r="C1735" s="240"/>
      <c r="E1735" s="240"/>
      <c r="F1735" s="240"/>
      <c r="G1735" s="240"/>
      <c r="H1735" s="240"/>
      <c r="I1735" s="240"/>
      <c r="J1735" s="240"/>
      <c r="K1735" s="240"/>
    </row>
    <row r="1736" spans="2:23" ht="17.25" thickBot="1">
      <c r="B1736" s="240" t="s">
        <v>469</v>
      </c>
      <c r="C1736" s="240"/>
      <c r="E1736" s="240"/>
      <c r="F1736" s="240"/>
      <c r="G1736" s="240"/>
      <c r="H1736" s="240"/>
      <c r="I1736" s="240"/>
      <c r="J1736" s="240"/>
      <c r="K1736" s="240"/>
    </row>
    <row r="1737" spans="2:23" ht="17.25" thickBot="1">
      <c r="B1737" s="313" t="s">
        <v>11</v>
      </c>
      <c r="C1737" s="250" t="s">
        <v>0</v>
      </c>
      <c r="D1737" s="250" t="s">
        <v>1</v>
      </c>
      <c r="E1737" s="250" t="s">
        <v>2</v>
      </c>
      <c r="F1737" s="250" t="s">
        <v>3</v>
      </c>
      <c r="G1737" s="250" t="s">
        <v>192</v>
      </c>
      <c r="H1737" s="250" t="s">
        <v>16</v>
      </c>
      <c r="I1737" s="250" t="s">
        <v>6</v>
      </c>
      <c r="J1737" s="251" t="s">
        <v>7</v>
      </c>
      <c r="K1737" s="252" t="s">
        <v>8</v>
      </c>
      <c r="L1737" s="254" t="s">
        <v>470</v>
      </c>
      <c r="M1737" s="404"/>
    </row>
    <row r="1738" spans="2:23">
      <c r="B1738" s="314">
        <v>1</v>
      </c>
      <c r="C1738" s="271" t="s">
        <v>394</v>
      </c>
      <c r="D1738" s="291" t="s">
        <v>213</v>
      </c>
      <c r="E1738" s="302">
        <v>3.948</v>
      </c>
      <c r="F1738" s="302">
        <v>5.0750000000000002</v>
      </c>
      <c r="G1738" s="302">
        <v>4.0383909999999998</v>
      </c>
      <c r="H1738" s="364">
        <v>5.9245979999999996</v>
      </c>
      <c r="I1738" s="287">
        <v>0.13819999999999999</v>
      </c>
      <c r="J1738" s="287">
        <v>0.1085</v>
      </c>
      <c r="K1738" s="286">
        <v>46.774194000000001</v>
      </c>
      <c r="L1738" s="275"/>
      <c r="M1738" s="397"/>
    </row>
    <row r="1739" spans="2:23">
      <c r="B1739" s="315">
        <v>2</v>
      </c>
      <c r="C1739" s="316"/>
      <c r="D1739" s="299" t="s">
        <v>214</v>
      </c>
      <c r="E1739" s="304">
        <v>3.9529999999999998</v>
      </c>
      <c r="F1739" s="304">
        <v>5.0789999999999997</v>
      </c>
      <c r="G1739" s="304">
        <v>4.0364620000000002</v>
      </c>
      <c r="H1739" s="370">
        <v>5.9214630000000001</v>
      </c>
      <c r="I1739" s="301">
        <v>0.13819999999999999</v>
      </c>
      <c r="J1739" s="301">
        <v>0.1087</v>
      </c>
      <c r="K1739" s="300">
        <v>46.724930999999998</v>
      </c>
      <c r="L1739" s="319"/>
      <c r="M1739" s="398"/>
    </row>
    <row r="1740" spans="2:23">
      <c r="B1740" s="315">
        <v>3</v>
      </c>
      <c r="C1740" s="320"/>
      <c r="D1740" s="299" t="s">
        <v>217</v>
      </c>
      <c r="E1740" s="304">
        <v>3.956</v>
      </c>
      <c r="F1740" s="304">
        <v>5.0819999999999999</v>
      </c>
      <c r="G1740" s="304">
        <v>4.0357839999999996</v>
      </c>
      <c r="H1740" s="370">
        <v>5.9283489999999999</v>
      </c>
      <c r="I1740" s="301">
        <v>0.1381</v>
      </c>
      <c r="J1740" s="301">
        <v>0.10879999999999999</v>
      </c>
      <c r="K1740" s="300">
        <v>46.709558999999999</v>
      </c>
      <c r="L1740" s="356"/>
      <c r="M1740" s="400"/>
    </row>
    <row r="1741" spans="2:23">
      <c r="B1741" s="315">
        <v>4</v>
      </c>
      <c r="C1741" s="320"/>
      <c r="D1741" s="299" t="s">
        <v>218</v>
      </c>
      <c r="E1741" s="304">
        <v>3.9580000000000002</v>
      </c>
      <c r="F1741" s="304">
        <v>5.0810000000000004</v>
      </c>
      <c r="G1741" s="304">
        <v>4.0329509999999997</v>
      </c>
      <c r="H1741" s="370">
        <v>5.9186100000000001</v>
      </c>
      <c r="I1741" s="301">
        <v>0.1381</v>
      </c>
      <c r="J1741" s="301">
        <v>0.10879999999999999</v>
      </c>
      <c r="K1741" s="300">
        <v>46.700367999999997</v>
      </c>
      <c r="L1741" s="356"/>
      <c r="M1741" s="400"/>
    </row>
    <row r="1742" spans="2:23" ht="17.25" thickBot="1">
      <c r="B1742" s="322">
        <v>5</v>
      </c>
      <c r="C1742" s="323"/>
      <c r="D1742" s="293" t="s">
        <v>240</v>
      </c>
      <c r="E1742" s="371">
        <v>3.956</v>
      </c>
      <c r="F1742" s="371">
        <v>5.0810000000000004</v>
      </c>
      <c r="G1742" s="371">
        <v>4.0349899999999996</v>
      </c>
      <c r="H1742" s="372">
        <v>5.926774</v>
      </c>
      <c r="I1742" s="289">
        <v>0.13819999999999999</v>
      </c>
      <c r="J1742" s="289">
        <v>0.1087</v>
      </c>
      <c r="K1742" s="288">
        <v>46.74333</v>
      </c>
      <c r="L1742" s="324"/>
      <c r="M1742" s="399"/>
    </row>
    <row r="1743" spans="2:23" ht="17.25" thickBot="1">
      <c r="B1743" s="325"/>
      <c r="C1743" s="326"/>
      <c r="D1743" s="327" t="s">
        <v>463</v>
      </c>
      <c r="E1743" s="328">
        <f>AVERAGE(E1738:E1742)</f>
        <v>3.9542000000000002</v>
      </c>
      <c r="F1743" s="328">
        <f t="shared" ref="F1743:K1743" si="496">AVERAGE(F1738:F1742)</f>
        <v>5.0796000000000001</v>
      </c>
      <c r="G1743" s="328">
        <f t="shared" si="496"/>
        <v>4.0357156000000005</v>
      </c>
      <c r="H1743" s="373">
        <f t="shared" si="496"/>
        <v>5.9239587999999994</v>
      </c>
      <c r="I1743" s="329">
        <f t="shared" si="496"/>
        <v>0.13816000000000001</v>
      </c>
      <c r="J1743" s="329">
        <f t="shared" si="496"/>
        <v>0.10869999999999999</v>
      </c>
      <c r="K1743" s="330">
        <f t="shared" si="496"/>
        <v>46.730476400000001</v>
      </c>
      <c r="L1743" s="331"/>
      <c r="M1743" s="399"/>
      <c r="W1743" s="240" t="s">
        <v>517</v>
      </c>
    </row>
    <row r="1744" spans="2:23">
      <c r="B1744" s="314">
        <v>6</v>
      </c>
      <c r="C1744" s="271" t="s">
        <v>518</v>
      </c>
      <c r="D1744" s="291" t="s">
        <v>241</v>
      </c>
      <c r="E1744" s="302">
        <v>3.9430000000000001</v>
      </c>
      <c r="F1744" s="302">
        <v>5.1159999999999997</v>
      </c>
      <c r="G1744" s="302">
        <v>4.0761789999999998</v>
      </c>
      <c r="H1744" s="364">
        <v>5.8953030000000002</v>
      </c>
      <c r="I1744" s="287">
        <v>0.13739999999999999</v>
      </c>
      <c r="J1744" s="287">
        <v>0.11070000000000001</v>
      </c>
      <c r="K1744" s="286">
        <v>46.214995000000002</v>
      </c>
      <c r="L1744" s="388"/>
      <c r="M1744" s="402"/>
      <c r="N1744" s="320" t="s">
        <v>404</v>
      </c>
      <c r="O1744" s="299" t="s">
        <v>227</v>
      </c>
      <c r="P1744" s="304">
        <v>3.952</v>
      </c>
      <c r="Q1744" s="304">
        <v>5.0369999999999999</v>
      </c>
      <c r="R1744" s="304">
        <v>4.0040959999999997</v>
      </c>
      <c r="S1744" s="304">
        <v>5.8497000000000003</v>
      </c>
      <c r="T1744" s="301">
        <v>0.1381</v>
      </c>
      <c r="U1744" s="301">
        <v>0.1094</v>
      </c>
      <c r="V1744" s="300">
        <v>46.042048000000001</v>
      </c>
      <c r="W1744" s="240">
        <v>18.8</v>
      </c>
    </row>
    <row r="1745" spans="2:23">
      <c r="B1745" s="315">
        <v>7</v>
      </c>
      <c r="C1745" s="320"/>
      <c r="D1745" s="299" t="s">
        <v>242</v>
      </c>
      <c r="E1745" s="304">
        <v>3.948</v>
      </c>
      <c r="F1745" s="304">
        <v>5.1189999999999998</v>
      </c>
      <c r="G1745" s="304">
        <v>4.073404</v>
      </c>
      <c r="H1745" s="370">
        <v>5.8968629999999997</v>
      </c>
      <c r="I1745" s="301">
        <v>0.13730000000000001</v>
      </c>
      <c r="J1745" s="301">
        <v>0.1111</v>
      </c>
      <c r="K1745" s="300">
        <v>46.075608000000003</v>
      </c>
      <c r="L1745" s="389"/>
      <c r="M1745" s="389"/>
      <c r="N1745" s="320" t="s">
        <v>518</v>
      </c>
      <c r="O1745" s="299" t="s">
        <v>222</v>
      </c>
      <c r="P1745" s="304">
        <v>3.9510000000000001</v>
      </c>
      <c r="Q1745" s="304">
        <v>5.1189999999999998</v>
      </c>
      <c r="R1745" s="304">
        <v>4.0703110000000002</v>
      </c>
      <c r="S1745" s="370">
        <v>5.8916339999999998</v>
      </c>
      <c r="T1745" s="301">
        <v>0.13730000000000001</v>
      </c>
      <c r="U1745" s="301">
        <v>0.1113</v>
      </c>
      <c r="V1745" s="300">
        <v>45.992812000000001</v>
      </c>
      <c r="W1745" s="240">
        <v>18.600000000000001</v>
      </c>
    </row>
    <row r="1746" spans="2:23">
      <c r="B1746" s="315">
        <v>8</v>
      </c>
      <c r="C1746" s="320"/>
      <c r="D1746" s="299" t="s">
        <v>222</v>
      </c>
      <c r="E1746" s="304">
        <v>3.9510000000000001</v>
      </c>
      <c r="F1746" s="304">
        <v>5.1189999999999998</v>
      </c>
      <c r="G1746" s="304">
        <v>4.0703110000000002</v>
      </c>
      <c r="H1746" s="370">
        <v>5.8916339999999998</v>
      </c>
      <c r="I1746" s="301">
        <v>0.13730000000000001</v>
      </c>
      <c r="J1746" s="301">
        <v>0.1113</v>
      </c>
      <c r="K1746" s="300">
        <v>45.992812000000001</v>
      </c>
      <c r="L1746" s="389"/>
      <c r="M1746" s="389"/>
      <c r="N1746" s="320" t="s">
        <v>519</v>
      </c>
      <c r="O1746" s="299" t="s">
        <v>232</v>
      </c>
      <c r="P1746" s="304">
        <v>3.9460000000000002</v>
      </c>
      <c r="Q1746" s="304">
        <v>5.0819999999999999</v>
      </c>
      <c r="R1746" s="304">
        <v>4.046011</v>
      </c>
      <c r="S1746" s="304">
        <v>5.8359120000000004</v>
      </c>
      <c r="T1746" s="301">
        <v>0.13730000000000001</v>
      </c>
      <c r="U1746" s="301">
        <v>0.1116</v>
      </c>
      <c r="V1746" s="300">
        <v>45.537633999999997</v>
      </c>
      <c r="W1746" s="240">
        <v>18.7</v>
      </c>
    </row>
    <row r="1747" spans="2:23">
      <c r="B1747" s="315">
        <v>9</v>
      </c>
      <c r="C1747" s="320"/>
      <c r="D1747" s="299" t="s">
        <v>223</v>
      </c>
      <c r="E1747" s="304">
        <v>3.9510000000000001</v>
      </c>
      <c r="F1747" s="304">
        <v>5.1219999999999999</v>
      </c>
      <c r="G1747" s="304">
        <v>4.0726969999999998</v>
      </c>
      <c r="H1747" s="370">
        <v>5.8897890000000004</v>
      </c>
      <c r="I1747" s="301">
        <v>0.13730000000000001</v>
      </c>
      <c r="J1747" s="301">
        <v>0.1114</v>
      </c>
      <c r="K1747" s="300">
        <v>45.978456000000001</v>
      </c>
      <c r="L1747" s="389"/>
      <c r="M1747" s="389"/>
      <c r="N1747" s="320" t="s">
        <v>520</v>
      </c>
      <c r="O1747" s="299" t="s">
        <v>237</v>
      </c>
      <c r="P1747" s="304">
        <v>3.9420000000000002</v>
      </c>
      <c r="Q1747" s="304">
        <v>5.0679999999999996</v>
      </c>
      <c r="R1747" s="304">
        <v>4.0389590000000002</v>
      </c>
      <c r="S1747" s="304">
        <v>5.8140460000000003</v>
      </c>
      <c r="T1747" s="301">
        <v>0.13719999999999999</v>
      </c>
      <c r="U1747" s="301">
        <v>0.1119</v>
      </c>
      <c r="V1747" s="300">
        <v>45.290438000000002</v>
      </c>
      <c r="W1747" s="240">
        <v>18.7</v>
      </c>
    </row>
    <row r="1748" spans="2:23" ht="17.25" thickBot="1">
      <c r="B1748" s="322">
        <v>10</v>
      </c>
      <c r="C1748" s="323"/>
      <c r="D1748" s="293" t="s">
        <v>243</v>
      </c>
      <c r="E1748" s="371">
        <v>3.9489999999999998</v>
      </c>
      <c r="F1748" s="371">
        <v>5.1159999999999997</v>
      </c>
      <c r="G1748" s="371">
        <v>4.0699860000000001</v>
      </c>
      <c r="H1748" s="372">
        <v>5.8922999999999996</v>
      </c>
      <c r="I1748" s="289">
        <v>0.13730000000000001</v>
      </c>
      <c r="J1748" s="289">
        <v>0.1111</v>
      </c>
      <c r="K1748" s="288">
        <v>46.048605000000002</v>
      </c>
      <c r="L1748" s="324"/>
      <c r="M1748" s="399"/>
    </row>
    <row r="1749" spans="2:23" ht="17.25" thickBot="1">
      <c r="B1749" s="325" t="s">
        <v>464</v>
      </c>
      <c r="C1749" s="326"/>
      <c r="D1749" s="327" t="s">
        <v>463</v>
      </c>
      <c r="E1749" s="328">
        <f t="shared" ref="E1749:K1749" si="497">AVERAGE(E1744:E1748)</f>
        <v>3.9484000000000004</v>
      </c>
      <c r="F1749" s="328">
        <f t="shared" si="497"/>
        <v>5.1183999999999994</v>
      </c>
      <c r="G1749" s="328">
        <f t="shared" si="497"/>
        <v>4.0725154000000003</v>
      </c>
      <c r="H1749" s="373">
        <f t="shared" si="497"/>
        <v>5.8931777999999992</v>
      </c>
      <c r="I1749" s="329">
        <f t="shared" si="497"/>
        <v>0.13732</v>
      </c>
      <c r="J1749" s="329">
        <f t="shared" si="497"/>
        <v>0.11112</v>
      </c>
      <c r="K1749" s="330">
        <f t="shared" si="497"/>
        <v>46.062095200000002</v>
      </c>
      <c r="L1749" s="331"/>
      <c r="M1749" s="399"/>
    </row>
    <row r="1750" spans="2:23">
      <c r="B1750" s="333">
        <v>11</v>
      </c>
      <c r="C1750" s="271" t="s">
        <v>388</v>
      </c>
      <c r="D1750" s="291" t="s">
        <v>244</v>
      </c>
      <c r="E1750" s="302">
        <v>3.9460000000000002</v>
      </c>
      <c r="F1750" s="302">
        <v>5.0289999999999999</v>
      </c>
      <c r="G1750" s="302">
        <v>4.0038159999999996</v>
      </c>
      <c r="H1750" s="302">
        <v>5.8494320000000002</v>
      </c>
      <c r="I1750" s="287">
        <v>0.13819999999999999</v>
      </c>
      <c r="J1750" s="287">
        <v>0.109</v>
      </c>
      <c r="K1750" s="286">
        <v>46.137614999999997</v>
      </c>
      <c r="L1750" s="332"/>
      <c r="M1750" s="402"/>
      <c r="N1750" s="320" t="s">
        <v>404</v>
      </c>
      <c r="O1750" s="299" t="s">
        <v>227</v>
      </c>
      <c r="P1750" s="304"/>
      <c r="Q1750" s="304"/>
      <c r="R1750" s="304"/>
      <c r="S1750" s="304"/>
      <c r="T1750" s="301"/>
      <c r="U1750" s="301"/>
      <c r="V1750" s="300"/>
    </row>
    <row r="1751" spans="2:23">
      <c r="B1751" s="335">
        <v>12</v>
      </c>
      <c r="C1751" s="316"/>
      <c r="D1751" s="299" t="s">
        <v>245</v>
      </c>
      <c r="E1751" s="304">
        <v>3.9510000000000001</v>
      </c>
      <c r="F1751" s="304">
        <v>5.0380000000000003</v>
      </c>
      <c r="G1751" s="304">
        <v>4.0059050000000003</v>
      </c>
      <c r="H1751" s="304">
        <v>5.8523639999999997</v>
      </c>
      <c r="I1751" s="301">
        <v>0.1381</v>
      </c>
      <c r="J1751" s="301">
        <v>0.10920000000000001</v>
      </c>
      <c r="K1751" s="300">
        <v>46.135531</v>
      </c>
      <c r="L1751" s="321"/>
      <c r="M1751" s="389"/>
      <c r="N1751" s="320" t="s">
        <v>518</v>
      </c>
      <c r="O1751" s="299" t="s">
        <v>222</v>
      </c>
      <c r="P1751" s="304">
        <f>P1745/P1744</f>
        <v>0.99974696356275305</v>
      </c>
      <c r="Q1751" s="304">
        <f t="shared" ref="Q1751:S1751" si="498">Q1745/Q1744</f>
        <v>1.0162795314671431</v>
      </c>
      <c r="R1751" s="304">
        <f t="shared" si="498"/>
        <v>1.0165368163001087</v>
      </c>
      <c r="S1751" s="304">
        <f t="shared" si="498"/>
        <v>1.0071685727473203</v>
      </c>
      <c r="T1751" s="301">
        <v>1E-3</v>
      </c>
      <c r="U1751" s="301">
        <v>2E-3</v>
      </c>
      <c r="V1751" s="300"/>
      <c r="W1751" s="390">
        <f>W1745/W1744</f>
        <v>0.98936170212765961</v>
      </c>
    </row>
    <row r="1752" spans="2:23">
      <c r="B1752" s="335">
        <v>13</v>
      </c>
      <c r="C1752" s="320"/>
      <c r="D1752" s="299" t="s">
        <v>227</v>
      </c>
      <c r="E1752" s="304">
        <v>3.952</v>
      </c>
      <c r="F1752" s="304">
        <v>5.0369999999999999</v>
      </c>
      <c r="G1752" s="304">
        <v>4.0040959999999997</v>
      </c>
      <c r="H1752" s="304">
        <v>5.8497000000000003</v>
      </c>
      <c r="I1752" s="301">
        <v>0.1381</v>
      </c>
      <c r="J1752" s="301">
        <v>0.1094</v>
      </c>
      <c r="K1752" s="300">
        <v>46.042048000000001</v>
      </c>
      <c r="L1752" s="321"/>
      <c r="M1752" s="389"/>
      <c r="N1752" s="320" t="s">
        <v>519</v>
      </c>
      <c r="O1752" s="299" t="s">
        <v>232</v>
      </c>
      <c r="P1752" s="304">
        <f>P1746/P1744</f>
        <v>0.99848178137651822</v>
      </c>
      <c r="Q1752" s="304">
        <f t="shared" ref="Q1752:S1752" si="499">Q1746/Q1744</f>
        <v>1.0089338892197737</v>
      </c>
      <c r="R1752" s="304">
        <f t="shared" si="499"/>
        <v>1.0104680307365259</v>
      </c>
      <c r="S1752" s="304">
        <f t="shared" si="499"/>
        <v>0.9976429560490282</v>
      </c>
      <c r="T1752" s="301">
        <v>1E-3</v>
      </c>
      <c r="U1752" s="301">
        <v>3.0000000000000001E-3</v>
      </c>
      <c r="V1752" s="300"/>
      <c r="W1752" s="390">
        <f>W1746/W1744</f>
        <v>0.99468085106382975</v>
      </c>
    </row>
    <row r="1753" spans="2:23">
      <c r="B1753" s="335">
        <v>14</v>
      </c>
      <c r="C1753" s="320"/>
      <c r="D1753" s="299" t="s">
        <v>228</v>
      </c>
      <c r="E1753" s="304">
        <v>3.9529999999999998</v>
      </c>
      <c r="F1753" s="304">
        <v>5.0359999999999996</v>
      </c>
      <c r="G1753" s="304">
        <v>4.0022890000000002</v>
      </c>
      <c r="H1753" s="304">
        <v>5.8443940000000003</v>
      </c>
      <c r="I1753" s="301">
        <v>0.1381</v>
      </c>
      <c r="J1753" s="301">
        <v>0.1094</v>
      </c>
      <c r="K1753" s="300">
        <v>46.032907000000002</v>
      </c>
      <c r="L1753" s="321"/>
      <c r="M1753" s="389"/>
      <c r="N1753" s="320" t="s">
        <v>520</v>
      </c>
      <c r="O1753" s="299" t="s">
        <v>237</v>
      </c>
      <c r="P1753" s="304">
        <f>P1747/P1744</f>
        <v>0.99746963562753044</v>
      </c>
      <c r="Q1753" s="304">
        <f t="shared" ref="Q1753:S1753" si="500">Q1747/Q1744</f>
        <v>1.0061544570180663</v>
      </c>
      <c r="R1753" s="304">
        <f t="shared" si="500"/>
        <v>1.0087068342017775</v>
      </c>
      <c r="S1753" s="304">
        <f t="shared" si="500"/>
        <v>0.99390498658050841</v>
      </c>
      <c r="T1753" s="301">
        <v>1E-3</v>
      </c>
      <c r="U1753" s="301">
        <v>3.0000000000000001E-3</v>
      </c>
      <c r="V1753" s="300"/>
      <c r="W1753" s="390">
        <f>W1747/W1744</f>
        <v>0.99468085106382975</v>
      </c>
    </row>
    <row r="1754" spans="2:23" ht="17.25" thickBot="1">
      <c r="B1754" s="336">
        <v>15</v>
      </c>
      <c r="C1754" s="323"/>
      <c r="D1754" s="293" t="s">
        <v>246</v>
      </c>
      <c r="E1754" s="371">
        <v>3.9510000000000001</v>
      </c>
      <c r="F1754" s="371">
        <v>5.0330000000000004</v>
      </c>
      <c r="G1754" s="371">
        <v>4.0019289999999996</v>
      </c>
      <c r="H1754" s="371">
        <v>5.8382399999999999</v>
      </c>
      <c r="I1754" s="289">
        <v>0.13800000000000001</v>
      </c>
      <c r="J1754" s="289">
        <v>0.10929999999999999</v>
      </c>
      <c r="K1754" s="288">
        <v>46.047575000000002</v>
      </c>
      <c r="L1754" s="324"/>
      <c r="M1754" s="399"/>
    </row>
    <row r="1755" spans="2:23" ht="17.25" thickBot="1">
      <c r="B1755" s="337"/>
      <c r="C1755" s="326"/>
      <c r="D1755" s="327" t="s">
        <v>463</v>
      </c>
      <c r="E1755" s="328">
        <f>AVERAGE(E1750:E1754)</f>
        <v>3.9506000000000001</v>
      </c>
      <c r="F1755" s="328">
        <f t="shared" ref="F1755:K1755" si="501">AVERAGE(F1750:F1754)</f>
        <v>5.0346000000000002</v>
      </c>
      <c r="G1755" s="328">
        <f t="shared" si="501"/>
        <v>4.0036070000000006</v>
      </c>
      <c r="H1755" s="328">
        <f t="shared" si="501"/>
        <v>5.8468260000000001</v>
      </c>
      <c r="I1755" s="329">
        <f t="shared" si="501"/>
        <v>0.1381</v>
      </c>
      <c r="J1755" s="329">
        <f t="shared" si="501"/>
        <v>0.10926</v>
      </c>
      <c r="K1755" s="330">
        <f t="shared" si="501"/>
        <v>46.079135199999996</v>
      </c>
      <c r="L1755" s="331"/>
      <c r="M1755" s="399"/>
    </row>
    <row r="1756" spans="2:23">
      <c r="B1756" s="333">
        <v>16</v>
      </c>
      <c r="C1756" s="271" t="s">
        <v>519</v>
      </c>
      <c r="D1756" s="291" t="s">
        <v>247</v>
      </c>
      <c r="E1756" s="302">
        <v>3.9359999999999999</v>
      </c>
      <c r="F1756" s="302">
        <v>5.0739999999999998</v>
      </c>
      <c r="G1756" s="302">
        <v>4.0499049999999999</v>
      </c>
      <c r="H1756" s="302">
        <v>5.8415470000000003</v>
      </c>
      <c r="I1756" s="287">
        <v>0.13739999999999999</v>
      </c>
      <c r="J1756" s="287">
        <v>0.1111</v>
      </c>
      <c r="K1756" s="286">
        <v>45.670566999999998</v>
      </c>
      <c r="L1756" s="359"/>
      <c r="M1756" s="401"/>
    </row>
    <row r="1757" spans="2:23">
      <c r="B1757" s="335">
        <v>17</v>
      </c>
      <c r="C1757" s="320"/>
      <c r="D1757" s="299" t="s">
        <v>248</v>
      </c>
      <c r="E1757" s="304">
        <v>3.9430000000000001</v>
      </c>
      <c r="F1757" s="304">
        <v>5.0860000000000003</v>
      </c>
      <c r="G1757" s="304">
        <v>4.0522770000000001</v>
      </c>
      <c r="H1757" s="304">
        <v>5.8344129999999996</v>
      </c>
      <c r="I1757" s="301">
        <v>0.13739999999999999</v>
      </c>
      <c r="J1757" s="301">
        <v>0.1115</v>
      </c>
      <c r="K1757" s="300">
        <v>45.614350000000002</v>
      </c>
      <c r="L1757" s="321"/>
      <c r="M1757" s="399"/>
    </row>
    <row r="1758" spans="2:23">
      <c r="B1758" s="335">
        <v>18</v>
      </c>
      <c r="C1758" s="320"/>
      <c r="D1758" s="299" t="s">
        <v>232</v>
      </c>
      <c r="E1758" s="304">
        <v>3.9460000000000002</v>
      </c>
      <c r="F1758" s="304">
        <v>5.0819999999999999</v>
      </c>
      <c r="G1758" s="304">
        <v>4.046011</v>
      </c>
      <c r="H1758" s="304">
        <v>5.8359120000000004</v>
      </c>
      <c r="I1758" s="301">
        <v>0.13730000000000001</v>
      </c>
      <c r="J1758" s="301">
        <v>0.1116</v>
      </c>
      <c r="K1758" s="300">
        <v>45.537633999999997</v>
      </c>
      <c r="L1758" s="321"/>
      <c r="M1758" s="399"/>
    </row>
    <row r="1759" spans="2:23">
      <c r="B1759" s="335">
        <v>19</v>
      </c>
      <c r="C1759" s="320"/>
      <c r="D1759" s="299" t="s">
        <v>233</v>
      </c>
      <c r="E1759" s="304">
        <v>3.9470000000000001</v>
      </c>
      <c r="F1759" s="304">
        <v>5.0789999999999997</v>
      </c>
      <c r="G1759" s="304">
        <v>4.0425979999999999</v>
      </c>
      <c r="H1759" s="304">
        <v>5.83528</v>
      </c>
      <c r="I1759" s="301">
        <v>0.13730000000000001</v>
      </c>
      <c r="J1759" s="301">
        <v>0.11169999999999999</v>
      </c>
      <c r="K1759" s="300">
        <v>45.470008999999997</v>
      </c>
      <c r="L1759" s="321"/>
      <c r="M1759" s="399"/>
    </row>
    <row r="1760" spans="2:23" ht="17.25" thickBot="1">
      <c r="B1760" s="336">
        <v>20</v>
      </c>
      <c r="C1760" s="323"/>
      <c r="D1760" s="293" t="s">
        <v>249</v>
      </c>
      <c r="E1760" s="371">
        <v>3.9460000000000002</v>
      </c>
      <c r="F1760" s="371">
        <v>5.0720000000000001</v>
      </c>
      <c r="G1760" s="371">
        <v>4.0380500000000001</v>
      </c>
      <c r="H1760" s="371">
        <v>5.8145340000000001</v>
      </c>
      <c r="I1760" s="289">
        <v>0.13730000000000001</v>
      </c>
      <c r="J1760" s="289">
        <v>0.1115</v>
      </c>
      <c r="K1760" s="288">
        <v>45.488788999999997</v>
      </c>
      <c r="L1760" s="324"/>
      <c r="M1760" s="399"/>
    </row>
    <row r="1761" spans="2:13" ht="17.25" thickBot="1">
      <c r="B1761" s="337"/>
      <c r="C1761" s="326"/>
      <c r="D1761" s="327" t="s">
        <v>463</v>
      </c>
      <c r="E1761" s="328">
        <f>AVERAGE(E1756:E1760)</f>
        <v>3.9436</v>
      </c>
      <c r="F1761" s="328">
        <f t="shared" ref="F1761:K1761" si="502">AVERAGE(F1756:F1760)</f>
        <v>5.0785999999999998</v>
      </c>
      <c r="G1761" s="328">
        <f t="shared" si="502"/>
        <v>4.0457681999999995</v>
      </c>
      <c r="H1761" s="328">
        <f t="shared" si="502"/>
        <v>5.8323372000000004</v>
      </c>
      <c r="I1761" s="329">
        <f t="shared" si="502"/>
        <v>0.13733999999999999</v>
      </c>
      <c r="J1761" s="329">
        <f t="shared" si="502"/>
        <v>0.11148000000000002</v>
      </c>
      <c r="K1761" s="328">
        <f t="shared" si="502"/>
        <v>45.556269800000003</v>
      </c>
      <c r="L1761" s="331"/>
      <c r="M1761" s="399"/>
    </row>
    <row r="1762" spans="2:13">
      <c r="B1762" s="333">
        <v>21</v>
      </c>
      <c r="C1762" s="271" t="s">
        <v>520</v>
      </c>
      <c r="D1762" s="291" t="s">
        <v>250</v>
      </c>
      <c r="E1762" s="302">
        <v>3.9319999999999999</v>
      </c>
      <c r="F1762" s="302">
        <v>5.0659999999999998</v>
      </c>
      <c r="G1762" s="302">
        <v>4.0476340000000004</v>
      </c>
      <c r="H1762" s="302">
        <v>5.8189520000000003</v>
      </c>
      <c r="I1762" s="287">
        <v>0.13730000000000001</v>
      </c>
      <c r="J1762" s="287">
        <v>0.1114</v>
      </c>
      <c r="K1762" s="286">
        <v>45.475763000000001</v>
      </c>
      <c r="L1762" s="332"/>
      <c r="M1762" s="399"/>
    </row>
    <row r="1763" spans="2:13">
      <c r="B1763" s="335">
        <v>22</v>
      </c>
      <c r="C1763" s="320"/>
      <c r="D1763" s="299" t="s">
        <v>251</v>
      </c>
      <c r="E1763" s="304">
        <v>3.9380000000000002</v>
      </c>
      <c r="F1763" s="304">
        <v>5.0670000000000002</v>
      </c>
      <c r="G1763" s="304">
        <v>4.0422640000000003</v>
      </c>
      <c r="H1763" s="304">
        <v>5.8082070000000003</v>
      </c>
      <c r="I1763" s="301">
        <v>0.13719999999999999</v>
      </c>
      <c r="J1763" s="301">
        <v>0.11169999999999999</v>
      </c>
      <c r="K1763" s="300">
        <v>45.362577999999999</v>
      </c>
      <c r="L1763" s="321"/>
      <c r="M1763" s="399"/>
    </row>
    <row r="1764" spans="2:13">
      <c r="B1764" s="335">
        <v>23</v>
      </c>
      <c r="C1764" s="320"/>
      <c r="D1764" s="299" t="s">
        <v>237</v>
      </c>
      <c r="E1764" s="304">
        <v>3.9420000000000002</v>
      </c>
      <c r="F1764" s="304">
        <v>5.0679999999999996</v>
      </c>
      <c r="G1764" s="304">
        <v>4.0389590000000002</v>
      </c>
      <c r="H1764" s="304">
        <v>5.8140460000000003</v>
      </c>
      <c r="I1764" s="301">
        <v>0.13719999999999999</v>
      </c>
      <c r="J1764" s="301">
        <v>0.1119</v>
      </c>
      <c r="K1764" s="300">
        <v>45.290438000000002</v>
      </c>
      <c r="L1764" s="321"/>
      <c r="M1764" s="399"/>
    </row>
    <row r="1765" spans="2:13">
      <c r="B1765" s="335">
        <v>24</v>
      </c>
      <c r="C1765" s="320"/>
      <c r="D1765" s="299" t="s">
        <v>238</v>
      </c>
      <c r="E1765" s="304">
        <v>3.9420000000000002</v>
      </c>
      <c r="F1765" s="304">
        <v>5.0570000000000004</v>
      </c>
      <c r="G1765" s="304">
        <v>4.0301929999999997</v>
      </c>
      <c r="H1765" s="304">
        <v>5.805593</v>
      </c>
      <c r="I1765" s="301">
        <v>0.1371</v>
      </c>
      <c r="J1765" s="301">
        <v>0.1119</v>
      </c>
      <c r="K1765" s="300">
        <v>45.192135999999998</v>
      </c>
      <c r="L1765" s="321"/>
      <c r="M1765" s="399"/>
    </row>
    <row r="1766" spans="2:13" ht="17.25" thickBot="1">
      <c r="B1766" s="336">
        <v>25</v>
      </c>
      <c r="C1766" s="323"/>
      <c r="D1766" s="293" t="s">
        <v>252</v>
      </c>
      <c r="E1766" s="371">
        <v>3.94</v>
      </c>
      <c r="F1766" s="371">
        <v>5.0579999999999998</v>
      </c>
      <c r="G1766" s="371">
        <v>4.0330360000000001</v>
      </c>
      <c r="H1766" s="371">
        <v>5.8062509999999996</v>
      </c>
      <c r="I1766" s="289">
        <v>0.13719999999999999</v>
      </c>
      <c r="J1766" s="289">
        <v>0.11169999999999999</v>
      </c>
      <c r="K1766" s="288">
        <v>45.282004999999998</v>
      </c>
      <c r="L1766" s="324"/>
      <c r="M1766" s="399"/>
    </row>
    <row r="1767" spans="2:13" ht="17.25" thickBot="1">
      <c r="B1767" s="339" t="s">
        <v>464</v>
      </c>
      <c r="C1767" s="340"/>
      <c r="D1767" s="341" t="s">
        <v>465</v>
      </c>
      <c r="E1767" s="342">
        <f>AVERAGE(E1762:E1766)</f>
        <v>3.9388000000000005</v>
      </c>
      <c r="F1767" s="342">
        <f t="shared" ref="F1767:K1767" si="503">AVERAGE(F1762:F1766)</f>
        <v>5.0632000000000001</v>
      </c>
      <c r="G1767" s="342">
        <f t="shared" si="503"/>
        <v>4.0384171999999996</v>
      </c>
      <c r="H1767" s="342">
        <f t="shared" si="503"/>
        <v>5.8106097999999999</v>
      </c>
      <c r="I1767" s="343">
        <f t="shared" si="503"/>
        <v>0.13719999999999999</v>
      </c>
      <c r="J1767" s="343">
        <f t="shared" si="503"/>
        <v>0.11172</v>
      </c>
      <c r="K1767" s="342">
        <f t="shared" si="503"/>
        <v>45.320584000000004</v>
      </c>
      <c r="L1767" s="344"/>
      <c r="M1767" s="399"/>
    </row>
    <row r="1768" spans="2:13">
      <c r="B1768" s="333"/>
      <c r="C1768" s="345"/>
      <c r="D1768" s="291" t="s">
        <v>466</v>
      </c>
      <c r="E1768" s="346">
        <f>MEDIAN(E1738:E1742,E1744:E1748,E1750:E1754,E1756:E1760,E1762:E1766)</f>
        <v>3.948</v>
      </c>
      <c r="F1768" s="346">
        <f t="shared" ref="F1768:K1768" si="504">MEDIAN(F1738:F1742,F1744:F1748,F1750:F1754,F1756:F1760,F1762:F1766)</f>
        <v>5.0750000000000002</v>
      </c>
      <c r="G1768" s="346">
        <f t="shared" si="504"/>
        <v>4.0383909999999998</v>
      </c>
      <c r="H1768" s="346">
        <f t="shared" si="504"/>
        <v>5.8494320000000002</v>
      </c>
      <c r="I1768" s="347">
        <f t="shared" si="504"/>
        <v>0.13739999999999999</v>
      </c>
      <c r="J1768" s="347">
        <f t="shared" si="504"/>
        <v>0.1111</v>
      </c>
      <c r="K1768" s="348">
        <f t="shared" si="504"/>
        <v>46.032907000000002</v>
      </c>
      <c r="L1768" s="332"/>
      <c r="M1768" s="399"/>
    </row>
    <row r="1769" spans="2:13">
      <c r="B1769" s="335"/>
      <c r="C1769" s="320"/>
      <c r="D1769" s="299" t="s">
        <v>467</v>
      </c>
      <c r="E1769" s="349">
        <f>AVERAGE(E1738:E1742,E1744:E1748,E1750:E1754,E1756:E1760,E1762:E1766)</f>
        <v>3.94712</v>
      </c>
      <c r="F1769" s="349">
        <f t="shared" ref="F1769:K1769" si="505">AVERAGE(F1738:F1742,F1744:F1748,F1750:F1754,F1756:F1760,F1762:F1766)</f>
        <v>5.0748799999999994</v>
      </c>
      <c r="G1769" s="349">
        <f t="shared" si="505"/>
        <v>4.0392046800000001</v>
      </c>
      <c r="H1769" s="349">
        <f t="shared" si="505"/>
        <v>5.8613819199999986</v>
      </c>
      <c r="I1769" s="350">
        <f t="shared" si="505"/>
        <v>0.13762400000000002</v>
      </c>
      <c r="J1769" s="350">
        <f t="shared" si="505"/>
        <v>0.11045599999999997</v>
      </c>
      <c r="K1769" s="351">
        <f t="shared" si="505"/>
        <v>45.949712120000001</v>
      </c>
      <c r="L1769" s="321"/>
      <c r="M1769" s="399"/>
    </row>
    <row r="1770" spans="2:13">
      <c r="B1770" s="335"/>
      <c r="C1770" s="320"/>
      <c r="D1770" s="299" t="s">
        <v>199</v>
      </c>
      <c r="E1770" s="349">
        <f>MAX(E1738:E1742,E1744:E1748,E1750:E1754,E1756:E1760,E1762:E1766)</f>
        <v>3.9580000000000002</v>
      </c>
      <c r="F1770" s="349">
        <f t="shared" ref="F1770:K1770" si="506">MAX(F1738:F1742,F1744:F1748,F1750:F1754,F1756:F1760,F1762:F1766)</f>
        <v>5.1219999999999999</v>
      </c>
      <c r="G1770" s="349">
        <f t="shared" si="506"/>
        <v>4.0761789999999998</v>
      </c>
      <c r="H1770" s="349">
        <f t="shared" si="506"/>
        <v>5.9283489999999999</v>
      </c>
      <c r="I1770" s="350">
        <f t="shared" si="506"/>
        <v>0.13819999999999999</v>
      </c>
      <c r="J1770" s="350">
        <f t="shared" si="506"/>
        <v>0.1119</v>
      </c>
      <c r="K1770" s="351">
        <f t="shared" si="506"/>
        <v>46.774194000000001</v>
      </c>
      <c r="L1770" s="321"/>
      <c r="M1770" s="399"/>
    </row>
    <row r="1771" spans="2:13">
      <c r="B1771" s="335"/>
      <c r="C1771" s="320"/>
      <c r="D1771" s="299" t="s">
        <v>200</v>
      </c>
      <c r="E1771" s="349">
        <f>MIN(E1738:E1742,E1744:E1748,E1750:E1754,E1756:E1760,E1762:E1766)</f>
        <v>3.9319999999999999</v>
      </c>
      <c r="F1771" s="349">
        <f t="shared" ref="F1771:K1771" si="507">MIN(F1738:F1742,F1744:F1748,F1750:F1754,F1756:F1760,F1762:F1766)</f>
        <v>5.0289999999999999</v>
      </c>
      <c r="G1771" s="349">
        <f t="shared" si="507"/>
        <v>4.0019289999999996</v>
      </c>
      <c r="H1771" s="349">
        <f t="shared" si="507"/>
        <v>5.805593</v>
      </c>
      <c r="I1771" s="350">
        <f t="shared" si="507"/>
        <v>0.1371</v>
      </c>
      <c r="J1771" s="350">
        <f t="shared" si="507"/>
        <v>0.1085</v>
      </c>
      <c r="K1771" s="351">
        <f t="shared" si="507"/>
        <v>45.192135999999998</v>
      </c>
      <c r="L1771" s="321"/>
      <c r="M1771" s="399"/>
    </row>
    <row r="1772" spans="2:13">
      <c r="B1772" s="335"/>
      <c r="C1772" s="320"/>
      <c r="D1772" s="299" t="s">
        <v>201</v>
      </c>
      <c r="E1772" s="349">
        <f>E1770-E1771</f>
        <v>2.6000000000000245E-2</v>
      </c>
      <c r="F1772" s="349">
        <f t="shared" ref="F1772:K1772" si="508">F1770-F1771</f>
        <v>9.2999999999999972E-2</v>
      </c>
      <c r="G1772" s="349">
        <f t="shared" si="508"/>
        <v>7.4250000000000149E-2</v>
      </c>
      <c r="H1772" s="349">
        <f t="shared" si="508"/>
        <v>0.12275599999999987</v>
      </c>
      <c r="I1772" s="350">
        <f t="shared" si="508"/>
        <v>1.0999999999999899E-3</v>
      </c>
      <c r="J1772" s="350">
        <f t="shared" si="508"/>
        <v>3.4000000000000002E-3</v>
      </c>
      <c r="K1772" s="349">
        <f t="shared" si="508"/>
        <v>1.5820580000000035</v>
      </c>
      <c r="L1772" s="321"/>
      <c r="M1772" s="399"/>
    </row>
    <row r="1773" spans="2:13" ht="17.25" thickBot="1">
      <c r="B1773" s="336"/>
      <c r="C1773" s="323"/>
      <c r="D1773" s="293" t="s">
        <v>202</v>
      </c>
      <c r="E1773" s="352">
        <f>STDEVA(E1738:E1742,E1744:E1748,E1750:E1754,E1756:E1760,E1762:E1766)</f>
        <v>6.4892218331630315E-3</v>
      </c>
      <c r="F1773" s="352">
        <f t="shared" ref="F1773:K1773" si="509">STDEVA(F1738:F1742,F1744:F1748,F1750:F1754,F1756:F1760,F1762:F1766)</f>
        <v>2.7985591530881187E-2</v>
      </c>
      <c r="G1773" s="352">
        <f t="shared" si="509"/>
        <v>2.2858862826629613E-2</v>
      </c>
      <c r="H1773" s="352">
        <f t="shared" si="509"/>
        <v>4.2612602002341918E-2</v>
      </c>
      <c r="I1773" s="353">
        <f t="shared" si="509"/>
        <v>4.2844680727794612E-4</v>
      </c>
      <c r="J1773" s="353">
        <f t="shared" si="509"/>
        <v>1.2721635115031402E-3</v>
      </c>
      <c r="K1773" s="352">
        <f t="shared" si="509"/>
        <v>0.50296946789594199</v>
      </c>
      <c r="L1773" s="324"/>
      <c r="M1773" s="399"/>
    </row>
    <row r="1775" spans="2:13">
      <c r="B1775" s="240" t="s">
        <v>521</v>
      </c>
      <c r="C1775" s="240"/>
      <c r="E1775" s="240"/>
      <c r="F1775" s="240"/>
      <c r="G1775" s="240"/>
      <c r="H1775" s="240"/>
      <c r="I1775" s="240"/>
      <c r="J1775" s="240"/>
      <c r="K1775" s="240"/>
    </row>
    <row r="1776" spans="2:13" ht="17.25" thickBot="1">
      <c r="B1776" s="240" t="s">
        <v>469</v>
      </c>
      <c r="C1776" s="240"/>
      <c r="E1776" s="240"/>
      <c r="F1776" s="240"/>
      <c r="G1776" s="240"/>
      <c r="H1776" s="240"/>
      <c r="I1776" s="240"/>
      <c r="J1776" s="240"/>
      <c r="K1776" s="240"/>
    </row>
    <row r="1777" spans="2:22" ht="17.25" thickBot="1">
      <c r="B1777" s="313" t="s">
        <v>11</v>
      </c>
      <c r="C1777" s="250" t="s">
        <v>0</v>
      </c>
      <c r="D1777" s="250" t="s">
        <v>1</v>
      </c>
      <c r="E1777" s="250" t="s">
        <v>2</v>
      </c>
      <c r="F1777" s="250" t="s">
        <v>3</v>
      </c>
      <c r="G1777" s="250" t="s">
        <v>192</v>
      </c>
      <c r="H1777" s="250" t="s">
        <v>16</v>
      </c>
      <c r="I1777" s="250" t="s">
        <v>6</v>
      </c>
      <c r="J1777" s="251" t="s">
        <v>7</v>
      </c>
      <c r="K1777" s="252" t="s">
        <v>8</v>
      </c>
      <c r="L1777" s="254" t="s">
        <v>470</v>
      </c>
      <c r="M1777" s="404"/>
    </row>
    <row r="1778" spans="2:22">
      <c r="B1778" s="314">
        <v>1</v>
      </c>
      <c r="C1778" s="271" t="s">
        <v>401</v>
      </c>
      <c r="D1778" s="291" t="s">
        <v>213</v>
      </c>
      <c r="E1778" s="302">
        <v>3.9870000000000001</v>
      </c>
      <c r="F1778" s="302">
        <v>5.2729999999999997</v>
      </c>
      <c r="G1778" s="302">
        <v>4.1549040000000002</v>
      </c>
      <c r="H1778" s="364">
        <v>6.0249639999999998</v>
      </c>
      <c r="I1778" s="287">
        <v>0.1368</v>
      </c>
      <c r="J1778" s="287">
        <v>0.11269999999999999</v>
      </c>
      <c r="K1778" s="286">
        <v>46.787933000000002</v>
      </c>
      <c r="L1778" s="275"/>
      <c r="M1778" s="397"/>
    </row>
    <row r="1779" spans="2:22">
      <c r="B1779" s="315">
        <v>2</v>
      </c>
      <c r="C1779" s="316"/>
      <c r="D1779" s="299" t="s">
        <v>214</v>
      </c>
      <c r="E1779" s="304">
        <v>3.9940000000000002</v>
      </c>
      <c r="F1779" s="304">
        <v>5.2759999999999998</v>
      </c>
      <c r="G1779" s="304">
        <v>4.1499819999999996</v>
      </c>
      <c r="H1779" s="370">
        <v>6.0031559999999997</v>
      </c>
      <c r="I1779" s="301">
        <v>0.1366</v>
      </c>
      <c r="J1779" s="301">
        <v>0.11310000000000001</v>
      </c>
      <c r="K1779" s="300">
        <v>46.648983000000001</v>
      </c>
      <c r="L1779" s="319"/>
      <c r="M1779" s="398"/>
    </row>
    <row r="1780" spans="2:22">
      <c r="B1780" s="315">
        <v>3</v>
      </c>
      <c r="C1780" s="320"/>
      <c r="D1780" s="299" t="s">
        <v>217</v>
      </c>
      <c r="E1780" s="304">
        <v>3.9990000000000001</v>
      </c>
      <c r="F1780" s="304">
        <v>5.2750000000000004</v>
      </c>
      <c r="G1780" s="304">
        <v>4.1440080000000004</v>
      </c>
      <c r="H1780" s="370">
        <v>6.0085870000000003</v>
      </c>
      <c r="I1780" s="301">
        <v>0.13650000000000001</v>
      </c>
      <c r="J1780" s="301">
        <v>0.1132</v>
      </c>
      <c r="K1780" s="300">
        <v>46.598939999999999</v>
      </c>
      <c r="L1780" s="356"/>
      <c r="M1780" s="400"/>
    </row>
    <row r="1781" spans="2:22">
      <c r="B1781" s="315">
        <v>4</v>
      </c>
      <c r="C1781" s="320"/>
      <c r="D1781" s="299" t="s">
        <v>218</v>
      </c>
      <c r="E1781" s="304">
        <v>3.9990000000000001</v>
      </c>
      <c r="F1781" s="304">
        <v>5.2779999999999996</v>
      </c>
      <c r="G1781" s="304">
        <v>4.1463650000000003</v>
      </c>
      <c r="H1781" s="370">
        <v>6.0051269999999999</v>
      </c>
      <c r="I1781" s="301">
        <v>0.1366</v>
      </c>
      <c r="J1781" s="301">
        <v>0.1133</v>
      </c>
      <c r="K1781" s="300">
        <v>46.584288999999998</v>
      </c>
      <c r="L1781" s="356"/>
      <c r="M1781" s="400"/>
    </row>
    <row r="1782" spans="2:22" ht="17.25" thickBot="1">
      <c r="B1782" s="322">
        <v>5</v>
      </c>
      <c r="C1782" s="323"/>
      <c r="D1782" s="293" t="s">
        <v>240</v>
      </c>
      <c r="E1782" s="371">
        <v>3.9980000000000002</v>
      </c>
      <c r="F1782" s="371">
        <v>5.27</v>
      </c>
      <c r="G1782" s="371">
        <v>4.1411150000000001</v>
      </c>
      <c r="H1782" s="372">
        <v>6.0074350000000001</v>
      </c>
      <c r="I1782" s="289">
        <v>0.1366</v>
      </c>
      <c r="J1782" s="289">
        <v>0.113</v>
      </c>
      <c r="K1782" s="288">
        <v>46.637168000000003</v>
      </c>
      <c r="L1782" s="324"/>
      <c r="M1782" s="399"/>
    </row>
    <row r="1783" spans="2:22" ht="17.25" thickBot="1">
      <c r="B1783" s="325"/>
      <c r="C1783" s="326"/>
      <c r="D1783" s="327" t="s">
        <v>463</v>
      </c>
      <c r="E1783" s="328">
        <f>AVERAGE(E1778:E1782)</f>
        <v>3.9954000000000001</v>
      </c>
      <c r="F1783" s="328">
        <f t="shared" ref="F1783:K1783" si="510">AVERAGE(F1778:F1782)</f>
        <v>5.2744</v>
      </c>
      <c r="G1783" s="328">
        <f t="shared" si="510"/>
        <v>4.1472747999999999</v>
      </c>
      <c r="H1783" s="373">
        <f t="shared" si="510"/>
        <v>6.0098538000000001</v>
      </c>
      <c r="I1783" s="329">
        <f t="shared" si="510"/>
        <v>0.13662000000000002</v>
      </c>
      <c r="J1783" s="329">
        <f t="shared" si="510"/>
        <v>0.11306000000000001</v>
      </c>
      <c r="K1783" s="330">
        <f t="shared" si="510"/>
        <v>46.651462599999995</v>
      </c>
      <c r="L1783" s="331"/>
      <c r="M1783" s="399"/>
      <c r="P1783" s="240" t="s">
        <v>2</v>
      </c>
      <c r="Q1783" s="240" t="s">
        <v>3</v>
      </c>
      <c r="R1783" s="240" t="s">
        <v>405</v>
      </c>
      <c r="S1783" s="240" t="s">
        <v>16</v>
      </c>
      <c r="T1783" s="240" t="s">
        <v>6</v>
      </c>
      <c r="U1783" s="240" t="s">
        <v>7</v>
      </c>
      <c r="V1783" s="240" t="s">
        <v>522</v>
      </c>
    </row>
    <row r="1784" spans="2:22">
      <c r="B1784" s="314">
        <v>6</v>
      </c>
      <c r="C1784" s="271" t="s">
        <v>523</v>
      </c>
      <c r="D1784" s="291" t="s">
        <v>241</v>
      </c>
      <c r="E1784" s="302">
        <v>3.9820000000000002</v>
      </c>
      <c r="F1784" s="302">
        <v>5.4539999999999997</v>
      </c>
      <c r="G1784" s="302">
        <v>4.3029210000000004</v>
      </c>
      <c r="H1784" s="364">
        <v>6.0305679999999997</v>
      </c>
      <c r="I1784" s="287">
        <v>0.13800000000000001</v>
      </c>
      <c r="J1784" s="287">
        <v>0.1171</v>
      </c>
      <c r="K1784" s="286">
        <v>46.575580000000002</v>
      </c>
      <c r="L1784" s="332"/>
      <c r="M1784" s="402"/>
      <c r="N1784" s="320" t="s">
        <v>404</v>
      </c>
      <c r="O1784" s="316" t="s">
        <v>227</v>
      </c>
      <c r="P1784" s="309">
        <v>3.9969999999999999</v>
      </c>
      <c r="Q1784" s="309">
        <v>5.2750000000000004</v>
      </c>
      <c r="R1784" s="309">
        <v>4.1460809999999997</v>
      </c>
      <c r="S1784" s="310">
        <v>5.994796</v>
      </c>
      <c r="T1784" s="318">
        <v>0.13650000000000001</v>
      </c>
      <c r="U1784" s="318">
        <v>0.1137</v>
      </c>
      <c r="V1784" s="317">
        <v>17.2</v>
      </c>
    </row>
    <row r="1785" spans="2:22">
      <c r="B1785" s="315">
        <v>7</v>
      </c>
      <c r="C1785" s="320"/>
      <c r="D1785" s="299" t="s">
        <v>242</v>
      </c>
      <c r="E1785" s="304">
        <v>3.9889999999999999</v>
      </c>
      <c r="F1785" s="304">
        <v>5.4459999999999997</v>
      </c>
      <c r="G1785" s="304">
        <v>4.2890699999999997</v>
      </c>
      <c r="H1785" s="370">
        <v>6.0131399999999999</v>
      </c>
      <c r="I1785" s="301">
        <v>0.13789999999999999</v>
      </c>
      <c r="J1785" s="301">
        <v>0.1173</v>
      </c>
      <c r="K1785" s="300">
        <v>46.427959999999999</v>
      </c>
      <c r="L1785" s="321"/>
      <c r="M1785" s="389"/>
      <c r="N1785" s="320" t="s">
        <v>523</v>
      </c>
      <c r="O1785" s="316" t="s">
        <v>222</v>
      </c>
      <c r="P1785" s="309">
        <v>3.9940000000000002</v>
      </c>
      <c r="Q1785" s="309">
        <v>5.4509999999999996</v>
      </c>
      <c r="R1785" s="309">
        <v>4.2876329999999996</v>
      </c>
      <c r="S1785" s="310">
        <v>6.0093050000000003</v>
      </c>
      <c r="T1785" s="318">
        <v>0.13789999999999999</v>
      </c>
      <c r="U1785" s="318">
        <v>0.11749999999999999</v>
      </c>
      <c r="V1785" s="317">
        <v>17</v>
      </c>
    </row>
    <row r="1786" spans="2:22">
      <c r="B1786" s="315">
        <v>8</v>
      </c>
      <c r="C1786" s="320"/>
      <c r="D1786" s="299" t="s">
        <v>222</v>
      </c>
      <c r="E1786" s="304">
        <v>3.9940000000000002</v>
      </c>
      <c r="F1786" s="304">
        <v>5.4509999999999996</v>
      </c>
      <c r="G1786" s="304">
        <v>4.2876329999999996</v>
      </c>
      <c r="H1786" s="370">
        <v>6.0093050000000003</v>
      </c>
      <c r="I1786" s="301">
        <v>0.13789999999999999</v>
      </c>
      <c r="J1786" s="301">
        <v>0.11749999999999999</v>
      </c>
      <c r="K1786" s="300">
        <v>46.391489999999997</v>
      </c>
      <c r="L1786" s="321"/>
      <c r="M1786" s="389"/>
      <c r="N1786" s="320" t="s">
        <v>524</v>
      </c>
      <c r="O1786" s="299" t="s">
        <v>232</v>
      </c>
      <c r="P1786" s="309">
        <v>3.9910000000000001</v>
      </c>
      <c r="Q1786" s="309">
        <v>5.3220000000000001</v>
      </c>
      <c r="R1786" s="309">
        <v>4.189311</v>
      </c>
      <c r="S1786" s="310">
        <v>6.0206099999999996</v>
      </c>
      <c r="T1786" s="301">
        <v>0.1368</v>
      </c>
      <c r="U1786" s="301">
        <v>0.11409999999999999</v>
      </c>
      <c r="V1786" s="300">
        <v>17.100000000000001</v>
      </c>
    </row>
    <row r="1787" spans="2:22">
      <c r="B1787" s="315">
        <v>9</v>
      </c>
      <c r="C1787" s="320"/>
      <c r="D1787" s="299" t="s">
        <v>223</v>
      </c>
      <c r="E1787" s="304">
        <v>3.996</v>
      </c>
      <c r="F1787" s="304">
        <v>5.444</v>
      </c>
      <c r="G1787" s="304">
        <v>4.2799839999999998</v>
      </c>
      <c r="H1787" s="370">
        <v>6.0143300000000002</v>
      </c>
      <c r="I1787" s="301">
        <v>0.13780000000000001</v>
      </c>
      <c r="J1787" s="301">
        <v>0.11749999999999999</v>
      </c>
      <c r="K1787" s="300">
        <v>46.331919999999997</v>
      </c>
      <c r="L1787" s="321"/>
      <c r="M1787" s="389"/>
      <c r="N1787" s="320" t="s">
        <v>525</v>
      </c>
      <c r="O1787" s="316" t="s">
        <v>237</v>
      </c>
      <c r="P1787" s="309">
        <v>3.9849999999999999</v>
      </c>
      <c r="Q1787" s="309">
        <v>5.3170000000000002</v>
      </c>
      <c r="R1787" s="309">
        <v>4.1916770000000003</v>
      </c>
      <c r="S1787" s="310">
        <v>6.0276490000000003</v>
      </c>
      <c r="T1787" s="318">
        <v>0.13689999999999999</v>
      </c>
      <c r="U1787" s="318">
        <v>0.1139</v>
      </c>
      <c r="V1787" s="300">
        <v>17.100000000000001</v>
      </c>
    </row>
    <row r="1788" spans="2:22" ht="17.25" thickBot="1">
      <c r="B1788" s="322">
        <v>10</v>
      </c>
      <c r="C1788" s="323"/>
      <c r="D1788" s="293" t="s">
        <v>243</v>
      </c>
      <c r="E1788" s="371">
        <v>3.9940000000000002</v>
      </c>
      <c r="F1788" s="371">
        <v>5.4409999999999998</v>
      </c>
      <c r="G1788" s="371">
        <v>4.2797669999999997</v>
      </c>
      <c r="H1788" s="372">
        <v>6.015218</v>
      </c>
      <c r="I1788" s="289">
        <v>0.13789999999999999</v>
      </c>
      <c r="J1788" s="289">
        <v>0.1172</v>
      </c>
      <c r="K1788" s="288">
        <v>46.42492</v>
      </c>
      <c r="L1788" s="324"/>
      <c r="M1788" s="399"/>
    </row>
    <row r="1789" spans="2:22" ht="17.25" thickBot="1">
      <c r="B1789" s="325" t="s">
        <v>464</v>
      </c>
      <c r="C1789" s="326"/>
      <c r="D1789" s="327" t="s">
        <v>463</v>
      </c>
      <c r="E1789" s="328">
        <f t="shared" ref="E1789:K1789" si="511">AVERAGE(E1784:E1788)</f>
        <v>3.9910000000000005</v>
      </c>
      <c r="F1789" s="328">
        <f t="shared" si="511"/>
        <v>5.4471999999999996</v>
      </c>
      <c r="G1789" s="328">
        <f t="shared" si="511"/>
        <v>4.2878749999999997</v>
      </c>
      <c r="H1789" s="373">
        <f t="shared" si="511"/>
        <v>6.0165122000000002</v>
      </c>
      <c r="I1789" s="329">
        <f t="shared" si="511"/>
        <v>0.13790000000000002</v>
      </c>
      <c r="J1789" s="329">
        <f t="shared" si="511"/>
        <v>0.11732000000000001</v>
      </c>
      <c r="K1789" s="330">
        <f t="shared" si="511"/>
        <v>46.430373999999993</v>
      </c>
      <c r="L1789" s="331"/>
      <c r="M1789" s="403"/>
      <c r="N1789" s="320" t="s">
        <v>404</v>
      </c>
      <c r="O1789" s="316" t="s">
        <v>227</v>
      </c>
      <c r="P1789" s="309"/>
      <c r="Q1789" s="309"/>
      <c r="R1789" s="309"/>
      <c r="S1789" s="310"/>
      <c r="T1789" s="318"/>
      <c r="U1789" s="318"/>
      <c r="V1789" s="317"/>
    </row>
    <row r="1790" spans="2:22">
      <c r="B1790" s="333">
        <v>11</v>
      </c>
      <c r="C1790" s="271" t="s">
        <v>400</v>
      </c>
      <c r="D1790" s="291" t="s">
        <v>244</v>
      </c>
      <c r="E1790" s="302">
        <v>3.9820000000000002</v>
      </c>
      <c r="F1790" s="302">
        <v>5.3010000000000002</v>
      </c>
      <c r="G1790" s="302">
        <v>4.1822119999999998</v>
      </c>
      <c r="H1790" s="302">
        <v>6.0358669999999996</v>
      </c>
      <c r="I1790" s="287">
        <v>0.13669999999999999</v>
      </c>
      <c r="J1790" s="287">
        <v>0.1132</v>
      </c>
      <c r="K1790" s="286">
        <v>46.828620000000001</v>
      </c>
      <c r="L1790" s="332"/>
      <c r="M1790" s="402"/>
      <c r="N1790" s="320" t="s">
        <v>523</v>
      </c>
      <c r="O1790" s="316" t="s">
        <v>222</v>
      </c>
      <c r="P1790" s="309">
        <f>P1785/P1784</f>
        <v>0.99924943707780844</v>
      </c>
      <c r="Q1790" s="309">
        <f t="shared" ref="Q1790:S1790" si="512">Q1785/Q1784</f>
        <v>1.0333649289099525</v>
      </c>
      <c r="R1790" s="309">
        <f t="shared" si="512"/>
        <v>1.0341411564318208</v>
      </c>
      <c r="S1790" s="309">
        <f t="shared" si="512"/>
        <v>1.0024202658439088</v>
      </c>
      <c r="T1790" s="318"/>
      <c r="U1790" s="318"/>
      <c r="V1790" s="309">
        <f>V1785/V1784</f>
        <v>0.9883720930232559</v>
      </c>
    </row>
    <row r="1791" spans="2:22">
      <c r="B1791" s="335">
        <v>12</v>
      </c>
      <c r="C1791" s="316"/>
      <c r="D1791" s="299" t="s">
        <v>245</v>
      </c>
      <c r="E1791" s="304">
        <v>3.9889999999999999</v>
      </c>
      <c r="F1791" s="304">
        <v>5.298</v>
      </c>
      <c r="G1791" s="304">
        <v>4.1725099999999999</v>
      </c>
      <c r="H1791" s="304">
        <v>6.0227719999999998</v>
      </c>
      <c r="I1791" s="301">
        <v>0.1366</v>
      </c>
      <c r="J1791" s="301">
        <v>0.11360000000000001</v>
      </c>
      <c r="K1791" s="300">
        <v>46.637320000000003</v>
      </c>
      <c r="L1791" s="321"/>
      <c r="M1791" s="389"/>
      <c r="N1791" s="320" t="s">
        <v>524</v>
      </c>
      <c r="O1791" s="299" t="s">
        <v>232</v>
      </c>
      <c r="P1791" s="309">
        <f>P1786/P1784</f>
        <v>0.99849887415561678</v>
      </c>
      <c r="Q1791" s="309">
        <f t="shared" ref="Q1791:S1791" si="513">Q1786/Q1784</f>
        <v>1.008909952606635</v>
      </c>
      <c r="R1791" s="309">
        <f t="shared" si="513"/>
        <v>1.0104267138051573</v>
      </c>
      <c r="S1791" s="309">
        <f t="shared" si="513"/>
        <v>1.0043060681297578</v>
      </c>
      <c r="T1791" s="301"/>
      <c r="U1791" s="301"/>
      <c r="V1791" s="309">
        <f>V1786/V1784</f>
        <v>0.99418604651162801</v>
      </c>
    </row>
    <row r="1792" spans="2:22">
      <c r="B1792" s="335">
        <v>13</v>
      </c>
      <c r="C1792" s="320"/>
      <c r="D1792" s="299" t="s">
        <v>227</v>
      </c>
      <c r="E1792" s="304">
        <v>3.9969999999999999</v>
      </c>
      <c r="F1792" s="304">
        <v>5.2750000000000004</v>
      </c>
      <c r="G1792" s="304">
        <v>4.1460809999999997</v>
      </c>
      <c r="H1792" s="304">
        <v>5.994796</v>
      </c>
      <c r="I1792" s="301">
        <v>0.13650000000000001</v>
      </c>
      <c r="J1792" s="301">
        <v>0.1137</v>
      </c>
      <c r="K1792" s="300">
        <v>46.394019999999998</v>
      </c>
      <c r="L1792" s="321"/>
      <c r="M1792" s="389"/>
      <c r="N1792" s="320" t="s">
        <v>525</v>
      </c>
      <c r="O1792" s="316" t="s">
        <v>237</v>
      </c>
      <c r="P1792" s="309">
        <f>P1787/P1784</f>
        <v>0.99699774831123344</v>
      </c>
      <c r="Q1792" s="309">
        <f t="shared" ref="Q1792:S1792" si="514">Q1787/Q1784</f>
        <v>1.0079620853080569</v>
      </c>
      <c r="R1792" s="309">
        <f t="shared" si="514"/>
        <v>1.0109973731820485</v>
      </c>
      <c r="S1792" s="309">
        <f t="shared" si="514"/>
        <v>1.005480253206281</v>
      </c>
      <c r="T1792" s="318"/>
      <c r="U1792" s="318"/>
      <c r="V1792" s="309">
        <f>V1787/V1784</f>
        <v>0.99418604651162801</v>
      </c>
    </row>
    <row r="1793" spans="2:13">
      <c r="B1793" s="335">
        <v>14</v>
      </c>
      <c r="C1793" s="320"/>
      <c r="D1793" s="299" t="s">
        <v>228</v>
      </c>
      <c r="E1793" s="304">
        <v>3.996</v>
      </c>
      <c r="F1793" s="304">
        <v>5.2850000000000001</v>
      </c>
      <c r="G1793" s="304">
        <v>4.1549810000000003</v>
      </c>
      <c r="H1793" s="304">
        <v>6.0113940000000001</v>
      </c>
      <c r="I1793" s="301">
        <v>0.1366</v>
      </c>
      <c r="J1793" s="301">
        <v>0.1138</v>
      </c>
      <c r="K1793" s="300">
        <v>46.441130000000001</v>
      </c>
      <c r="L1793" s="321"/>
      <c r="M1793" s="399"/>
    </row>
    <row r="1794" spans="2:13" ht="17.25" thickBot="1">
      <c r="B1794" s="336">
        <v>15</v>
      </c>
      <c r="C1794" s="323"/>
      <c r="D1794" s="293" t="s">
        <v>246</v>
      </c>
      <c r="E1794" s="371">
        <v>3.9950000000000001</v>
      </c>
      <c r="F1794" s="371">
        <v>5.2789999999999999</v>
      </c>
      <c r="G1794" s="371">
        <v>4.1513030000000004</v>
      </c>
      <c r="H1794" s="371">
        <v>5.9970869999999996</v>
      </c>
      <c r="I1794" s="289">
        <v>0.13650000000000001</v>
      </c>
      <c r="J1794" s="289">
        <v>0.1135</v>
      </c>
      <c r="K1794" s="288">
        <v>46.511009999999999</v>
      </c>
      <c r="L1794" s="324"/>
      <c r="M1794" s="399"/>
    </row>
    <row r="1795" spans="2:13" ht="17.25" thickBot="1">
      <c r="B1795" s="337"/>
      <c r="C1795" s="326"/>
      <c r="D1795" s="327" t="s">
        <v>463</v>
      </c>
      <c r="E1795" s="328">
        <f>AVERAGE(E1790:E1794)</f>
        <v>3.9918</v>
      </c>
      <c r="F1795" s="328">
        <f t="shared" ref="F1795:K1795" si="515">AVERAGE(F1790:F1794)</f>
        <v>5.2875999999999994</v>
      </c>
      <c r="G1795" s="328">
        <f t="shared" si="515"/>
        <v>4.1614173999999995</v>
      </c>
      <c r="H1795" s="328">
        <f t="shared" si="515"/>
        <v>6.0123832000000004</v>
      </c>
      <c r="I1795" s="329">
        <f t="shared" si="515"/>
        <v>0.13658000000000001</v>
      </c>
      <c r="J1795" s="329">
        <f t="shared" si="515"/>
        <v>0.11356000000000002</v>
      </c>
      <c r="K1795" s="330">
        <f t="shared" si="515"/>
        <v>46.562419999999996</v>
      </c>
      <c r="L1795" s="331"/>
      <c r="M1795" s="399"/>
    </row>
    <row r="1796" spans="2:13">
      <c r="B1796" s="333">
        <v>16</v>
      </c>
      <c r="C1796" s="271" t="s">
        <v>524</v>
      </c>
      <c r="D1796" s="291" t="s">
        <v>247</v>
      </c>
      <c r="E1796" s="302">
        <v>3.9780000000000002</v>
      </c>
      <c r="F1796" s="302">
        <v>5.33</v>
      </c>
      <c r="G1796" s="302">
        <v>4.20932</v>
      </c>
      <c r="H1796" s="302">
        <v>6.0587840000000002</v>
      </c>
      <c r="I1796" s="287">
        <v>0.13689999999999999</v>
      </c>
      <c r="J1796" s="287">
        <v>0.11360000000000001</v>
      </c>
      <c r="K1796" s="286">
        <v>46.91901</v>
      </c>
      <c r="L1796" s="359"/>
      <c r="M1796" s="401"/>
    </row>
    <row r="1797" spans="2:13">
      <c r="B1797" s="335">
        <v>17</v>
      </c>
      <c r="C1797" s="320"/>
      <c r="D1797" s="299" t="s">
        <v>248</v>
      </c>
      <c r="E1797" s="304">
        <v>3.9849999999999999</v>
      </c>
      <c r="F1797" s="304">
        <v>5.3280000000000003</v>
      </c>
      <c r="G1797" s="304">
        <v>4.2003490000000001</v>
      </c>
      <c r="H1797" s="304">
        <v>6.0331780000000004</v>
      </c>
      <c r="I1797" s="301">
        <v>0.13689999999999999</v>
      </c>
      <c r="J1797" s="301">
        <v>0.1139</v>
      </c>
      <c r="K1797" s="300">
        <v>46.777880000000003</v>
      </c>
      <c r="L1797" s="321"/>
      <c r="M1797" s="399"/>
    </row>
    <row r="1798" spans="2:13">
      <c r="B1798" s="335">
        <v>18</v>
      </c>
      <c r="C1798" s="320"/>
      <c r="D1798" s="299" t="s">
        <v>232</v>
      </c>
      <c r="E1798" s="304">
        <v>3.9910000000000001</v>
      </c>
      <c r="F1798" s="304">
        <v>5.3220000000000001</v>
      </c>
      <c r="G1798" s="304">
        <v>4.189311</v>
      </c>
      <c r="H1798" s="304">
        <v>6.0206099999999996</v>
      </c>
      <c r="I1798" s="301">
        <v>0.1368</v>
      </c>
      <c r="J1798" s="301">
        <v>0.11409999999999999</v>
      </c>
      <c r="K1798" s="300">
        <v>46.643300000000004</v>
      </c>
      <c r="L1798" s="321"/>
      <c r="M1798" s="399"/>
    </row>
    <row r="1799" spans="2:13">
      <c r="B1799" s="335">
        <v>19</v>
      </c>
      <c r="C1799" s="320"/>
      <c r="D1799" s="299" t="s">
        <v>233</v>
      </c>
      <c r="E1799" s="304">
        <v>3.9910000000000001</v>
      </c>
      <c r="F1799" s="304">
        <v>5.3150000000000004</v>
      </c>
      <c r="G1799" s="304">
        <v>4.1838009999999999</v>
      </c>
      <c r="H1799" s="304">
        <v>6.0223699999999996</v>
      </c>
      <c r="I1799" s="301">
        <v>0.13669999999999999</v>
      </c>
      <c r="J1799" s="301">
        <v>0.11409999999999999</v>
      </c>
      <c r="K1799" s="300">
        <v>46.581949999999999</v>
      </c>
      <c r="L1799" s="321"/>
      <c r="M1799" s="399"/>
    </row>
    <row r="1800" spans="2:13" ht="17.25" thickBot="1">
      <c r="B1800" s="336">
        <v>20</v>
      </c>
      <c r="C1800" s="323"/>
      <c r="D1800" s="293" t="s">
        <v>249</v>
      </c>
      <c r="E1800" s="371">
        <v>3.992</v>
      </c>
      <c r="F1800" s="371">
        <v>5.3140000000000001</v>
      </c>
      <c r="G1800" s="371">
        <v>4.1819660000000001</v>
      </c>
      <c r="H1800" s="371">
        <v>6.0139100000000001</v>
      </c>
      <c r="I1800" s="289">
        <v>0.13689999999999999</v>
      </c>
      <c r="J1800" s="289">
        <v>0.1139</v>
      </c>
      <c r="K1800" s="288">
        <v>46.654960000000003</v>
      </c>
      <c r="L1800" s="324"/>
      <c r="M1800" s="399"/>
    </row>
    <row r="1801" spans="2:13" ht="17.25" thickBot="1">
      <c r="B1801" s="337"/>
      <c r="C1801" s="326"/>
      <c r="D1801" s="327" t="s">
        <v>463</v>
      </c>
      <c r="E1801" s="328">
        <f>AVERAGE(E1796:E1800)</f>
        <v>3.9874000000000001</v>
      </c>
      <c r="F1801" s="328">
        <f t="shared" ref="F1801:K1801" si="516">AVERAGE(F1796:F1800)</f>
        <v>5.3218000000000005</v>
      </c>
      <c r="G1801" s="328">
        <f t="shared" si="516"/>
        <v>4.1929493999999998</v>
      </c>
      <c r="H1801" s="328">
        <f t="shared" si="516"/>
        <v>6.0297703999999994</v>
      </c>
      <c r="I1801" s="329">
        <f t="shared" si="516"/>
        <v>0.13683999999999999</v>
      </c>
      <c r="J1801" s="329">
        <f t="shared" si="516"/>
        <v>0.11391999999999999</v>
      </c>
      <c r="K1801" s="328">
        <f t="shared" si="516"/>
        <v>46.715420000000009</v>
      </c>
      <c r="L1801" s="331"/>
      <c r="M1801" s="399"/>
    </row>
    <row r="1802" spans="2:13">
      <c r="B1802" s="333">
        <v>21</v>
      </c>
      <c r="C1802" s="271" t="s">
        <v>525</v>
      </c>
      <c r="D1802" s="291" t="s">
        <v>250</v>
      </c>
      <c r="E1802" s="302">
        <v>3.972</v>
      </c>
      <c r="F1802" s="302">
        <v>5.3289999999999997</v>
      </c>
      <c r="G1802" s="302">
        <v>4.2148870000000001</v>
      </c>
      <c r="H1802" s="302">
        <v>6.0539269999999998</v>
      </c>
      <c r="I1802" s="287">
        <v>0.13689999999999999</v>
      </c>
      <c r="J1802" s="287">
        <v>0.1133</v>
      </c>
      <c r="K1802" s="286">
        <v>47.034419999999997</v>
      </c>
      <c r="L1802" s="332"/>
      <c r="M1802" s="399"/>
    </row>
    <row r="1803" spans="2:13">
      <c r="B1803" s="335">
        <v>22</v>
      </c>
      <c r="C1803" s="320"/>
      <c r="D1803" s="299" t="s">
        <v>251</v>
      </c>
      <c r="E1803" s="304">
        <v>3.9820000000000002</v>
      </c>
      <c r="F1803" s="304">
        <v>5.327</v>
      </c>
      <c r="G1803" s="304">
        <v>4.202725</v>
      </c>
      <c r="H1803" s="304">
        <v>6.045757</v>
      </c>
      <c r="I1803" s="301">
        <v>0.13689999999999999</v>
      </c>
      <c r="J1803" s="301">
        <v>0.11360000000000001</v>
      </c>
      <c r="K1803" s="300">
        <v>46.892609999999998</v>
      </c>
      <c r="L1803" s="321"/>
      <c r="M1803" s="399"/>
    </row>
    <row r="1804" spans="2:13">
      <c r="B1804" s="335">
        <v>23</v>
      </c>
      <c r="C1804" s="320"/>
      <c r="D1804" s="299" t="s">
        <v>237</v>
      </c>
      <c r="E1804" s="304">
        <v>3.9849999999999999</v>
      </c>
      <c r="F1804" s="304">
        <v>5.3170000000000002</v>
      </c>
      <c r="G1804" s="304">
        <v>4.1916770000000003</v>
      </c>
      <c r="H1804" s="304">
        <v>6.0276490000000003</v>
      </c>
      <c r="I1804" s="301">
        <v>0.13689999999999999</v>
      </c>
      <c r="J1804" s="301">
        <v>0.1139</v>
      </c>
      <c r="K1804" s="300">
        <v>46.6813</v>
      </c>
      <c r="L1804" s="321"/>
      <c r="M1804" s="399"/>
    </row>
    <row r="1805" spans="2:13">
      <c r="B1805" s="335">
        <v>24</v>
      </c>
      <c r="C1805" s="320"/>
      <c r="D1805" s="299" t="s">
        <v>238</v>
      </c>
      <c r="E1805" s="304">
        <v>3.9870000000000001</v>
      </c>
      <c r="F1805" s="304">
        <v>5.3109999999999999</v>
      </c>
      <c r="G1805" s="304">
        <v>4.1848470000000004</v>
      </c>
      <c r="H1805" s="304">
        <v>6.0218309999999997</v>
      </c>
      <c r="I1805" s="301">
        <v>0.13689999999999999</v>
      </c>
      <c r="J1805" s="301">
        <v>0.1138</v>
      </c>
      <c r="K1805" s="300">
        <v>46.669600000000003</v>
      </c>
      <c r="L1805" s="321"/>
      <c r="M1805" s="399"/>
    </row>
    <row r="1806" spans="2:13" ht="17.25" thickBot="1">
      <c r="B1806" s="336">
        <v>25</v>
      </c>
      <c r="C1806" s="323"/>
      <c r="D1806" s="293" t="s">
        <v>252</v>
      </c>
      <c r="E1806" s="371">
        <v>3.9849999999999999</v>
      </c>
      <c r="F1806" s="371">
        <v>5.3090000000000002</v>
      </c>
      <c r="G1806" s="371">
        <v>4.1853699999999998</v>
      </c>
      <c r="H1806" s="371">
        <v>6.0258399999999996</v>
      </c>
      <c r="I1806" s="289">
        <v>0.13689999999999999</v>
      </c>
      <c r="J1806" s="289">
        <v>0.11360000000000001</v>
      </c>
      <c r="K1806" s="288">
        <v>46.734160000000003</v>
      </c>
      <c r="L1806" s="324"/>
      <c r="M1806" s="399"/>
    </row>
    <row r="1807" spans="2:13" ht="17.25" thickBot="1">
      <c r="B1807" s="339" t="s">
        <v>464</v>
      </c>
      <c r="C1807" s="340"/>
      <c r="D1807" s="341" t="s">
        <v>465</v>
      </c>
      <c r="E1807" s="342">
        <f>AVERAGE(E1802:E1806)</f>
        <v>3.9822000000000002</v>
      </c>
      <c r="F1807" s="342">
        <f t="shared" ref="F1807:K1807" si="517">AVERAGE(F1802:F1806)</f>
        <v>5.3186</v>
      </c>
      <c r="G1807" s="342">
        <f t="shared" si="517"/>
        <v>4.1959011999999998</v>
      </c>
      <c r="H1807" s="342">
        <f t="shared" si="517"/>
        <v>6.0350007999999997</v>
      </c>
      <c r="I1807" s="343">
        <f t="shared" si="517"/>
        <v>0.13689999999999999</v>
      </c>
      <c r="J1807" s="343">
        <f t="shared" si="517"/>
        <v>0.11364</v>
      </c>
      <c r="K1807" s="342">
        <f t="shared" si="517"/>
        <v>46.802418000000003</v>
      </c>
      <c r="L1807" s="344"/>
      <c r="M1807" s="399"/>
    </row>
    <row r="1808" spans="2:13">
      <c r="B1808" s="333"/>
      <c r="C1808" s="345"/>
      <c r="D1808" s="291" t="s">
        <v>466</v>
      </c>
      <c r="E1808" s="346">
        <f>MEDIAN(E1778:E1782,E1784:E1788,E1790:E1794,E1796:E1800,E1802:E1806)</f>
        <v>3.9910000000000001</v>
      </c>
      <c r="F1808" s="346">
        <f t="shared" ref="F1808:K1808" si="518">MEDIAN(F1778:F1782,F1784:F1788,F1790:F1794,F1796:F1800,F1802:F1806)</f>
        <v>5.3140000000000001</v>
      </c>
      <c r="G1808" s="346">
        <f t="shared" si="518"/>
        <v>4.1848470000000004</v>
      </c>
      <c r="H1808" s="346">
        <f t="shared" si="518"/>
        <v>6.0206099999999996</v>
      </c>
      <c r="I1808" s="347">
        <f t="shared" si="518"/>
        <v>0.13689999999999999</v>
      </c>
      <c r="J1808" s="347">
        <f t="shared" si="518"/>
        <v>0.1137</v>
      </c>
      <c r="K1808" s="348">
        <f t="shared" si="518"/>
        <v>46.637320000000003</v>
      </c>
      <c r="L1808" s="332"/>
      <c r="M1808" s="399"/>
    </row>
    <row r="1809" spans="2:13">
      <c r="B1809" s="335"/>
      <c r="C1809" s="320"/>
      <c r="D1809" s="299" t="s">
        <v>467</v>
      </c>
      <c r="E1809" s="349">
        <f>AVERAGE(E1778:E1782,E1784:E1788,E1790:E1794,E1796:E1800,E1802:E1806)</f>
        <v>3.9895599999999996</v>
      </c>
      <c r="F1809" s="349">
        <f t="shared" ref="F1809:K1809" si="519">AVERAGE(F1778:F1782,F1784:F1788,F1790:F1794,F1796:F1800,F1802:F1806)</f>
        <v>5.3299199999999995</v>
      </c>
      <c r="G1809" s="349">
        <f t="shared" si="519"/>
        <v>4.1970835600000012</v>
      </c>
      <c r="H1809" s="349">
        <f t="shared" si="519"/>
        <v>6.0207040799999989</v>
      </c>
      <c r="I1809" s="350">
        <f t="shared" si="519"/>
        <v>0.13696799999999992</v>
      </c>
      <c r="J1809" s="350">
        <f t="shared" si="519"/>
        <v>0.1143</v>
      </c>
      <c r="K1809" s="351">
        <f t="shared" si="519"/>
        <v>46.632418919999992</v>
      </c>
      <c r="L1809" s="321"/>
      <c r="M1809" s="399"/>
    </row>
    <row r="1810" spans="2:13">
      <c r="B1810" s="335"/>
      <c r="C1810" s="320"/>
      <c r="D1810" s="299" t="s">
        <v>199</v>
      </c>
      <c r="E1810" s="349">
        <f>MAX(E1778:E1782,E1784:E1788,E1790:E1794,E1796:E1800,E1802:E1806)</f>
        <v>3.9990000000000001</v>
      </c>
      <c r="F1810" s="349">
        <f t="shared" ref="F1810:K1810" si="520">MAX(F1778:F1782,F1784:F1788,F1790:F1794,F1796:F1800,F1802:F1806)</f>
        <v>5.4539999999999997</v>
      </c>
      <c r="G1810" s="349">
        <f t="shared" si="520"/>
        <v>4.3029210000000004</v>
      </c>
      <c r="H1810" s="349">
        <f t="shared" si="520"/>
        <v>6.0587840000000002</v>
      </c>
      <c r="I1810" s="350">
        <f t="shared" si="520"/>
        <v>0.13800000000000001</v>
      </c>
      <c r="J1810" s="350">
        <f t="shared" si="520"/>
        <v>0.11749999999999999</v>
      </c>
      <c r="K1810" s="351">
        <f t="shared" si="520"/>
        <v>47.034419999999997</v>
      </c>
      <c r="L1810" s="321"/>
      <c r="M1810" s="399"/>
    </row>
    <row r="1811" spans="2:13">
      <c r="B1811" s="335"/>
      <c r="C1811" s="320"/>
      <c r="D1811" s="299" t="s">
        <v>200</v>
      </c>
      <c r="E1811" s="349">
        <f>MIN(E1778:E1782,E1784:E1788,E1790:E1794,E1796:E1800,E1802:E1806)</f>
        <v>3.972</v>
      </c>
      <c r="F1811" s="349">
        <f t="shared" ref="F1811:K1811" si="521">MIN(F1778:F1782,F1784:F1788,F1790:F1794,F1796:F1800,F1802:F1806)</f>
        <v>5.27</v>
      </c>
      <c r="G1811" s="349">
        <f t="shared" si="521"/>
        <v>4.1411150000000001</v>
      </c>
      <c r="H1811" s="349">
        <f t="shared" si="521"/>
        <v>5.994796</v>
      </c>
      <c r="I1811" s="350">
        <f t="shared" si="521"/>
        <v>0.13650000000000001</v>
      </c>
      <c r="J1811" s="350">
        <f t="shared" si="521"/>
        <v>0.11269999999999999</v>
      </c>
      <c r="K1811" s="351">
        <f t="shared" si="521"/>
        <v>46.331919999999997</v>
      </c>
      <c r="L1811" s="321"/>
      <c r="M1811" s="399"/>
    </row>
    <row r="1812" spans="2:13">
      <c r="B1812" s="335"/>
      <c r="C1812" s="320"/>
      <c r="D1812" s="299" t="s">
        <v>201</v>
      </c>
      <c r="E1812" s="349">
        <f>E1810-E1811</f>
        <v>2.7000000000000135E-2</v>
      </c>
      <c r="F1812" s="349">
        <f t="shared" ref="F1812:K1812" si="522">F1810-F1811</f>
        <v>0.18400000000000016</v>
      </c>
      <c r="G1812" s="349">
        <f t="shared" si="522"/>
        <v>0.16180600000000034</v>
      </c>
      <c r="H1812" s="349">
        <f t="shared" si="522"/>
        <v>6.3988000000000156E-2</v>
      </c>
      <c r="I1812" s="350">
        <f t="shared" si="522"/>
        <v>1.5000000000000013E-3</v>
      </c>
      <c r="J1812" s="350">
        <f t="shared" si="522"/>
        <v>4.7999999999999987E-3</v>
      </c>
      <c r="K1812" s="349">
        <f t="shared" si="522"/>
        <v>0.70250000000000057</v>
      </c>
      <c r="L1812" s="321"/>
      <c r="M1812" s="399"/>
    </row>
    <row r="1813" spans="2:13" ht="17.25" thickBot="1">
      <c r="B1813" s="336"/>
      <c r="C1813" s="323"/>
      <c r="D1813" s="293" t="s">
        <v>202</v>
      </c>
      <c r="E1813" s="352">
        <f>STDEVA(E1778:E1782,E1784:E1788,E1790:E1794,E1796:E1800,E1802:E1806)</f>
        <v>7.0004761742803465E-3</v>
      </c>
      <c r="F1813" s="352">
        <f t="shared" ref="F1813:K1813" si="523">STDEVA(F1778:F1782,F1784:F1788,F1790:F1794,F1796:F1800,F1802:F1806)</f>
        <v>6.3024413259201842E-2</v>
      </c>
      <c r="G1813" s="352">
        <f t="shared" si="523"/>
        <v>5.1102978695864602E-2</v>
      </c>
      <c r="H1813" s="352">
        <f t="shared" si="523"/>
        <v>1.614849488063826E-2</v>
      </c>
      <c r="I1813" s="353">
        <f t="shared" si="523"/>
        <v>4.9725915443224022E-4</v>
      </c>
      <c r="J1813" s="353">
        <f t="shared" si="523"/>
        <v>1.5792930908057128E-3</v>
      </c>
      <c r="K1813" s="352">
        <f t="shared" si="523"/>
        <v>0.17806060936446194</v>
      </c>
      <c r="L1813" s="324"/>
      <c r="M1813" s="399"/>
    </row>
    <row r="1815" spans="2:13">
      <c r="B1815" s="240" t="s">
        <v>526</v>
      </c>
      <c r="C1815" s="240"/>
      <c r="E1815" s="240"/>
      <c r="F1815" s="240"/>
      <c r="G1815" s="240"/>
      <c r="H1815" s="240"/>
      <c r="I1815" s="240"/>
      <c r="J1815" s="240"/>
      <c r="K1815" s="240"/>
    </row>
    <row r="1816" spans="2:13" ht="17.25" thickBot="1">
      <c r="B1816" s="240" t="s">
        <v>469</v>
      </c>
      <c r="C1816" s="240"/>
      <c r="E1816" s="240"/>
      <c r="F1816" s="240"/>
      <c r="G1816" s="240"/>
      <c r="H1816" s="240"/>
      <c r="I1816" s="240"/>
      <c r="J1816" s="240"/>
      <c r="K1816" s="240"/>
    </row>
    <row r="1817" spans="2:13" ht="17.25" thickBot="1">
      <c r="B1817" s="313" t="s">
        <v>11</v>
      </c>
      <c r="C1817" s="250" t="s">
        <v>0</v>
      </c>
      <c r="D1817" s="250" t="s">
        <v>1</v>
      </c>
      <c r="E1817" s="250" t="s">
        <v>2</v>
      </c>
      <c r="F1817" s="250" t="s">
        <v>3</v>
      </c>
      <c r="G1817" s="250" t="s">
        <v>192</v>
      </c>
      <c r="H1817" s="250" t="s">
        <v>16</v>
      </c>
      <c r="I1817" s="250" t="s">
        <v>6</v>
      </c>
      <c r="J1817" s="251" t="s">
        <v>7</v>
      </c>
      <c r="K1817" s="252" t="s">
        <v>8</v>
      </c>
      <c r="L1817" s="254" t="s">
        <v>470</v>
      </c>
      <c r="M1817" s="404"/>
    </row>
    <row r="1818" spans="2:13">
      <c r="B1818" s="314">
        <v>1</v>
      </c>
      <c r="C1818" s="271" t="s">
        <v>413</v>
      </c>
      <c r="D1818" s="291" t="s">
        <v>213</v>
      </c>
      <c r="E1818" s="302">
        <v>3.9790000000000001</v>
      </c>
      <c r="F1818" s="302">
        <v>5.2080000000000002</v>
      </c>
      <c r="G1818" s="302">
        <v>4.1119380000000003</v>
      </c>
      <c r="H1818" s="364">
        <v>6.1090619999999998</v>
      </c>
      <c r="I1818" s="287">
        <v>0.13739999999999999</v>
      </c>
      <c r="J1818" s="287">
        <v>0.10829999999999999</v>
      </c>
      <c r="K1818" s="286">
        <v>48.088642999999998</v>
      </c>
      <c r="L1818" s="275"/>
      <c r="M1818" s="397"/>
    </row>
    <row r="1819" spans="2:13">
      <c r="B1819" s="315">
        <v>2</v>
      </c>
      <c r="C1819" s="316"/>
      <c r="D1819" s="299" t="s">
        <v>214</v>
      </c>
      <c r="E1819" s="304">
        <v>3.9969999999999999</v>
      </c>
      <c r="F1819" s="304">
        <v>5.1859999999999999</v>
      </c>
      <c r="G1819" s="304">
        <v>4.0761289999999999</v>
      </c>
      <c r="H1819" s="370">
        <v>6.0673300000000001</v>
      </c>
      <c r="I1819" s="301">
        <v>0.13719999999999999</v>
      </c>
      <c r="J1819" s="301">
        <v>0.1086</v>
      </c>
      <c r="K1819" s="300">
        <v>47.753222999999998</v>
      </c>
      <c r="L1819" s="319"/>
      <c r="M1819" s="398"/>
    </row>
    <row r="1820" spans="2:13">
      <c r="B1820" s="315">
        <v>3</v>
      </c>
      <c r="C1820" s="320"/>
      <c r="D1820" s="299" t="s">
        <v>217</v>
      </c>
      <c r="E1820" s="304">
        <v>4.0069999999999997</v>
      </c>
      <c r="F1820" s="304">
        <v>5.1749999999999998</v>
      </c>
      <c r="G1820" s="304">
        <v>4.0573319999999997</v>
      </c>
      <c r="H1820" s="370">
        <v>6.0439160000000003</v>
      </c>
      <c r="I1820" s="301">
        <v>0.13730000000000001</v>
      </c>
      <c r="J1820" s="301">
        <v>0.1089</v>
      </c>
      <c r="K1820" s="300">
        <v>47.520660999999997</v>
      </c>
      <c r="L1820" s="356"/>
      <c r="M1820" s="400"/>
    </row>
    <row r="1821" spans="2:13">
      <c r="B1821" s="315">
        <v>4</v>
      </c>
      <c r="C1821" s="320"/>
      <c r="D1821" s="299" t="s">
        <v>218</v>
      </c>
      <c r="E1821" s="304">
        <v>4.0199999999999996</v>
      </c>
      <c r="F1821" s="304">
        <v>5.1619999999999999</v>
      </c>
      <c r="G1821" s="304">
        <v>4.034052</v>
      </c>
      <c r="H1821" s="370">
        <v>6.0319409999999998</v>
      </c>
      <c r="I1821" s="301">
        <v>0.13730000000000001</v>
      </c>
      <c r="J1821" s="301">
        <v>0.1089</v>
      </c>
      <c r="K1821" s="300">
        <v>47.401285999999999</v>
      </c>
      <c r="L1821" s="356"/>
      <c r="M1821" s="400"/>
    </row>
    <row r="1822" spans="2:13" ht="17.25" thickBot="1">
      <c r="B1822" s="322">
        <v>5</v>
      </c>
      <c r="C1822" s="323"/>
      <c r="D1822" s="293" t="s">
        <v>240</v>
      </c>
      <c r="E1822" s="371">
        <v>4.0339999999999998</v>
      </c>
      <c r="F1822" s="371">
        <v>5.1390000000000002</v>
      </c>
      <c r="G1822" s="371">
        <v>4.0021399999999998</v>
      </c>
      <c r="H1822" s="372">
        <v>6.0100530000000001</v>
      </c>
      <c r="I1822" s="289">
        <v>0.13719999999999999</v>
      </c>
      <c r="J1822" s="289">
        <v>0.1087</v>
      </c>
      <c r="K1822" s="288">
        <v>47.276909000000003</v>
      </c>
      <c r="L1822" s="324"/>
      <c r="M1822" s="399"/>
    </row>
    <row r="1823" spans="2:13" ht="17.25" thickBot="1">
      <c r="B1823" s="325"/>
      <c r="C1823" s="326"/>
      <c r="D1823" s="327" t="s">
        <v>463</v>
      </c>
      <c r="E1823" s="328">
        <f>AVERAGE(E1818:E1822)</f>
        <v>4.0073999999999996</v>
      </c>
      <c r="F1823" s="328">
        <f t="shared" ref="F1823:K1823" si="524">AVERAGE(F1818:F1822)</f>
        <v>5.1739999999999995</v>
      </c>
      <c r="G1823" s="328">
        <f t="shared" si="524"/>
        <v>4.0563181999999998</v>
      </c>
      <c r="H1823" s="373">
        <f t="shared" si="524"/>
        <v>6.0524603999999993</v>
      </c>
      <c r="I1823" s="329">
        <f t="shared" si="524"/>
        <v>0.13727999999999999</v>
      </c>
      <c r="J1823" s="329">
        <f t="shared" si="524"/>
        <v>0.10868</v>
      </c>
      <c r="K1823" s="330">
        <f t="shared" si="524"/>
        <v>47.6081444</v>
      </c>
      <c r="L1823" s="331"/>
      <c r="M1823" s="399"/>
    </row>
    <row r="1824" spans="2:13">
      <c r="B1824" s="314">
        <v>6</v>
      </c>
      <c r="C1824" s="271" t="s">
        <v>410</v>
      </c>
      <c r="D1824" s="291" t="s">
        <v>241</v>
      </c>
      <c r="E1824" s="302">
        <v>3.9769999999999999</v>
      </c>
      <c r="F1824" s="302">
        <v>5.1070000000000002</v>
      </c>
      <c r="G1824" s="302">
        <v>4.0342219999999998</v>
      </c>
      <c r="H1824" s="364">
        <v>5.9253600000000004</v>
      </c>
      <c r="I1824" s="287">
        <v>0.13689999999999999</v>
      </c>
      <c r="J1824" s="287">
        <v>0.1104</v>
      </c>
      <c r="K1824" s="286">
        <v>46.259058000000003</v>
      </c>
      <c r="L1824" s="332"/>
      <c r="M1824" s="399"/>
    </row>
    <row r="1825" spans="2:13">
      <c r="B1825" s="315">
        <v>7</v>
      </c>
      <c r="C1825" s="320"/>
      <c r="D1825" s="299" t="s">
        <v>242</v>
      </c>
      <c r="E1825" s="304">
        <v>3.984</v>
      </c>
      <c r="F1825" s="304">
        <v>5.1059999999999999</v>
      </c>
      <c r="G1825" s="304">
        <v>4.0263450000000001</v>
      </c>
      <c r="H1825" s="370">
        <v>5.9048930000000004</v>
      </c>
      <c r="I1825" s="301">
        <v>0.1368</v>
      </c>
      <c r="J1825" s="301">
        <v>0.1106</v>
      </c>
      <c r="K1825" s="300">
        <v>46.166364999999999</v>
      </c>
      <c r="L1825" s="321"/>
      <c r="M1825" s="399"/>
    </row>
    <row r="1826" spans="2:13">
      <c r="B1826" s="315">
        <v>8</v>
      </c>
      <c r="C1826" s="320"/>
      <c r="D1826" s="299" t="s">
        <v>222</v>
      </c>
      <c r="E1826" s="304">
        <v>3.9950000000000001</v>
      </c>
      <c r="F1826" s="304">
        <v>5.1180000000000003</v>
      </c>
      <c r="G1826" s="304">
        <v>4.0246950000000004</v>
      </c>
      <c r="H1826" s="370">
        <v>5.9130159999999998</v>
      </c>
      <c r="I1826" s="301">
        <v>0.1368</v>
      </c>
      <c r="J1826" s="301">
        <v>0.1109</v>
      </c>
      <c r="K1826" s="300">
        <v>46.149684000000001</v>
      </c>
      <c r="L1826" s="321"/>
      <c r="M1826" s="399"/>
    </row>
    <row r="1827" spans="2:13">
      <c r="B1827" s="315">
        <v>9</v>
      </c>
      <c r="C1827" s="320"/>
      <c r="D1827" s="299" t="s">
        <v>223</v>
      </c>
      <c r="E1827" s="304">
        <v>4.0069999999999997</v>
      </c>
      <c r="F1827" s="304">
        <v>5.1180000000000003</v>
      </c>
      <c r="G1827" s="304">
        <v>4.0126419999999996</v>
      </c>
      <c r="H1827" s="370">
        <v>5.9235420000000003</v>
      </c>
      <c r="I1827" s="301">
        <v>0.1368</v>
      </c>
      <c r="J1827" s="301">
        <v>0.1109</v>
      </c>
      <c r="K1827" s="300">
        <v>46.149684000000001</v>
      </c>
      <c r="L1827" s="321"/>
      <c r="M1827" s="399"/>
    </row>
    <row r="1828" spans="2:13" ht="17.25" thickBot="1">
      <c r="B1828" s="322">
        <v>10</v>
      </c>
      <c r="C1828" s="323"/>
      <c r="D1828" s="293" t="s">
        <v>243</v>
      </c>
      <c r="E1828" s="371">
        <v>4.0199999999999996</v>
      </c>
      <c r="F1828" s="371">
        <v>5.1139999999999999</v>
      </c>
      <c r="G1828" s="371">
        <v>3.99654</v>
      </c>
      <c r="H1828" s="372">
        <v>5.9188609999999997</v>
      </c>
      <c r="I1828" s="289">
        <v>0.13669999999999999</v>
      </c>
      <c r="J1828" s="289">
        <v>0.11070000000000001</v>
      </c>
      <c r="K1828" s="288">
        <v>46.196928999999997</v>
      </c>
      <c r="L1828" s="324"/>
      <c r="M1828" s="399"/>
    </row>
    <row r="1829" spans="2:13" ht="17.25" thickBot="1">
      <c r="B1829" s="325" t="s">
        <v>464</v>
      </c>
      <c r="C1829" s="326"/>
      <c r="D1829" s="327" t="s">
        <v>463</v>
      </c>
      <c r="E1829" s="328">
        <f t="shared" ref="E1829:K1829" si="525">AVERAGE(E1824:E1828)</f>
        <v>3.9965999999999995</v>
      </c>
      <c r="F1829" s="328">
        <f t="shared" si="525"/>
        <v>5.1126000000000005</v>
      </c>
      <c r="G1829" s="328">
        <f t="shared" si="525"/>
        <v>4.0188888</v>
      </c>
      <c r="H1829" s="373">
        <f t="shared" si="525"/>
        <v>5.9171344000000001</v>
      </c>
      <c r="I1829" s="329">
        <f t="shared" si="525"/>
        <v>0.13679999999999998</v>
      </c>
      <c r="J1829" s="329">
        <f t="shared" si="525"/>
        <v>0.11069999999999999</v>
      </c>
      <c r="K1829" s="330">
        <f t="shared" si="525"/>
        <v>46.184343999999996</v>
      </c>
      <c r="L1829" s="331"/>
      <c r="M1829" s="399"/>
    </row>
    <row r="1830" spans="2:13">
      <c r="B1830" s="333">
        <v>11</v>
      </c>
      <c r="C1830" s="271" t="s">
        <v>412</v>
      </c>
      <c r="D1830" s="291" t="s">
        <v>244</v>
      </c>
      <c r="E1830" s="302">
        <v>3.9769999999999999</v>
      </c>
      <c r="F1830" s="302">
        <v>5.0449999999999999</v>
      </c>
      <c r="G1830" s="302">
        <v>3.9852460000000001</v>
      </c>
      <c r="H1830" s="302">
        <v>5.8981170000000001</v>
      </c>
      <c r="I1830" s="287">
        <v>0.13750000000000001</v>
      </c>
      <c r="J1830" s="287">
        <v>0.10879999999999999</v>
      </c>
      <c r="K1830" s="286">
        <v>46.369484999999997</v>
      </c>
      <c r="L1830" s="332"/>
      <c r="M1830" s="399"/>
    </row>
    <row r="1831" spans="2:13">
      <c r="B1831" s="335">
        <v>12</v>
      </c>
      <c r="C1831" s="316"/>
      <c r="D1831" s="299" t="s">
        <v>245</v>
      </c>
      <c r="E1831" s="304">
        <v>3.984</v>
      </c>
      <c r="F1831" s="304">
        <v>5.0419999999999998</v>
      </c>
      <c r="G1831" s="304">
        <v>3.9758779999999998</v>
      </c>
      <c r="H1831" s="304">
        <v>5.8863989999999999</v>
      </c>
      <c r="I1831" s="301">
        <v>0.13739999999999999</v>
      </c>
      <c r="J1831" s="301">
        <v>0.1091</v>
      </c>
      <c r="K1831" s="300">
        <v>46.214481999999997</v>
      </c>
      <c r="L1831" s="321"/>
      <c r="M1831" s="399"/>
    </row>
    <row r="1832" spans="2:13">
      <c r="B1832" s="335">
        <v>13</v>
      </c>
      <c r="C1832" s="320"/>
      <c r="D1832" s="299" t="s">
        <v>227</v>
      </c>
      <c r="E1832" s="304">
        <v>3.9929999999999999</v>
      </c>
      <c r="F1832" s="304">
        <v>5.048</v>
      </c>
      <c r="G1832" s="304">
        <v>3.9716369999999999</v>
      </c>
      <c r="H1832" s="304">
        <v>5.8819150000000002</v>
      </c>
      <c r="I1832" s="301">
        <v>0.13730000000000001</v>
      </c>
      <c r="J1832" s="301">
        <v>0.10929999999999999</v>
      </c>
      <c r="K1832" s="300">
        <v>46.184812000000001</v>
      </c>
      <c r="L1832" s="321"/>
      <c r="M1832" s="399"/>
    </row>
    <row r="1833" spans="2:13">
      <c r="B1833" s="335">
        <v>14</v>
      </c>
      <c r="C1833" s="320"/>
      <c r="D1833" s="299" t="s">
        <v>228</v>
      </c>
      <c r="E1833" s="304">
        <v>4.0019999999999998</v>
      </c>
      <c r="F1833" s="304">
        <v>5.0579999999999998</v>
      </c>
      <c r="G1833" s="304">
        <v>3.9705550000000001</v>
      </c>
      <c r="H1833" s="304">
        <v>5.8955710000000003</v>
      </c>
      <c r="I1833" s="301">
        <v>0.13730000000000001</v>
      </c>
      <c r="J1833" s="301">
        <v>0.10929999999999999</v>
      </c>
      <c r="K1833" s="300">
        <v>46.276304000000003</v>
      </c>
      <c r="L1833" s="321"/>
      <c r="M1833" s="399"/>
    </row>
    <row r="1834" spans="2:13" ht="17.25" thickBot="1">
      <c r="B1834" s="336">
        <v>15</v>
      </c>
      <c r="C1834" s="323"/>
      <c r="D1834" s="293" t="s">
        <v>246</v>
      </c>
      <c r="E1834" s="371">
        <v>4.0110000000000001</v>
      </c>
      <c r="F1834" s="371">
        <v>5.0529999999999999</v>
      </c>
      <c r="G1834" s="371">
        <v>3.9577300000000002</v>
      </c>
      <c r="H1834" s="371">
        <v>5.904401</v>
      </c>
      <c r="I1834" s="289">
        <v>0.13730000000000001</v>
      </c>
      <c r="J1834" s="289">
        <v>0.1091</v>
      </c>
      <c r="K1834" s="288">
        <v>46.315306999999997</v>
      </c>
      <c r="L1834" s="324"/>
      <c r="M1834" s="399"/>
    </row>
    <row r="1835" spans="2:13" ht="17.25" thickBot="1">
      <c r="B1835" s="337"/>
      <c r="C1835" s="326"/>
      <c r="D1835" s="327" t="s">
        <v>463</v>
      </c>
      <c r="E1835" s="328">
        <f>AVERAGE(E1830:E1834)</f>
        <v>3.9933999999999998</v>
      </c>
      <c r="F1835" s="328">
        <f t="shared" ref="F1835:K1835" si="526">AVERAGE(F1830:F1834)</f>
        <v>5.0491999999999999</v>
      </c>
      <c r="G1835" s="328">
        <f t="shared" si="526"/>
        <v>3.9722092000000004</v>
      </c>
      <c r="H1835" s="328">
        <f t="shared" si="526"/>
        <v>5.8932805999999998</v>
      </c>
      <c r="I1835" s="329">
        <f t="shared" si="526"/>
        <v>0.13735999999999998</v>
      </c>
      <c r="J1835" s="329">
        <f t="shared" si="526"/>
        <v>0.10911999999999999</v>
      </c>
      <c r="K1835" s="330">
        <f t="shared" si="526"/>
        <v>46.272078</v>
      </c>
      <c r="L1835" s="331"/>
      <c r="M1835" s="399"/>
    </row>
    <row r="1836" spans="2:13">
      <c r="B1836" s="333">
        <v>16</v>
      </c>
      <c r="C1836" s="271" t="s">
        <v>410</v>
      </c>
      <c r="D1836" s="291" t="s">
        <v>247</v>
      </c>
      <c r="E1836" s="302">
        <v>3.9689999999999999</v>
      </c>
      <c r="F1836" s="302">
        <v>5.0419999999999998</v>
      </c>
      <c r="G1836" s="302">
        <v>3.990904</v>
      </c>
      <c r="H1836" s="302">
        <v>5.8385680000000004</v>
      </c>
      <c r="I1836" s="287">
        <v>0.13689999999999999</v>
      </c>
      <c r="J1836" s="287">
        <v>0.1104</v>
      </c>
      <c r="K1836" s="286">
        <v>45.670290000000001</v>
      </c>
      <c r="L1836" s="359"/>
      <c r="M1836" s="401"/>
    </row>
    <row r="1837" spans="2:13">
      <c r="B1837" s="335">
        <v>17</v>
      </c>
      <c r="C1837" s="320"/>
      <c r="D1837" s="299" t="s">
        <v>248</v>
      </c>
      <c r="E1837" s="304">
        <v>3.9769999999999999</v>
      </c>
      <c r="F1837" s="304">
        <v>5.0490000000000004</v>
      </c>
      <c r="G1837" s="304">
        <v>3.9884050000000002</v>
      </c>
      <c r="H1837" s="304">
        <v>5.8268570000000004</v>
      </c>
      <c r="I1837" s="301">
        <v>0.13689999999999999</v>
      </c>
      <c r="J1837" s="301">
        <v>0.1108</v>
      </c>
      <c r="K1837" s="300">
        <v>45.568592000000002</v>
      </c>
      <c r="L1837" s="321"/>
      <c r="M1837" s="399"/>
    </row>
    <row r="1838" spans="2:13">
      <c r="B1838" s="335">
        <v>18</v>
      </c>
      <c r="C1838" s="320"/>
      <c r="D1838" s="299" t="s">
        <v>232</v>
      </c>
      <c r="E1838" s="304">
        <v>3.9830000000000001</v>
      </c>
      <c r="F1838" s="304">
        <v>5.056</v>
      </c>
      <c r="G1838" s="304">
        <v>3.9879180000000001</v>
      </c>
      <c r="H1838" s="304">
        <v>5.8304390000000001</v>
      </c>
      <c r="I1838" s="301">
        <v>0.1368</v>
      </c>
      <c r="J1838" s="301">
        <v>0.111</v>
      </c>
      <c r="K1838" s="300">
        <v>45.549550000000004</v>
      </c>
      <c r="L1838" s="321"/>
      <c r="M1838" s="399"/>
    </row>
    <row r="1839" spans="2:13">
      <c r="B1839" s="335">
        <v>19</v>
      </c>
      <c r="C1839" s="320"/>
      <c r="D1839" s="299" t="s">
        <v>233</v>
      </c>
      <c r="E1839" s="304">
        <v>3.9889999999999999</v>
      </c>
      <c r="F1839" s="304">
        <v>5.0590000000000002</v>
      </c>
      <c r="G1839" s="304">
        <v>3.984283</v>
      </c>
      <c r="H1839" s="304">
        <v>5.8401249999999996</v>
      </c>
      <c r="I1839" s="301">
        <v>0.13689999999999999</v>
      </c>
      <c r="J1839" s="301">
        <v>0.1109</v>
      </c>
      <c r="K1839" s="300">
        <v>45.617674000000001</v>
      </c>
      <c r="L1839" s="321"/>
      <c r="M1839" s="399"/>
    </row>
    <row r="1840" spans="2:13" ht="17.25" thickBot="1">
      <c r="B1840" s="336">
        <v>20</v>
      </c>
      <c r="C1840" s="323"/>
      <c r="D1840" s="293" t="s">
        <v>249</v>
      </c>
      <c r="E1840" s="371">
        <v>3.9940000000000002</v>
      </c>
      <c r="F1840" s="371">
        <v>5.0599999999999996</v>
      </c>
      <c r="G1840" s="371">
        <v>3.9800810000000002</v>
      </c>
      <c r="H1840" s="371">
        <v>5.8457169999999996</v>
      </c>
      <c r="I1840" s="289">
        <v>0.1368</v>
      </c>
      <c r="J1840" s="289">
        <v>0.11070000000000001</v>
      </c>
      <c r="K1840" s="288">
        <v>45.709124000000003</v>
      </c>
      <c r="L1840" s="324"/>
      <c r="M1840" s="399"/>
    </row>
    <row r="1841" spans="2:13" ht="17.25" thickBot="1">
      <c r="B1841" s="337"/>
      <c r="C1841" s="326"/>
      <c r="D1841" s="327" t="s">
        <v>463</v>
      </c>
      <c r="E1841" s="328">
        <f>AVERAGE(E1836:E1840)</f>
        <v>3.9823999999999997</v>
      </c>
      <c r="F1841" s="328">
        <f t="shared" ref="F1841:K1841" si="527">AVERAGE(F1836:F1840)</f>
        <v>5.0532000000000004</v>
      </c>
      <c r="G1841" s="328">
        <f t="shared" si="527"/>
        <v>3.9863182000000004</v>
      </c>
      <c r="H1841" s="328">
        <f t="shared" si="527"/>
        <v>5.8363412000000006</v>
      </c>
      <c r="I1841" s="329">
        <f t="shared" si="527"/>
        <v>0.13686000000000001</v>
      </c>
      <c r="J1841" s="329">
        <f t="shared" si="527"/>
        <v>0.11076</v>
      </c>
      <c r="K1841" s="328">
        <f t="shared" si="527"/>
        <v>45.623046000000002</v>
      </c>
      <c r="L1841" s="331"/>
      <c r="M1841" s="399"/>
    </row>
    <row r="1842" spans="2:13">
      <c r="B1842" s="333">
        <v>21</v>
      </c>
      <c r="C1842" s="271" t="s">
        <v>411</v>
      </c>
      <c r="D1842" s="291" t="s">
        <v>250</v>
      </c>
      <c r="E1842" s="302">
        <v>3.964</v>
      </c>
      <c r="F1842" s="302">
        <v>5.0369999999999999</v>
      </c>
      <c r="G1842" s="302">
        <v>3.9919750000000001</v>
      </c>
      <c r="H1842" s="302">
        <v>5.8436560000000002</v>
      </c>
      <c r="I1842" s="287">
        <v>0.13700000000000001</v>
      </c>
      <c r="J1842" s="287">
        <v>0.1103</v>
      </c>
      <c r="K1842" s="286">
        <v>45.666364000000002</v>
      </c>
      <c r="L1842" s="332"/>
      <c r="M1842" s="399"/>
    </row>
    <row r="1843" spans="2:13">
      <c r="B1843" s="335">
        <v>22</v>
      </c>
      <c r="C1843" s="320"/>
      <c r="D1843" s="299" t="s">
        <v>251</v>
      </c>
      <c r="E1843" s="304">
        <v>3.9710000000000001</v>
      </c>
      <c r="F1843" s="304">
        <v>5.0330000000000004</v>
      </c>
      <c r="G1843" s="304">
        <v>3.981773</v>
      </c>
      <c r="H1843" s="304">
        <v>5.8230029999999999</v>
      </c>
      <c r="I1843" s="301">
        <v>0.13689999999999999</v>
      </c>
      <c r="J1843" s="301">
        <v>0.1105</v>
      </c>
      <c r="K1843" s="300">
        <v>45.547511</v>
      </c>
      <c r="L1843" s="321"/>
      <c r="M1843" s="399"/>
    </row>
    <row r="1844" spans="2:13">
      <c r="B1844" s="335">
        <v>23</v>
      </c>
      <c r="C1844" s="320"/>
      <c r="D1844" s="299" t="s">
        <v>237</v>
      </c>
      <c r="E1844" s="304">
        <v>3.9750000000000001</v>
      </c>
      <c r="F1844" s="304">
        <v>5.0369999999999999</v>
      </c>
      <c r="G1844" s="304">
        <v>3.980928</v>
      </c>
      <c r="H1844" s="304">
        <v>5.8248340000000001</v>
      </c>
      <c r="I1844" s="301">
        <v>0.13700000000000001</v>
      </c>
      <c r="J1844" s="301">
        <v>0.11070000000000001</v>
      </c>
      <c r="K1844" s="300">
        <v>45.501354999999997</v>
      </c>
      <c r="L1844" s="321"/>
      <c r="M1844" s="399"/>
    </row>
    <row r="1845" spans="2:13">
      <c r="B1845" s="335">
        <v>24</v>
      </c>
      <c r="C1845" s="320"/>
      <c r="D1845" s="299" t="s">
        <v>238</v>
      </c>
      <c r="E1845" s="304">
        <v>3.976</v>
      </c>
      <c r="F1845" s="304">
        <v>5.0350000000000001</v>
      </c>
      <c r="G1845" s="304">
        <v>3.9783460000000002</v>
      </c>
      <c r="H1845" s="304">
        <v>5.8237209999999999</v>
      </c>
      <c r="I1845" s="301">
        <v>0.1368</v>
      </c>
      <c r="J1845" s="301">
        <v>0.11070000000000001</v>
      </c>
      <c r="K1845" s="300">
        <v>45.483288000000002</v>
      </c>
      <c r="L1845" s="321"/>
      <c r="M1845" s="399"/>
    </row>
    <row r="1846" spans="2:13" ht="17.25" thickBot="1">
      <c r="B1846" s="336">
        <v>25</v>
      </c>
      <c r="C1846" s="323"/>
      <c r="D1846" s="293" t="s">
        <v>252</v>
      </c>
      <c r="E1846" s="371">
        <v>3.9780000000000002</v>
      </c>
      <c r="F1846" s="371">
        <v>5.0309999999999997</v>
      </c>
      <c r="G1846" s="371">
        <v>3.9731869999999998</v>
      </c>
      <c r="H1846" s="371">
        <v>5.8302230000000002</v>
      </c>
      <c r="I1846" s="289">
        <v>0.13689999999999999</v>
      </c>
      <c r="J1846" s="289">
        <v>0.1104</v>
      </c>
      <c r="K1846" s="288">
        <v>45.570652000000003</v>
      </c>
      <c r="L1846" s="324"/>
      <c r="M1846" s="399"/>
    </row>
    <row r="1847" spans="2:13" ht="17.25" thickBot="1">
      <c r="B1847" s="339" t="s">
        <v>464</v>
      </c>
      <c r="C1847" s="340"/>
      <c r="D1847" s="341" t="s">
        <v>465</v>
      </c>
      <c r="E1847" s="342">
        <f>AVERAGE(E1842:E1846)</f>
        <v>3.9728000000000003</v>
      </c>
      <c r="F1847" s="342">
        <f t="shared" ref="F1847:K1847" si="528">AVERAGE(F1842:F1846)</f>
        <v>5.0345999999999993</v>
      </c>
      <c r="G1847" s="342">
        <f t="shared" si="528"/>
        <v>3.9812418000000003</v>
      </c>
      <c r="H1847" s="342">
        <f t="shared" si="528"/>
        <v>5.8290873999999997</v>
      </c>
      <c r="I1847" s="343">
        <f t="shared" si="528"/>
        <v>0.13692000000000001</v>
      </c>
      <c r="J1847" s="343">
        <f t="shared" si="528"/>
        <v>0.11051999999999999</v>
      </c>
      <c r="K1847" s="342">
        <f t="shared" si="528"/>
        <v>45.553833999999995</v>
      </c>
      <c r="L1847" s="344"/>
      <c r="M1847" s="399"/>
    </row>
    <row r="1848" spans="2:13">
      <c r="B1848" s="333"/>
      <c r="C1848" s="345"/>
      <c r="D1848" s="291" t="s">
        <v>466</v>
      </c>
      <c r="E1848" s="346">
        <f>MEDIAN(E1818:E1822,E1824:E1828,E1830:E1834,E1836:E1840,E1842:E1846)</f>
        <v>3.984</v>
      </c>
      <c r="F1848" s="346">
        <f t="shared" ref="F1848:K1848" si="529">MEDIAN(F1818:F1822,F1824:F1828,F1830:F1834,F1836:F1840,F1842:F1846)</f>
        <v>5.0579999999999998</v>
      </c>
      <c r="G1848" s="346">
        <f t="shared" si="529"/>
        <v>3.9884050000000002</v>
      </c>
      <c r="H1848" s="346">
        <f t="shared" si="529"/>
        <v>5.8955710000000003</v>
      </c>
      <c r="I1848" s="347">
        <f t="shared" si="529"/>
        <v>0.13689999999999999</v>
      </c>
      <c r="J1848" s="347">
        <f t="shared" si="529"/>
        <v>0.1104</v>
      </c>
      <c r="K1848" s="348">
        <f t="shared" si="529"/>
        <v>46.166364999999999</v>
      </c>
      <c r="L1848" s="332"/>
      <c r="M1848" s="399"/>
    </row>
    <row r="1849" spans="2:13">
      <c r="B1849" s="335"/>
      <c r="C1849" s="320"/>
      <c r="D1849" s="299" t="s">
        <v>467</v>
      </c>
      <c r="E1849" s="349">
        <f>AVERAGE(E1818:E1822,E1824:E1828,E1830:E1834,E1836:E1840,E1842:E1846)</f>
        <v>3.9905200000000001</v>
      </c>
      <c r="F1849" s="349">
        <f t="shared" ref="F1849:K1849" si="530">AVERAGE(F1818:F1822,F1824:F1828,F1830:F1834,F1836:F1840,F1842:F1846)</f>
        <v>5.0847200000000008</v>
      </c>
      <c r="G1849" s="349">
        <f t="shared" si="530"/>
        <v>4.0029952400000006</v>
      </c>
      <c r="H1849" s="349">
        <f t="shared" si="530"/>
        <v>5.9056607999999997</v>
      </c>
      <c r="I1849" s="350">
        <f t="shared" si="530"/>
        <v>0.13704399999999997</v>
      </c>
      <c r="J1849" s="350">
        <f t="shared" si="530"/>
        <v>0.109956</v>
      </c>
      <c r="K1849" s="351">
        <f t="shared" si="530"/>
        <v>46.248289279999987</v>
      </c>
      <c r="L1849" s="321"/>
      <c r="M1849" s="399"/>
    </row>
    <row r="1850" spans="2:13">
      <c r="B1850" s="335"/>
      <c r="C1850" s="320"/>
      <c r="D1850" s="299" t="s">
        <v>199</v>
      </c>
      <c r="E1850" s="349">
        <f>MAX(E1818:E1822,E1824:E1828,E1830:E1834,E1836:E1840,E1842:E1846)</f>
        <v>4.0339999999999998</v>
      </c>
      <c r="F1850" s="349">
        <f t="shared" ref="F1850:K1850" si="531">MAX(F1818:F1822,F1824:F1828,F1830:F1834,F1836:F1840,F1842:F1846)</f>
        <v>5.2080000000000002</v>
      </c>
      <c r="G1850" s="349">
        <f t="shared" si="531"/>
        <v>4.1119380000000003</v>
      </c>
      <c r="H1850" s="349">
        <f t="shared" si="531"/>
        <v>6.1090619999999998</v>
      </c>
      <c r="I1850" s="350">
        <f t="shared" si="531"/>
        <v>0.13750000000000001</v>
      </c>
      <c r="J1850" s="350">
        <f t="shared" si="531"/>
        <v>0.111</v>
      </c>
      <c r="K1850" s="351">
        <f t="shared" si="531"/>
        <v>48.088642999999998</v>
      </c>
      <c r="L1850" s="321"/>
      <c r="M1850" s="399"/>
    </row>
    <row r="1851" spans="2:13">
      <c r="B1851" s="335"/>
      <c r="C1851" s="320"/>
      <c r="D1851" s="299" t="s">
        <v>200</v>
      </c>
      <c r="E1851" s="349">
        <f>MIN(E1818:E1822,E1824:E1828,E1830:E1834,E1836:E1840,E1842:E1846)</f>
        <v>3.964</v>
      </c>
      <c r="F1851" s="349">
        <f t="shared" ref="F1851:K1851" si="532">MIN(F1818:F1822,F1824:F1828,F1830:F1834,F1836:F1840,F1842:F1846)</f>
        <v>5.0309999999999997</v>
      </c>
      <c r="G1851" s="349">
        <f t="shared" si="532"/>
        <v>3.9577300000000002</v>
      </c>
      <c r="H1851" s="349">
        <f t="shared" si="532"/>
        <v>5.8230029999999999</v>
      </c>
      <c r="I1851" s="350">
        <f t="shared" si="532"/>
        <v>0.13669999999999999</v>
      </c>
      <c r="J1851" s="350">
        <f t="shared" si="532"/>
        <v>0.10829999999999999</v>
      </c>
      <c r="K1851" s="351">
        <f t="shared" si="532"/>
        <v>45.483288000000002</v>
      </c>
      <c r="L1851" s="321"/>
      <c r="M1851" s="399"/>
    </row>
    <row r="1852" spans="2:13">
      <c r="B1852" s="335"/>
      <c r="C1852" s="320"/>
      <c r="D1852" s="299" t="s">
        <v>201</v>
      </c>
      <c r="E1852" s="349">
        <f>E1850-E1851</f>
        <v>6.999999999999984E-2</v>
      </c>
      <c r="F1852" s="349">
        <f t="shared" ref="F1852:K1852" si="533">F1850-F1851</f>
        <v>0.17700000000000049</v>
      </c>
      <c r="G1852" s="349">
        <f t="shared" si="533"/>
        <v>0.15420800000000012</v>
      </c>
      <c r="H1852" s="349">
        <f t="shared" si="533"/>
        <v>0.28605899999999984</v>
      </c>
      <c r="I1852" s="350">
        <f t="shared" si="533"/>
        <v>8.0000000000002292E-4</v>
      </c>
      <c r="J1852" s="350">
        <f t="shared" si="533"/>
        <v>2.7000000000000079E-3</v>
      </c>
      <c r="K1852" s="349">
        <f t="shared" si="533"/>
        <v>2.6053549999999959</v>
      </c>
      <c r="L1852" s="321"/>
      <c r="M1852" s="399"/>
    </row>
    <row r="1853" spans="2:13" ht="17.25" thickBot="1">
      <c r="B1853" s="336"/>
      <c r="C1853" s="323"/>
      <c r="D1853" s="293" t="s">
        <v>202</v>
      </c>
      <c r="E1853" s="352">
        <f>STDEVA(E1818:E1822,E1824:E1828,E1830:E1834,E1836:E1840,E1842:E1846)</f>
        <v>1.8009534511844828E-2</v>
      </c>
      <c r="F1853" s="352">
        <f t="shared" ref="F1853:K1853" si="534">STDEVA(F1818:F1822,F1824:F1828,F1830:F1834,F1836:F1840,F1842:F1846)</f>
        <v>5.4315068504667011E-2</v>
      </c>
      <c r="G1853" s="352">
        <f t="shared" si="534"/>
        <v>3.6749311941722117E-2</v>
      </c>
      <c r="H1853" s="352">
        <f t="shared" si="534"/>
        <v>8.4007113290085922E-2</v>
      </c>
      <c r="I1853" s="353">
        <f t="shared" si="534"/>
        <v>2.4508501926202484E-4</v>
      </c>
      <c r="J1853" s="353">
        <f t="shared" si="534"/>
        <v>9.1655150791795069E-4</v>
      </c>
      <c r="K1853" s="352">
        <f t="shared" si="534"/>
        <v>0.7669448499677417</v>
      </c>
      <c r="L1853" s="324"/>
      <c r="M1853" s="399"/>
    </row>
    <row r="1855" spans="2:13">
      <c r="B1855" s="240" t="s">
        <v>527</v>
      </c>
      <c r="C1855" s="240"/>
      <c r="E1855" s="240"/>
      <c r="F1855" s="240"/>
      <c r="G1855" s="240"/>
      <c r="H1855" s="240"/>
      <c r="I1855" s="240"/>
      <c r="J1855" s="240"/>
      <c r="K1855" s="240"/>
    </row>
    <row r="1856" spans="2:13" ht="17.25" thickBot="1">
      <c r="B1856" s="240" t="s">
        <v>469</v>
      </c>
      <c r="C1856" s="240"/>
      <c r="E1856" s="240"/>
      <c r="F1856" s="240"/>
      <c r="G1856" s="240"/>
      <c r="H1856" s="240"/>
      <c r="I1856" s="240"/>
      <c r="J1856" s="240"/>
      <c r="K1856" s="240"/>
    </row>
    <row r="1857" spans="2:13" ht="17.25" thickBot="1">
      <c r="B1857" s="313" t="s">
        <v>11</v>
      </c>
      <c r="C1857" s="250" t="s">
        <v>0</v>
      </c>
      <c r="D1857" s="250" t="s">
        <v>1</v>
      </c>
      <c r="E1857" s="250" t="s">
        <v>2</v>
      </c>
      <c r="F1857" s="250" t="s">
        <v>3</v>
      </c>
      <c r="G1857" s="250" t="s">
        <v>192</v>
      </c>
      <c r="H1857" s="250" t="s">
        <v>16</v>
      </c>
      <c r="I1857" s="250" t="s">
        <v>6</v>
      </c>
      <c r="J1857" s="251" t="s">
        <v>7</v>
      </c>
      <c r="K1857" s="252" t="s">
        <v>8</v>
      </c>
      <c r="L1857" s="254" t="s">
        <v>470</v>
      </c>
      <c r="M1857" s="404"/>
    </row>
    <row r="1858" spans="2:13">
      <c r="B1858" s="314">
        <v>1</v>
      </c>
      <c r="C1858" s="271" t="s">
        <v>413</v>
      </c>
      <c r="D1858" s="291" t="s">
        <v>213</v>
      </c>
      <c r="E1858" s="302">
        <v>4.0910000000000002</v>
      </c>
      <c r="F1858" s="302">
        <v>5.3150000000000004</v>
      </c>
      <c r="G1858" s="302">
        <v>4.0815330000000003</v>
      </c>
      <c r="H1858" s="364">
        <v>6.0702410000000002</v>
      </c>
      <c r="I1858" s="287">
        <v>0.1361</v>
      </c>
      <c r="J1858" s="287">
        <v>0.113</v>
      </c>
      <c r="K1858" s="286">
        <v>47.035398000000001</v>
      </c>
      <c r="L1858" s="275"/>
      <c r="M1858" s="397"/>
    </row>
    <row r="1859" spans="2:13">
      <c r="B1859" s="315">
        <v>2</v>
      </c>
      <c r="C1859" s="316"/>
      <c r="D1859" s="299" t="s">
        <v>214</v>
      </c>
      <c r="E1859" s="304">
        <v>4.109</v>
      </c>
      <c r="F1859" s="304">
        <v>5.282</v>
      </c>
      <c r="G1859" s="304">
        <v>4.0384229999999999</v>
      </c>
      <c r="H1859" s="370">
        <v>6.020073</v>
      </c>
      <c r="I1859" s="301">
        <v>0.1361</v>
      </c>
      <c r="J1859" s="301">
        <v>0.1133</v>
      </c>
      <c r="K1859" s="300">
        <v>46.619593999999999</v>
      </c>
      <c r="L1859" s="319"/>
      <c r="M1859" s="398"/>
    </row>
    <row r="1860" spans="2:13">
      <c r="B1860" s="315">
        <v>3</v>
      </c>
      <c r="C1860" s="320"/>
      <c r="D1860" s="299" t="s">
        <v>217</v>
      </c>
      <c r="E1860" s="304">
        <v>4.125</v>
      </c>
      <c r="F1860" s="304">
        <v>5.2770000000000001</v>
      </c>
      <c r="G1860" s="304">
        <v>4.0189500000000002</v>
      </c>
      <c r="H1860" s="370">
        <v>6.017398</v>
      </c>
      <c r="I1860" s="301">
        <v>0.1361</v>
      </c>
      <c r="J1860" s="301">
        <v>0.1135</v>
      </c>
      <c r="K1860" s="300">
        <v>46.493392</v>
      </c>
      <c r="L1860" s="356"/>
      <c r="M1860" s="400"/>
    </row>
    <row r="1861" spans="2:13">
      <c r="B1861" s="315">
        <v>4</v>
      </c>
      <c r="C1861" s="320"/>
      <c r="D1861" s="299" t="s">
        <v>218</v>
      </c>
      <c r="E1861" s="304">
        <v>4.133</v>
      </c>
      <c r="F1861" s="304">
        <v>5.2839999999999998</v>
      </c>
      <c r="G1861" s="304">
        <v>4.0164920000000004</v>
      </c>
      <c r="H1861" s="370">
        <v>6.0143680000000002</v>
      </c>
      <c r="I1861" s="301">
        <v>0.1361</v>
      </c>
      <c r="J1861" s="301">
        <v>0.1135</v>
      </c>
      <c r="K1861" s="300">
        <v>46.555065999999997</v>
      </c>
      <c r="L1861" s="356"/>
      <c r="M1861" s="400"/>
    </row>
    <row r="1862" spans="2:13" ht="17.25" thickBot="1">
      <c r="B1862" s="322">
        <v>5</v>
      </c>
      <c r="C1862" s="323"/>
      <c r="D1862" s="293" t="s">
        <v>240</v>
      </c>
      <c r="E1862" s="371">
        <v>4.1319999999999997</v>
      </c>
      <c r="F1862" s="371">
        <v>5.29</v>
      </c>
      <c r="G1862" s="371">
        <v>4.0220260000000003</v>
      </c>
      <c r="H1862" s="372">
        <v>6.0298369999999997</v>
      </c>
      <c r="I1862" s="289">
        <v>0.1361</v>
      </c>
      <c r="J1862" s="289">
        <v>0.1132</v>
      </c>
      <c r="K1862" s="288">
        <v>46.731448999999998</v>
      </c>
      <c r="L1862" s="324"/>
      <c r="M1862" s="399"/>
    </row>
    <row r="1863" spans="2:13" ht="17.25" thickBot="1">
      <c r="B1863" s="325"/>
      <c r="C1863" s="326"/>
      <c r="D1863" s="327" t="s">
        <v>463</v>
      </c>
      <c r="E1863" s="328">
        <f>AVERAGE(E1858:E1862)</f>
        <v>4.1179999999999994</v>
      </c>
      <c r="F1863" s="328">
        <f t="shared" ref="F1863:K1863" si="535">AVERAGE(F1858:F1862)</f>
        <v>5.2896000000000001</v>
      </c>
      <c r="G1863" s="328">
        <f t="shared" si="535"/>
        <v>4.0354848000000008</v>
      </c>
      <c r="H1863" s="373">
        <f t="shared" si="535"/>
        <v>6.0303833999999998</v>
      </c>
      <c r="I1863" s="329">
        <f t="shared" si="535"/>
        <v>0.1361</v>
      </c>
      <c r="J1863" s="329">
        <f t="shared" si="535"/>
        <v>0.1133</v>
      </c>
      <c r="K1863" s="330">
        <f t="shared" si="535"/>
        <v>46.686979799999996</v>
      </c>
      <c r="L1863" s="331"/>
      <c r="M1863" s="399"/>
    </row>
    <row r="1864" spans="2:13">
      <c r="B1864" s="314">
        <v>6</v>
      </c>
      <c r="C1864" s="271" t="s">
        <v>415</v>
      </c>
      <c r="D1864" s="291" t="s">
        <v>241</v>
      </c>
      <c r="E1864" s="302">
        <v>4.0750000000000002</v>
      </c>
      <c r="F1864" s="302">
        <v>5.3010000000000002</v>
      </c>
      <c r="G1864" s="302">
        <v>4.0867649999999998</v>
      </c>
      <c r="H1864" s="364">
        <v>6.0601019999999997</v>
      </c>
      <c r="I1864" s="287">
        <v>0.1363</v>
      </c>
      <c r="J1864" s="287">
        <v>0.11269999999999999</v>
      </c>
      <c r="K1864" s="286">
        <v>47.036380000000001</v>
      </c>
      <c r="L1864" s="332"/>
      <c r="M1864" s="399"/>
    </row>
    <row r="1865" spans="2:13">
      <c r="B1865" s="315">
        <v>7</v>
      </c>
      <c r="C1865" s="320"/>
      <c r="D1865" s="299" t="s">
        <v>242</v>
      </c>
      <c r="E1865" s="304">
        <v>4.0979999999999999</v>
      </c>
      <c r="F1865" s="304">
        <v>5.2670000000000003</v>
      </c>
      <c r="G1865" s="304">
        <v>4.037763</v>
      </c>
      <c r="H1865" s="370">
        <v>6.006761</v>
      </c>
      <c r="I1865" s="301">
        <v>0.1363</v>
      </c>
      <c r="J1865" s="301">
        <v>0.113</v>
      </c>
      <c r="K1865" s="300">
        <v>46.610619</v>
      </c>
      <c r="L1865" s="321"/>
      <c r="M1865" s="399"/>
    </row>
    <row r="1866" spans="2:13">
      <c r="B1866" s="315">
        <v>8</v>
      </c>
      <c r="C1866" s="320"/>
      <c r="D1866" s="299" t="s">
        <v>222</v>
      </c>
      <c r="E1866" s="304">
        <v>4.1130000000000004</v>
      </c>
      <c r="F1866" s="304">
        <v>5.2489999999999997</v>
      </c>
      <c r="G1866" s="304">
        <v>4.0092889999999999</v>
      </c>
      <c r="H1866" s="370">
        <v>5.9721190000000002</v>
      </c>
      <c r="I1866" s="301">
        <v>0.13619999999999999</v>
      </c>
      <c r="J1866" s="301">
        <v>0.1132</v>
      </c>
      <c r="K1866" s="300">
        <v>46.369258000000002</v>
      </c>
      <c r="L1866" s="321"/>
      <c r="M1866" s="399"/>
    </row>
    <row r="1867" spans="2:13">
      <c r="B1867" s="315">
        <v>9</v>
      </c>
      <c r="C1867" s="320"/>
      <c r="D1867" s="299" t="s">
        <v>223</v>
      </c>
      <c r="E1867" s="304">
        <v>4.1180000000000003</v>
      </c>
      <c r="F1867" s="304">
        <v>5.2409999999999997</v>
      </c>
      <c r="G1867" s="304">
        <v>3.9983179999999998</v>
      </c>
      <c r="H1867" s="370">
        <v>5.9663950000000003</v>
      </c>
      <c r="I1867" s="301">
        <v>0.1363</v>
      </c>
      <c r="J1867" s="301">
        <v>0.1132</v>
      </c>
      <c r="K1867" s="300">
        <v>46.298586999999998</v>
      </c>
      <c r="L1867" s="321"/>
      <c r="M1867" s="399"/>
    </row>
    <row r="1868" spans="2:13" ht="17.25" thickBot="1">
      <c r="B1868" s="322">
        <v>10</v>
      </c>
      <c r="C1868" s="323"/>
      <c r="D1868" s="293" t="s">
        <v>243</v>
      </c>
      <c r="E1868" s="371">
        <v>4.1100000000000003</v>
      </c>
      <c r="F1868" s="371">
        <v>5.2560000000000002</v>
      </c>
      <c r="G1868" s="371">
        <v>4.0175660000000004</v>
      </c>
      <c r="H1868" s="372">
        <v>6.0044250000000003</v>
      </c>
      <c r="I1868" s="289">
        <v>0.1363</v>
      </c>
      <c r="J1868" s="289">
        <v>0.113</v>
      </c>
      <c r="K1868" s="288">
        <v>46.513274000000003</v>
      </c>
      <c r="L1868" s="324"/>
      <c r="M1868" s="399"/>
    </row>
    <row r="1869" spans="2:13" ht="17.25" thickBot="1">
      <c r="B1869" s="325" t="s">
        <v>464</v>
      </c>
      <c r="C1869" s="326"/>
      <c r="D1869" s="327" t="s">
        <v>463</v>
      </c>
      <c r="E1869" s="328">
        <f t="shared" ref="E1869:K1869" si="536">AVERAGE(E1864:E1868)</f>
        <v>4.1028000000000002</v>
      </c>
      <c r="F1869" s="328">
        <f t="shared" si="536"/>
        <v>5.2628000000000004</v>
      </c>
      <c r="G1869" s="328">
        <f t="shared" si="536"/>
        <v>4.0299402000000004</v>
      </c>
      <c r="H1869" s="373">
        <f t="shared" si="536"/>
        <v>6.0019604000000006</v>
      </c>
      <c r="I1869" s="329">
        <f t="shared" si="536"/>
        <v>0.13628000000000001</v>
      </c>
      <c r="J1869" s="329">
        <f t="shared" si="536"/>
        <v>0.11301999999999998</v>
      </c>
      <c r="K1869" s="330">
        <f t="shared" si="536"/>
        <v>46.565623599999995</v>
      </c>
      <c r="L1869" s="331"/>
      <c r="M1869" s="399"/>
    </row>
    <row r="1870" spans="2:13">
      <c r="B1870" s="333">
        <v>11</v>
      </c>
      <c r="C1870" s="271" t="s">
        <v>412</v>
      </c>
      <c r="D1870" s="291" t="s">
        <v>244</v>
      </c>
      <c r="E1870" s="302">
        <v>4.0659999999999998</v>
      </c>
      <c r="F1870" s="302">
        <v>5.31</v>
      </c>
      <c r="G1870" s="302">
        <v>4.1027649999999998</v>
      </c>
      <c r="H1870" s="302">
        <v>6.0538939999999997</v>
      </c>
      <c r="I1870" s="287">
        <v>0.13619999999999999</v>
      </c>
      <c r="J1870" s="287">
        <v>0.1132</v>
      </c>
      <c r="K1870" s="286">
        <v>46.908127</v>
      </c>
      <c r="L1870" s="332"/>
      <c r="M1870" s="399"/>
    </row>
    <row r="1871" spans="2:13">
      <c r="B1871" s="335">
        <v>12</v>
      </c>
      <c r="C1871" s="316"/>
      <c r="D1871" s="299" t="s">
        <v>245</v>
      </c>
      <c r="E1871" s="304">
        <v>4.0860000000000003</v>
      </c>
      <c r="F1871" s="304">
        <v>5.2850000000000001</v>
      </c>
      <c r="G1871" s="304">
        <v>4.0634610000000002</v>
      </c>
      <c r="H1871" s="304">
        <v>6.0104119999999996</v>
      </c>
      <c r="I1871" s="301">
        <v>0.13619999999999999</v>
      </c>
      <c r="J1871" s="301">
        <v>0.11360000000000001</v>
      </c>
      <c r="K1871" s="300">
        <v>46.522886999999997</v>
      </c>
      <c r="L1871" s="321"/>
      <c r="M1871" s="399"/>
    </row>
    <row r="1872" spans="2:13">
      <c r="B1872" s="335">
        <v>13</v>
      </c>
      <c r="C1872" s="320"/>
      <c r="D1872" s="299" t="s">
        <v>227</v>
      </c>
      <c r="E1872" s="304">
        <v>4.0979999999999999</v>
      </c>
      <c r="F1872" s="304">
        <v>5.2480000000000002</v>
      </c>
      <c r="G1872" s="304">
        <v>4.0231979999999998</v>
      </c>
      <c r="H1872" s="304">
        <v>5.968229</v>
      </c>
      <c r="I1872" s="301">
        <v>0.1361</v>
      </c>
      <c r="J1872" s="301">
        <v>0.11360000000000001</v>
      </c>
      <c r="K1872" s="300">
        <v>46.197183000000003</v>
      </c>
      <c r="L1872" s="321"/>
      <c r="M1872" s="399"/>
    </row>
    <row r="1873" spans="2:13">
      <c r="B1873" s="335">
        <v>14</v>
      </c>
      <c r="C1873" s="320"/>
      <c r="D1873" s="299" t="s">
        <v>228</v>
      </c>
      <c r="E1873" s="304">
        <v>4.1029999999999998</v>
      </c>
      <c r="F1873" s="304">
        <v>5.2430000000000003</v>
      </c>
      <c r="G1873" s="304">
        <v>4.0144669999999998</v>
      </c>
      <c r="H1873" s="304">
        <v>5.9659310000000003</v>
      </c>
      <c r="I1873" s="301">
        <v>0.1361</v>
      </c>
      <c r="J1873" s="301">
        <v>0.1135</v>
      </c>
      <c r="K1873" s="300">
        <v>46.193832999999998</v>
      </c>
      <c r="L1873" s="321"/>
      <c r="M1873" s="399"/>
    </row>
    <row r="1874" spans="2:13" ht="17.25" thickBot="1">
      <c r="B1874" s="336">
        <v>15</v>
      </c>
      <c r="C1874" s="323"/>
      <c r="D1874" s="293" t="s">
        <v>246</v>
      </c>
      <c r="E1874" s="371">
        <v>4.0940000000000003</v>
      </c>
      <c r="F1874" s="371">
        <v>5.2489999999999997</v>
      </c>
      <c r="G1874" s="371">
        <v>4.0278960000000001</v>
      </c>
      <c r="H1874" s="371">
        <v>5.9689480000000001</v>
      </c>
      <c r="I1874" s="289">
        <v>0.13619999999999999</v>
      </c>
      <c r="J1874" s="289">
        <v>0.1134</v>
      </c>
      <c r="K1874" s="288">
        <v>46.287478</v>
      </c>
      <c r="L1874" s="324"/>
      <c r="M1874" s="399"/>
    </row>
    <row r="1875" spans="2:13" ht="17.25" thickBot="1">
      <c r="B1875" s="337"/>
      <c r="C1875" s="326"/>
      <c r="D1875" s="327" t="s">
        <v>463</v>
      </c>
      <c r="E1875" s="328">
        <f>AVERAGE(E1870:E1874)</f>
        <v>4.0894000000000004</v>
      </c>
      <c r="F1875" s="328">
        <f t="shared" ref="F1875:K1875" si="537">AVERAGE(F1870:F1874)</f>
        <v>5.2669999999999995</v>
      </c>
      <c r="G1875" s="328">
        <f t="shared" si="537"/>
        <v>4.0463573999999998</v>
      </c>
      <c r="H1875" s="328">
        <f t="shared" si="537"/>
        <v>5.9934828000000007</v>
      </c>
      <c r="I1875" s="329">
        <f t="shared" si="537"/>
        <v>0.13616</v>
      </c>
      <c r="J1875" s="329">
        <f t="shared" si="537"/>
        <v>0.11346000000000001</v>
      </c>
      <c r="K1875" s="330">
        <f t="shared" si="537"/>
        <v>46.421901599999998</v>
      </c>
      <c r="L1875" s="331"/>
      <c r="M1875" s="399"/>
    </row>
    <row r="1876" spans="2:13">
      <c r="B1876" s="333">
        <v>16</v>
      </c>
      <c r="C1876" s="271" t="s">
        <v>415</v>
      </c>
      <c r="D1876" s="291" t="s">
        <v>247</v>
      </c>
      <c r="E1876" s="302">
        <v>4.048</v>
      </c>
      <c r="F1876" s="302">
        <v>5.2910000000000004</v>
      </c>
      <c r="G1876" s="302">
        <v>4.1062630000000002</v>
      </c>
      <c r="H1876" s="302">
        <v>6.050325</v>
      </c>
      <c r="I1876" s="287">
        <v>0.13639999999999999</v>
      </c>
      <c r="J1876" s="287">
        <v>0.1125</v>
      </c>
      <c r="K1876" s="286">
        <v>47.031111000000003</v>
      </c>
      <c r="L1876" s="359"/>
      <c r="M1876" s="401"/>
    </row>
    <row r="1877" spans="2:13">
      <c r="B1877" s="335">
        <v>17</v>
      </c>
      <c r="C1877" s="320"/>
      <c r="D1877" s="299" t="s">
        <v>248</v>
      </c>
      <c r="E1877" s="304">
        <v>4.0629999999999997</v>
      </c>
      <c r="F1877" s="304">
        <v>5.2789999999999999</v>
      </c>
      <c r="G1877" s="304">
        <v>4.0818250000000003</v>
      </c>
      <c r="H1877" s="304">
        <v>6.0223550000000001</v>
      </c>
      <c r="I1877" s="301">
        <v>0.13639999999999999</v>
      </c>
      <c r="J1877" s="301">
        <v>0.1129</v>
      </c>
      <c r="K1877" s="300">
        <v>46.758192999999999</v>
      </c>
      <c r="L1877" s="321"/>
      <c r="M1877" s="399"/>
    </row>
    <row r="1878" spans="2:13">
      <c r="B1878" s="335">
        <v>18</v>
      </c>
      <c r="C1878" s="320"/>
      <c r="D1878" s="299" t="s">
        <v>232</v>
      </c>
      <c r="E1878" s="304">
        <v>4.0720000000000001</v>
      </c>
      <c r="F1878" s="304">
        <v>5.2679999999999998</v>
      </c>
      <c r="G1878" s="304">
        <v>4.0643159999999998</v>
      </c>
      <c r="H1878" s="304">
        <v>6.0137890000000001</v>
      </c>
      <c r="I1878" s="301">
        <v>0.1363</v>
      </c>
      <c r="J1878" s="301">
        <v>0.1129</v>
      </c>
      <c r="K1878" s="300">
        <v>46.660761999999998</v>
      </c>
      <c r="L1878" s="321"/>
      <c r="M1878" s="399"/>
    </row>
    <row r="1879" spans="2:13">
      <c r="B1879" s="335">
        <v>19</v>
      </c>
      <c r="C1879" s="320"/>
      <c r="D1879" s="299" t="s">
        <v>233</v>
      </c>
      <c r="E1879" s="304">
        <v>4.0720000000000001</v>
      </c>
      <c r="F1879" s="304">
        <v>5.2610000000000001</v>
      </c>
      <c r="G1879" s="304">
        <v>4.058916</v>
      </c>
      <c r="H1879" s="304">
        <v>6.010955</v>
      </c>
      <c r="I1879" s="301">
        <v>0.1363</v>
      </c>
      <c r="J1879" s="301">
        <v>0.113</v>
      </c>
      <c r="K1879" s="300">
        <v>46.557521999999999</v>
      </c>
      <c r="L1879" s="321"/>
      <c r="M1879" s="399"/>
    </row>
    <row r="1880" spans="2:13" ht="17.25" thickBot="1">
      <c r="B1880" s="336">
        <v>20</v>
      </c>
      <c r="C1880" s="323"/>
      <c r="D1880" s="293" t="s">
        <v>249</v>
      </c>
      <c r="E1880" s="371">
        <v>4.0590000000000002</v>
      </c>
      <c r="F1880" s="371">
        <v>5.2450000000000001</v>
      </c>
      <c r="G1880" s="371">
        <v>4.0595319999999999</v>
      </c>
      <c r="H1880" s="371">
        <v>5.9948220000000001</v>
      </c>
      <c r="I1880" s="289">
        <v>0.13650000000000001</v>
      </c>
      <c r="J1880" s="289">
        <v>0.1128</v>
      </c>
      <c r="K1880" s="288">
        <v>46.498227</v>
      </c>
      <c r="L1880" s="324"/>
      <c r="M1880" s="399"/>
    </row>
    <row r="1881" spans="2:13" ht="17.25" thickBot="1">
      <c r="B1881" s="337"/>
      <c r="C1881" s="326"/>
      <c r="D1881" s="327" t="s">
        <v>463</v>
      </c>
      <c r="E1881" s="328">
        <f>AVERAGE(E1876:E1880)</f>
        <v>4.0628000000000002</v>
      </c>
      <c r="F1881" s="328">
        <f t="shared" ref="F1881:K1881" si="538">AVERAGE(F1876:F1880)</f>
        <v>5.2688000000000006</v>
      </c>
      <c r="G1881" s="328">
        <f t="shared" si="538"/>
        <v>4.0741704000000007</v>
      </c>
      <c r="H1881" s="328">
        <f t="shared" si="538"/>
        <v>6.0184492000000001</v>
      </c>
      <c r="I1881" s="329">
        <f t="shared" si="538"/>
        <v>0.13638</v>
      </c>
      <c r="J1881" s="329">
        <f t="shared" si="538"/>
        <v>0.11281999999999999</v>
      </c>
      <c r="K1881" s="328">
        <f t="shared" si="538"/>
        <v>46.701162999999994</v>
      </c>
      <c r="L1881" s="331"/>
      <c r="M1881" s="399"/>
    </row>
    <row r="1882" spans="2:13">
      <c r="B1882" s="333">
        <v>21</v>
      </c>
      <c r="C1882" s="271" t="s">
        <v>415</v>
      </c>
      <c r="D1882" s="291" t="s">
        <v>250</v>
      </c>
      <c r="E1882" s="302">
        <v>4.0250000000000004</v>
      </c>
      <c r="F1882" s="302">
        <v>5.2779999999999996</v>
      </c>
      <c r="G1882" s="302">
        <v>4.1195810000000002</v>
      </c>
      <c r="H1882" s="302">
        <v>6.0579229999999997</v>
      </c>
      <c r="I1882" s="287">
        <v>0.13639999999999999</v>
      </c>
      <c r="J1882" s="287">
        <v>0.11219999999999999</v>
      </c>
      <c r="K1882" s="286">
        <v>47.040998000000002</v>
      </c>
      <c r="L1882" s="332"/>
      <c r="M1882" s="399"/>
    </row>
    <row r="1883" spans="2:13">
      <c r="B1883" s="335">
        <v>22</v>
      </c>
      <c r="C1883" s="320"/>
      <c r="D1883" s="299" t="s">
        <v>251</v>
      </c>
      <c r="E1883" s="304">
        <v>4.032</v>
      </c>
      <c r="F1883" s="304">
        <v>5.2640000000000002</v>
      </c>
      <c r="G1883" s="304">
        <v>4.1015199999999998</v>
      </c>
      <c r="H1883" s="304">
        <v>6.0314389999999998</v>
      </c>
      <c r="I1883" s="301">
        <v>0.13650000000000001</v>
      </c>
      <c r="J1883" s="301">
        <v>0.11260000000000001</v>
      </c>
      <c r="K1883" s="300">
        <v>46.749555999999998</v>
      </c>
      <c r="L1883" s="321"/>
      <c r="M1883" s="399"/>
    </row>
    <row r="1884" spans="2:13">
      <c r="B1884" s="335">
        <v>23</v>
      </c>
      <c r="C1884" s="320"/>
      <c r="D1884" s="299" t="s">
        <v>237</v>
      </c>
      <c r="E1884" s="304">
        <v>4.0350000000000001</v>
      </c>
      <c r="F1884" s="304">
        <v>5.2679999999999998</v>
      </c>
      <c r="G1884" s="304">
        <v>4.101585</v>
      </c>
      <c r="H1884" s="304">
        <v>6.025245</v>
      </c>
      <c r="I1884" s="301">
        <v>0.13650000000000001</v>
      </c>
      <c r="J1884" s="301">
        <v>0.11269999999999999</v>
      </c>
      <c r="K1884" s="300">
        <v>46.743566999999999</v>
      </c>
      <c r="L1884" s="321"/>
      <c r="M1884" s="399"/>
    </row>
    <row r="1885" spans="2:13">
      <c r="B1885" s="335">
        <v>24</v>
      </c>
      <c r="C1885" s="320"/>
      <c r="D1885" s="299" t="s">
        <v>238</v>
      </c>
      <c r="E1885" s="304">
        <v>4.0309999999999997</v>
      </c>
      <c r="F1885" s="304">
        <v>5.266</v>
      </c>
      <c r="G1885" s="304">
        <v>4.1040960000000002</v>
      </c>
      <c r="H1885" s="304">
        <v>6.0233220000000003</v>
      </c>
      <c r="I1885" s="301">
        <v>0.13639999999999999</v>
      </c>
      <c r="J1885" s="301">
        <v>0.11260000000000001</v>
      </c>
      <c r="K1885" s="300">
        <v>46.767318000000003</v>
      </c>
      <c r="L1885" s="321"/>
      <c r="M1885" s="399"/>
    </row>
    <row r="1886" spans="2:13" ht="17.25" thickBot="1">
      <c r="B1886" s="336">
        <v>25</v>
      </c>
      <c r="C1886" s="323"/>
      <c r="D1886" s="293" t="s">
        <v>252</v>
      </c>
      <c r="E1886" s="371">
        <v>4.0190000000000001</v>
      </c>
      <c r="F1886" s="371">
        <v>5.2590000000000003</v>
      </c>
      <c r="G1886" s="371">
        <v>4.1108789999999997</v>
      </c>
      <c r="H1886" s="371">
        <v>6.0202520000000002</v>
      </c>
      <c r="I1886" s="289">
        <v>0.13650000000000001</v>
      </c>
      <c r="J1886" s="289">
        <v>0.1125</v>
      </c>
      <c r="K1886" s="288">
        <v>46.746667000000002</v>
      </c>
      <c r="L1886" s="324"/>
      <c r="M1886" s="399"/>
    </row>
    <row r="1887" spans="2:13" ht="17.25" thickBot="1">
      <c r="B1887" s="339" t="s">
        <v>464</v>
      </c>
      <c r="C1887" s="340"/>
      <c r="D1887" s="341" t="s">
        <v>465</v>
      </c>
      <c r="E1887" s="342">
        <f>AVERAGE(E1882:E1886)</f>
        <v>4.0284000000000004</v>
      </c>
      <c r="F1887" s="342">
        <f t="shared" ref="F1887:K1887" si="539">AVERAGE(F1882:F1886)</f>
        <v>5.2670000000000003</v>
      </c>
      <c r="G1887" s="342">
        <f t="shared" si="539"/>
        <v>4.1075322000000005</v>
      </c>
      <c r="H1887" s="342">
        <f t="shared" si="539"/>
        <v>6.0316361999999994</v>
      </c>
      <c r="I1887" s="343">
        <f t="shared" si="539"/>
        <v>0.13646000000000003</v>
      </c>
      <c r="J1887" s="343">
        <f t="shared" si="539"/>
        <v>0.11252000000000002</v>
      </c>
      <c r="K1887" s="342">
        <f t="shared" si="539"/>
        <v>46.809621200000002</v>
      </c>
      <c r="L1887" s="344"/>
      <c r="M1887" s="399"/>
    </row>
    <row r="1888" spans="2:13">
      <c r="B1888" s="333"/>
      <c r="C1888" s="345"/>
      <c r="D1888" s="291" t="s">
        <v>466</v>
      </c>
      <c r="E1888" s="346">
        <f>MEDIAN(E1858:E1862,E1864:E1868,E1870:E1874,E1876:E1880,E1882:E1886)</f>
        <v>4.0860000000000003</v>
      </c>
      <c r="F1888" s="346">
        <f t="shared" ref="F1888:K1888" si="540">MEDIAN(F1858:F1862,F1864:F1868,F1870:F1874,F1876:F1880,F1882:F1886)</f>
        <v>5.2679999999999998</v>
      </c>
      <c r="G1888" s="346">
        <f t="shared" si="540"/>
        <v>4.0595319999999999</v>
      </c>
      <c r="H1888" s="346">
        <f t="shared" si="540"/>
        <v>6.017398</v>
      </c>
      <c r="I1888" s="347">
        <f t="shared" si="540"/>
        <v>0.1363</v>
      </c>
      <c r="J1888" s="347">
        <f t="shared" si="540"/>
        <v>0.113</v>
      </c>
      <c r="K1888" s="348">
        <f t="shared" si="540"/>
        <v>46.619593999999999</v>
      </c>
      <c r="L1888" s="332"/>
      <c r="M1888" s="399"/>
    </row>
    <row r="1889" spans="2:13">
      <c r="B1889" s="335"/>
      <c r="C1889" s="320"/>
      <c r="D1889" s="299" t="s">
        <v>467</v>
      </c>
      <c r="E1889" s="349">
        <f>AVERAGE(E1858:E1862,E1864:E1868,E1870:E1874,E1876:E1880,E1882:E1886)</f>
        <v>4.080280000000001</v>
      </c>
      <c r="F1889" s="349">
        <f t="shared" ref="F1889:K1889" si="541">AVERAGE(F1858:F1862,F1864:F1868,F1870:F1874,F1876:F1880,F1882:F1886)</f>
        <v>5.2710400000000002</v>
      </c>
      <c r="G1889" s="349">
        <f t="shared" si="541"/>
        <v>4.0586969999999996</v>
      </c>
      <c r="H1889" s="349">
        <f t="shared" si="541"/>
        <v>6.0151823999999996</v>
      </c>
      <c r="I1889" s="350">
        <f t="shared" si="541"/>
        <v>0.13627599999999998</v>
      </c>
      <c r="J1889" s="350">
        <f t="shared" si="541"/>
        <v>0.11302399999999997</v>
      </c>
      <c r="K1889" s="351">
        <f t="shared" si="541"/>
        <v>46.637057839999997</v>
      </c>
      <c r="L1889" s="321"/>
      <c r="M1889" s="399"/>
    </row>
    <row r="1890" spans="2:13">
      <c r="B1890" s="335"/>
      <c r="C1890" s="320"/>
      <c r="D1890" s="299" t="s">
        <v>199</v>
      </c>
      <c r="E1890" s="349">
        <f>MAX(E1858:E1862,E1864:E1868,E1870:E1874,E1876:E1880,E1882:E1886)</f>
        <v>4.133</v>
      </c>
      <c r="F1890" s="349">
        <f t="shared" ref="F1890:K1890" si="542">MAX(F1858:F1862,F1864:F1868,F1870:F1874,F1876:F1880,F1882:F1886)</f>
        <v>5.3150000000000004</v>
      </c>
      <c r="G1890" s="349">
        <f t="shared" si="542"/>
        <v>4.1195810000000002</v>
      </c>
      <c r="H1890" s="349">
        <f t="shared" si="542"/>
        <v>6.0702410000000002</v>
      </c>
      <c r="I1890" s="350">
        <f t="shared" si="542"/>
        <v>0.13650000000000001</v>
      </c>
      <c r="J1890" s="350">
        <f t="shared" si="542"/>
        <v>0.11360000000000001</v>
      </c>
      <c r="K1890" s="351">
        <f t="shared" si="542"/>
        <v>47.040998000000002</v>
      </c>
      <c r="L1890" s="321"/>
      <c r="M1890" s="399"/>
    </row>
    <row r="1891" spans="2:13">
      <c r="B1891" s="335"/>
      <c r="C1891" s="320"/>
      <c r="D1891" s="299" t="s">
        <v>200</v>
      </c>
      <c r="E1891" s="349">
        <f>MIN(E1858:E1862,E1864:E1868,E1870:E1874,E1876:E1880,E1882:E1886)</f>
        <v>4.0190000000000001</v>
      </c>
      <c r="F1891" s="349">
        <f t="shared" ref="F1891:K1891" si="543">MIN(F1858:F1862,F1864:F1868,F1870:F1874,F1876:F1880,F1882:F1886)</f>
        <v>5.2409999999999997</v>
      </c>
      <c r="G1891" s="349">
        <f t="shared" si="543"/>
        <v>3.9983179999999998</v>
      </c>
      <c r="H1891" s="349">
        <f t="shared" si="543"/>
        <v>5.9659310000000003</v>
      </c>
      <c r="I1891" s="350">
        <f t="shared" si="543"/>
        <v>0.1361</v>
      </c>
      <c r="J1891" s="350">
        <f t="shared" si="543"/>
        <v>0.11219999999999999</v>
      </c>
      <c r="K1891" s="351">
        <f t="shared" si="543"/>
        <v>46.193832999999998</v>
      </c>
      <c r="L1891" s="321"/>
      <c r="M1891" s="399"/>
    </row>
    <row r="1892" spans="2:13">
      <c r="B1892" s="335"/>
      <c r="C1892" s="320"/>
      <c r="D1892" s="299" t="s">
        <v>201</v>
      </c>
      <c r="E1892" s="349">
        <f>E1890-E1891</f>
        <v>0.11399999999999988</v>
      </c>
      <c r="F1892" s="349">
        <f t="shared" ref="F1892:K1892" si="544">F1890-F1891</f>
        <v>7.4000000000000732E-2</v>
      </c>
      <c r="G1892" s="349">
        <f t="shared" si="544"/>
        <v>0.12126300000000034</v>
      </c>
      <c r="H1892" s="349">
        <f t="shared" si="544"/>
        <v>0.1043099999999999</v>
      </c>
      <c r="I1892" s="350">
        <f t="shared" si="544"/>
        <v>4.0000000000001146E-4</v>
      </c>
      <c r="J1892" s="350">
        <f t="shared" si="544"/>
        <v>1.4000000000000123E-3</v>
      </c>
      <c r="K1892" s="349">
        <f t="shared" si="544"/>
        <v>0.84716500000000394</v>
      </c>
      <c r="L1892" s="321"/>
      <c r="M1892" s="399"/>
    </row>
    <row r="1893" spans="2:13" ht="17.25" thickBot="1">
      <c r="B1893" s="336"/>
      <c r="C1893" s="323"/>
      <c r="D1893" s="293" t="s">
        <v>202</v>
      </c>
      <c r="E1893" s="352">
        <f>STDEVA(E1858:E1862,E1864:E1868,E1870:E1874,E1876:E1880,E1882:E1886)</f>
        <v>3.4712533759436226E-2</v>
      </c>
      <c r="F1893" s="352">
        <f t="shared" ref="F1893:K1893" si="545">STDEVA(F1858:F1862,F1864:F1868,F1870:F1874,F1876:F1880,F1882:F1886)</f>
        <v>2.0602346144715351E-2</v>
      </c>
      <c r="G1893" s="352">
        <f t="shared" si="545"/>
        <v>3.8604096855126641E-2</v>
      </c>
      <c r="H1893" s="352">
        <f t="shared" si="545"/>
        <v>3.0282774963665285E-2</v>
      </c>
      <c r="I1893" s="353">
        <f t="shared" si="545"/>
        <v>1.4514360704718498E-4</v>
      </c>
      <c r="J1893" s="353">
        <f t="shared" si="545"/>
        <v>3.8544346753663822E-4</v>
      </c>
      <c r="K1893" s="352">
        <f t="shared" si="545"/>
        <v>0.25559829262465794</v>
      </c>
      <c r="L1893" s="324"/>
      <c r="M1893" s="399"/>
    </row>
    <row r="1895" spans="2:13">
      <c r="B1895" s="240" t="s">
        <v>528</v>
      </c>
      <c r="C1895" s="240"/>
      <c r="E1895" s="240"/>
      <c r="F1895" s="240"/>
      <c r="G1895" s="240"/>
      <c r="H1895" s="240"/>
      <c r="I1895" s="240"/>
      <c r="J1895" s="240"/>
      <c r="K1895" s="240"/>
    </row>
    <row r="1896" spans="2:13" ht="17.25" thickBot="1">
      <c r="B1896" s="240" t="s">
        <v>469</v>
      </c>
      <c r="C1896" s="240"/>
      <c r="E1896" s="240"/>
      <c r="F1896" s="240"/>
      <c r="G1896" s="240"/>
      <c r="H1896" s="240"/>
      <c r="I1896" s="240"/>
      <c r="J1896" s="240"/>
      <c r="K1896" s="240"/>
    </row>
    <row r="1897" spans="2:13" ht="17.25" thickBot="1">
      <c r="B1897" s="313" t="s">
        <v>11</v>
      </c>
      <c r="C1897" s="250" t="s">
        <v>0</v>
      </c>
      <c r="D1897" s="250" t="s">
        <v>1</v>
      </c>
      <c r="E1897" s="250" t="s">
        <v>2</v>
      </c>
      <c r="F1897" s="250" t="s">
        <v>3</v>
      </c>
      <c r="G1897" s="250" t="s">
        <v>192</v>
      </c>
      <c r="H1897" s="250" t="s">
        <v>16</v>
      </c>
      <c r="I1897" s="250" t="s">
        <v>6</v>
      </c>
      <c r="J1897" s="251" t="s">
        <v>7</v>
      </c>
      <c r="K1897" s="252" t="s">
        <v>8</v>
      </c>
      <c r="L1897" s="254" t="s">
        <v>470</v>
      </c>
      <c r="M1897" s="404"/>
    </row>
    <row r="1898" spans="2:13">
      <c r="B1898" s="314">
        <v>1</v>
      </c>
      <c r="C1898" s="271" t="s">
        <v>413</v>
      </c>
      <c r="D1898" s="291" t="s">
        <v>213</v>
      </c>
      <c r="E1898" s="302">
        <v>4.0069999999999997</v>
      </c>
      <c r="F1898" s="302">
        <v>5.0979999999999999</v>
      </c>
      <c r="G1898" s="302">
        <v>3.9969619999999999</v>
      </c>
      <c r="H1898" s="364">
        <v>5.9930089999999998</v>
      </c>
      <c r="I1898" s="287">
        <v>0.13730000000000001</v>
      </c>
      <c r="J1898" s="287">
        <v>0.1077</v>
      </c>
      <c r="K1898" s="286">
        <v>47.335189999999997</v>
      </c>
      <c r="L1898" s="275"/>
      <c r="M1898" s="397"/>
    </row>
    <row r="1899" spans="2:13">
      <c r="B1899" s="315">
        <v>2</v>
      </c>
      <c r="C1899" s="316"/>
      <c r="D1899" s="299" t="s">
        <v>214</v>
      </c>
      <c r="E1899" s="304">
        <v>4.0119999999999996</v>
      </c>
      <c r="F1899" s="304">
        <v>5.101</v>
      </c>
      <c r="G1899" s="304">
        <v>3.9943300000000002</v>
      </c>
      <c r="H1899" s="370">
        <v>5.9932179999999997</v>
      </c>
      <c r="I1899" s="301">
        <v>0.1371</v>
      </c>
      <c r="J1899" s="301">
        <v>0.108</v>
      </c>
      <c r="K1899" s="300">
        <v>47.231481000000002</v>
      </c>
      <c r="L1899" s="319"/>
      <c r="M1899" s="398"/>
    </row>
    <row r="1900" spans="2:13">
      <c r="B1900" s="315">
        <v>3</v>
      </c>
      <c r="C1900" s="320"/>
      <c r="D1900" s="299" t="s">
        <v>217</v>
      </c>
      <c r="E1900" s="304">
        <v>4.0149999999999997</v>
      </c>
      <c r="F1900" s="304">
        <v>5.0960000000000001</v>
      </c>
      <c r="G1900" s="304">
        <v>3.9874329999999998</v>
      </c>
      <c r="H1900" s="370">
        <v>5.9867900000000001</v>
      </c>
      <c r="I1900" s="301">
        <v>0.1371</v>
      </c>
      <c r="J1900" s="301">
        <v>0.1082</v>
      </c>
      <c r="K1900" s="300">
        <v>47.097966999999997</v>
      </c>
      <c r="L1900" s="356"/>
      <c r="M1900" s="400"/>
    </row>
    <row r="1901" spans="2:13">
      <c r="B1901" s="315">
        <v>4</v>
      </c>
      <c r="C1901" s="320"/>
      <c r="D1901" s="299" t="s">
        <v>218</v>
      </c>
      <c r="E1901" s="304">
        <v>4.0170000000000003</v>
      </c>
      <c r="F1901" s="304">
        <v>5.0869999999999997</v>
      </c>
      <c r="G1901" s="304">
        <v>3.9784090000000001</v>
      </c>
      <c r="H1901" s="370">
        <v>5.9736760000000002</v>
      </c>
      <c r="I1901" s="301">
        <v>0.13700000000000001</v>
      </c>
      <c r="J1901" s="301">
        <v>0.1081</v>
      </c>
      <c r="K1901" s="300">
        <v>47.058278999999999</v>
      </c>
      <c r="L1901" s="356"/>
      <c r="M1901" s="400"/>
    </row>
    <row r="1902" spans="2:13" ht="17.25" thickBot="1">
      <c r="B1902" s="322">
        <v>5</v>
      </c>
      <c r="C1902" s="323"/>
      <c r="D1902" s="293" t="s">
        <v>240</v>
      </c>
      <c r="E1902" s="371">
        <v>4.0129999999999999</v>
      </c>
      <c r="F1902" s="371">
        <v>5.0789999999999997</v>
      </c>
      <c r="G1902" s="371">
        <v>3.9761120000000001</v>
      </c>
      <c r="H1902" s="372">
        <v>5.9682870000000001</v>
      </c>
      <c r="I1902" s="289">
        <v>0.13719999999999999</v>
      </c>
      <c r="J1902" s="289">
        <v>0.1079</v>
      </c>
      <c r="K1902" s="288">
        <v>47.071362000000001</v>
      </c>
      <c r="L1902" s="324"/>
      <c r="M1902" s="399"/>
    </row>
    <row r="1903" spans="2:13" ht="17.25" thickBot="1">
      <c r="B1903" s="325"/>
      <c r="C1903" s="326"/>
      <c r="D1903" s="327" t="s">
        <v>463</v>
      </c>
      <c r="E1903" s="328">
        <f>AVERAGE(E1898:E1902)</f>
        <v>4.0128000000000004</v>
      </c>
      <c r="F1903" s="328">
        <f t="shared" ref="F1903:K1903" si="546">AVERAGE(F1898:F1902)</f>
        <v>5.0922000000000001</v>
      </c>
      <c r="G1903" s="328">
        <f t="shared" si="546"/>
        <v>3.9866492</v>
      </c>
      <c r="H1903" s="373">
        <f t="shared" si="546"/>
        <v>5.982996</v>
      </c>
      <c r="I1903" s="329">
        <f t="shared" si="546"/>
        <v>0.13713999999999998</v>
      </c>
      <c r="J1903" s="329">
        <f t="shared" si="546"/>
        <v>0.10798000000000001</v>
      </c>
      <c r="K1903" s="330">
        <f t="shared" si="546"/>
        <v>47.158855799999998</v>
      </c>
      <c r="L1903" s="331"/>
      <c r="M1903" s="399"/>
    </row>
    <row r="1904" spans="2:13">
      <c r="B1904" s="314">
        <v>6</v>
      </c>
      <c r="C1904" s="271" t="s">
        <v>418</v>
      </c>
      <c r="D1904" s="291" t="s">
        <v>241</v>
      </c>
      <c r="E1904" s="302">
        <v>4.0049999999999999</v>
      </c>
      <c r="F1904" s="302">
        <v>5.165</v>
      </c>
      <c r="G1904" s="302">
        <v>4.0515140000000001</v>
      </c>
      <c r="H1904" s="364">
        <v>5.977506</v>
      </c>
      <c r="I1904" s="287">
        <v>0.1363</v>
      </c>
      <c r="J1904" s="287">
        <v>0.1106</v>
      </c>
      <c r="K1904" s="286">
        <v>46.699818999999998</v>
      </c>
      <c r="L1904" s="332"/>
      <c r="M1904" s="399"/>
    </row>
    <row r="1905" spans="2:13">
      <c r="B1905" s="315">
        <v>7</v>
      </c>
      <c r="C1905" s="320"/>
      <c r="D1905" s="299" t="s">
        <v>242</v>
      </c>
      <c r="E1905" s="304">
        <v>4.0119999999999996</v>
      </c>
      <c r="F1905" s="304">
        <v>5.1589999999999998</v>
      </c>
      <c r="G1905" s="304">
        <v>4.0397460000000001</v>
      </c>
      <c r="H1905" s="370">
        <v>5.9655399999999998</v>
      </c>
      <c r="I1905" s="301">
        <v>0.1363</v>
      </c>
      <c r="J1905" s="301">
        <v>0.111</v>
      </c>
      <c r="K1905" s="300">
        <v>46.477477</v>
      </c>
      <c r="L1905" s="321"/>
      <c r="M1905" s="399"/>
    </row>
    <row r="1906" spans="2:13">
      <c r="B1906" s="315">
        <v>8</v>
      </c>
      <c r="C1906" s="320"/>
      <c r="D1906" s="299" t="s">
        <v>222</v>
      </c>
      <c r="E1906" s="304">
        <v>4.0149999999999997</v>
      </c>
      <c r="F1906" s="304">
        <v>5.1550000000000002</v>
      </c>
      <c r="G1906" s="304">
        <v>4.0335979999999996</v>
      </c>
      <c r="H1906" s="370">
        <v>5.950545</v>
      </c>
      <c r="I1906" s="301">
        <v>0.13619999999999999</v>
      </c>
      <c r="J1906" s="301">
        <v>0.1113</v>
      </c>
      <c r="K1906" s="300">
        <v>46.316262000000002</v>
      </c>
      <c r="L1906" s="321"/>
      <c r="M1906" s="399"/>
    </row>
    <row r="1907" spans="2:13">
      <c r="B1907" s="315">
        <v>9</v>
      </c>
      <c r="C1907" s="320"/>
      <c r="D1907" s="299" t="s">
        <v>223</v>
      </c>
      <c r="E1907" s="304">
        <v>4.016</v>
      </c>
      <c r="F1907" s="304">
        <v>5.1449999999999996</v>
      </c>
      <c r="G1907" s="304">
        <v>4.0247710000000003</v>
      </c>
      <c r="H1907" s="370">
        <v>5.9397820000000001</v>
      </c>
      <c r="I1907" s="301">
        <v>0.1363</v>
      </c>
      <c r="J1907" s="301">
        <v>0.1113</v>
      </c>
      <c r="K1907" s="300">
        <v>46.226415000000003</v>
      </c>
      <c r="L1907" s="321"/>
      <c r="M1907" s="399"/>
    </row>
    <row r="1908" spans="2:13" ht="17.25" thickBot="1">
      <c r="B1908" s="322">
        <v>10</v>
      </c>
      <c r="C1908" s="323"/>
      <c r="D1908" s="293" t="s">
        <v>243</v>
      </c>
      <c r="E1908" s="371">
        <v>4.0140000000000002</v>
      </c>
      <c r="F1908" s="371">
        <v>5.1440000000000001</v>
      </c>
      <c r="G1908" s="371">
        <v>4.0259939999999999</v>
      </c>
      <c r="H1908" s="372">
        <v>5.941033</v>
      </c>
      <c r="I1908" s="289">
        <v>0.1363</v>
      </c>
      <c r="J1908" s="289">
        <v>0.1111</v>
      </c>
      <c r="K1908" s="288">
        <v>46.300629999999998</v>
      </c>
      <c r="L1908" s="324"/>
      <c r="M1908" s="399"/>
    </row>
    <row r="1909" spans="2:13" ht="17.25" thickBot="1">
      <c r="B1909" s="325" t="s">
        <v>464</v>
      </c>
      <c r="C1909" s="326"/>
      <c r="D1909" s="327" t="s">
        <v>463</v>
      </c>
      <c r="E1909" s="328">
        <f t="shared" ref="E1909:K1909" si="547">AVERAGE(E1904:E1908)</f>
        <v>4.0124000000000004</v>
      </c>
      <c r="F1909" s="328">
        <f t="shared" si="547"/>
        <v>5.1536</v>
      </c>
      <c r="G1909" s="328">
        <f t="shared" si="547"/>
        <v>4.0351246000000005</v>
      </c>
      <c r="H1909" s="373">
        <f t="shared" si="547"/>
        <v>5.9548812000000009</v>
      </c>
      <c r="I1909" s="329">
        <f t="shared" si="547"/>
        <v>0.13628000000000001</v>
      </c>
      <c r="J1909" s="329">
        <f t="shared" si="547"/>
        <v>0.11106000000000001</v>
      </c>
      <c r="K1909" s="330">
        <f t="shared" si="547"/>
        <v>46.404120599999999</v>
      </c>
      <c r="L1909" s="331"/>
      <c r="M1909" s="399"/>
    </row>
    <row r="1910" spans="2:13">
      <c r="B1910" s="333">
        <v>11</v>
      </c>
      <c r="C1910" s="271" t="s">
        <v>409</v>
      </c>
      <c r="D1910" s="291" t="s">
        <v>244</v>
      </c>
      <c r="E1910" s="302">
        <v>4.0030000000000001</v>
      </c>
      <c r="F1910" s="302">
        <v>5.0609999999999999</v>
      </c>
      <c r="G1910" s="302">
        <v>3.9719180000000001</v>
      </c>
      <c r="H1910" s="302">
        <v>5.9480320000000004</v>
      </c>
      <c r="I1910" s="287">
        <v>0.13730000000000001</v>
      </c>
      <c r="J1910" s="287">
        <v>0.10780000000000001</v>
      </c>
      <c r="K1910" s="286">
        <v>46.948051999999997</v>
      </c>
      <c r="L1910" s="332"/>
      <c r="M1910" s="399"/>
    </row>
    <row r="1911" spans="2:13">
      <c r="B1911" s="335">
        <v>12</v>
      </c>
      <c r="C1911" s="316"/>
      <c r="D1911" s="299" t="s">
        <v>245</v>
      </c>
      <c r="E1911" s="304">
        <v>4.0090000000000003</v>
      </c>
      <c r="F1911" s="304">
        <v>5.0570000000000004</v>
      </c>
      <c r="G1911" s="304">
        <v>3.9628389999999998</v>
      </c>
      <c r="H1911" s="304">
        <v>5.9422949999999997</v>
      </c>
      <c r="I1911" s="301">
        <v>0.13719999999999999</v>
      </c>
      <c r="J1911" s="301">
        <v>0.1081</v>
      </c>
      <c r="K1911" s="300">
        <v>46.780759000000003</v>
      </c>
      <c r="L1911" s="321"/>
      <c r="M1911" s="399"/>
    </row>
    <row r="1912" spans="2:13">
      <c r="B1912" s="335">
        <v>13</v>
      </c>
      <c r="C1912" s="320"/>
      <c r="D1912" s="299" t="s">
        <v>227</v>
      </c>
      <c r="E1912" s="304">
        <v>4.0140000000000002</v>
      </c>
      <c r="F1912" s="304">
        <v>5.0529999999999999</v>
      </c>
      <c r="G1912" s="304">
        <v>3.9547720000000002</v>
      </c>
      <c r="H1912" s="304">
        <v>5.9212850000000001</v>
      </c>
      <c r="I1912" s="301">
        <v>0.1371</v>
      </c>
      <c r="J1912" s="301">
        <v>0.10829999999999999</v>
      </c>
      <c r="K1912" s="300">
        <v>46.657432999999997</v>
      </c>
      <c r="L1912" s="321"/>
      <c r="M1912" s="399"/>
    </row>
    <row r="1913" spans="2:13">
      <c r="B1913" s="335">
        <v>14</v>
      </c>
      <c r="C1913" s="320"/>
      <c r="D1913" s="299" t="s">
        <v>228</v>
      </c>
      <c r="E1913" s="304">
        <v>4.0140000000000002</v>
      </c>
      <c r="F1913" s="304">
        <v>5.0430000000000001</v>
      </c>
      <c r="G1913" s="304">
        <v>3.9469449999999999</v>
      </c>
      <c r="H1913" s="304">
        <v>5.9315470000000001</v>
      </c>
      <c r="I1913" s="301">
        <v>0.1371</v>
      </c>
      <c r="J1913" s="301">
        <v>0.1082</v>
      </c>
      <c r="K1913" s="300">
        <v>46.608133000000002</v>
      </c>
      <c r="L1913" s="321"/>
      <c r="M1913" s="399"/>
    </row>
    <row r="1914" spans="2:13" ht="17.25" thickBot="1">
      <c r="B1914" s="336">
        <v>15</v>
      </c>
      <c r="C1914" s="323"/>
      <c r="D1914" s="293" t="s">
        <v>246</v>
      </c>
      <c r="E1914" s="371">
        <v>4.0119999999999996</v>
      </c>
      <c r="F1914" s="371">
        <v>5.0350000000000001</v>
      </c>
      <c r="G1914" s="371">
        <v>3.9426480000000002</v>
      </c>
      <c r="H1914" s="371">
        <v>5.9224870000000003</v>
      </c>
      <c r="I1914" s="289">
        <v>0.1371</v>
      </c>
      <c r="J1914" s="289">
        <v>0.1081</v>
      </c>
      <c r="K1914" s="288">
        <v>46.577243000000003</v>
      </c>
      <c r="L1914" s="324"/>
      <c r="M1914" s="399"/>
    </row>
    <row r="1915" spans="2:13" ht="17.25" thickBot="1">
      <c r="B1915" s="337"/>
      <c r="C1915" s="326"/>
      <c r="D1915" s="327" t="s">
        <v>463</v>
      </c>
      <c r="E1915" s="328">
        <f>AVERAGE(E1910:E1914)</f>
        <v>4.0103999999999997</v>
      </c>
      <c r="F1915" s="328">
        <f t="shared" ref="F1915:K1915" si="548">AVERAGE(F1910:F1914)</f>
        <v>5.0497999999999994</v>
      </c>
      <c r="G1915" s="328">
        <f t="shared" si="548"/>
        <v>3.9558244</v>
      </c>
      <c r="H1915" s="328">
        <f t="shared" si="548"/>
        <v>5.9331291999999998</v>
      </c>
      <c r="I1915" s="329">
        <f t="shared" si="548"/>
        <v>0.13716</v>
      </c>
      <c r="J1915" s="329">
        <f t="shared" si="548"/>
        <v>0.1081</v>
      </c>
      <c r="K1915" s="330">
        <f t="shared" si="548"/>
        <v>46.714324000000005</v>
      </c>
      <c r="L1915" s="331"/>
      <c r="M1915" s="399"/>
    </row>
    <row r="1916" spans="2:13">
      <c r="B1916" s="333">
        <v>16</v>
      </c>
      <c r="C1916" s="271" t="s">
        <v>417</v>
      </c>
      <c r="D1916" s="291" t="s">
        <v>247</v>
      </c>
      <c r="E1916" s="302">
        <v>4</v>
      </c>
      <c r="F1916" s="302">
        <v>5.1459999999999999</v>
      </c>
      <c r="G1916" s="302">
        <v>4.0416559999999997</v>
      </c>
      <c r="H1916" s="302">
        <v>5.9383679999999996</v>
      </c>
      <c r="I1916" s="287">
        <v>0.1363</v>
      </c>
      <c r="J1916" s="287">
        <v>0.1111</v>
      </c>
      <c r="K1916" s="286">
        <v>46.318632000000001</v>
      </c>
      <c r="L1916" s="359"/>
      <c r="M1916" s="401"/>
    </row>
    <row r="1917" spans="2:13">
      <c r="B1917" s="335">
        <v>17</v>
      </c>
      <c r="C1917" s="320"/>
      <c r="D1917" s="299" t="s">
        <v>248</v>
      </c>
      <c r="E1917" s="304">
        <v>4.0069999999999997</v>
      </c>
      <c r="F1917" s="304">
        <v>5.1390000000000002</v>
      </c>
      <c r="G1917" s="304">
        <v>4.0291069999999998</v>
      </c>
      <c r="H1917" s="304">
        <v>5.9130320000000003</v>
      </c>
      <c r="I1917" s="301">
        <v>0.13619999999999999</v>
      </c>
      <c r="J1917" s="301">
        <v>0.1115</v>
      </c>
      <c r="K1917" s="300">
        <v>46.089686</v>
      </c>
      <c r="L1917" s="321"/>
      <c r="M1917" s="399"/>
    </row>
    <row r="1918" spans="2:13">
      <c r="B1918" s="335">
        <v>18</v>
      </c>
      <c r="C1918" s="320"/>
      <c r="D1918" s="299" t="s">
        <v>232</v>
      </c>
      <c r="E1918" s="304">
        <v>4.0110000000000001</v>
      </c>
      <c r="F1918" s="304">
        <v>5.1340000000000003</v>
      </c>
      <c r="G1918" s="304">
        <v>4.0211730000000001</v>
      </c>
      <c r="H1918" s="304">
        <v>5.9066809999999998</v>
      </c>
      <c r="I1918" s="301">
        <v>0.1361</v>
      </c>
      <c r="J1918" s="301">
        <v>0.1118</v>
      </c>
      <c r="K1918" s="300">
        <v>45.921287999999997</v>
      </c>
      <c r="L1918" s="321"/>
      <c r="M1918" s="399"/>
    </row>
    <row r="1919" spans="2:13">
      <c r="B1919" s="335">
        <v>19</v>
      </c>
      <c r="C1919" s="320"/>
      <c r="D1919" s="299" t="s">
        <v>233</v>
      </c>
      <c r="E1919" s="304">
        <v>4.01</v>
      </c>
      <c r="F1919" s="304">
        <v>5.1280000000000001</v>
      </c>
      <c r="G1919" s="304">
        <v>4.0174750000000001</v>
      </c>
      <c r="H1919" s="304">
        <v>5.8961889999999997</v>
      </c>
      <c r="I1919" s="301">
        <v>0.1361</v>
      </c>
      <c r="J1919" s="301">
        <v>0.1118</v>
      </c>
      <c r="K1919" s="300">
        <v>45.867621</v>
      </c>
      <c r="L1919" s="321"/>
      <c r="M1919" s="399"/>
    </row>
    <row r="1920" spans="2:13" ht="17.25" thickBot="1">
      <c r="B1920" s="336">
        <v>20</v>
      </c>
      <c r="C1920" s="323"/>
      <c r="D1920" s="293" t="s">
        <v>249</v>
      </c>
      <c r="E1920" s="371">
        <v>4.008</v>
      </c>
      <c r="F1920" s="371">
        <v>5.12</v>
      </c>
      <c r="G1920" s="371">
        <v>4.0132089999999998</v>
      </c>
      <c r="H1920" s="371">
        <v>5.8988430000000003</v>
      </c>
      <c r="I1920" s="289">
        <v>0.1361</v>
      </c>
      <c r="J1920" s="289">
        <v>0.11169999999999999</v>
      </c>
      <c r="K1920" s="288">
        <v>45.837063999999998</v>
      </c>
      <c r="L1920" s="324"/>
      <c r="M1920" s="399"/>
    </row>
    <row r="1921" spans="2:13" ht="17.25" thickBot="1">
      <c r="B1921" s="337"/>
      <c r="C1921" s="326"/>
      <c r="D1921" s="327" t="s">
        <v>463</v>
      </c>
      <c r="E1921" s="328">
        <f>AVERAGE(E1916:E1920)</f>
        <v>4.0071999999999992</v>
      </c>
      <c r="F1921" s="328">
        <f t="shared" ref="F1921:K1921" si="549">AVERAGE(F1916:F1920)</f>
        <v>5.1334</v>
      </c>
      <c r="G1921" s="328">
        <f t="shared" si="549"/>
        <v>4.0245240000000004</v>
      </c>
      <c r="H1921" s="328">
        <f t="shared" si="549"/>
        <v>5.9106225999999999</v>
      </c>
      <c r="I1921" s="329">
        <f t="shared" si="549"/>
        <v>0.13616</v>
      </c>
      <c r="J1921" s="329">
        <f t="shared" si="549"/>
        <v>0.11158000000000001</v>
      </c>
      <c r="K1921" s="328">
        <f t="shared" si="549"/>
        <v>46.006858199999996</v>
      </c>
      <c r="L1921" s="331"/>
      <c r="M1921" s="399"/>
    </row>
    <row r="1922" spans="2:13">
      <c r="B1922" s="333">
        <v>21</v>
      </c>
      <c r="C1922" s="271" t="s">
        <v>417</v>
      </c>
      <c r="D1922" s="291" t="s">
        <v>250</v>
      </c>
      <c r="E1922" s="302">
        <v>3.996</v>
      </c>
      <c r="F1922" s="302">
        <v>5.1420000000000003</v>
      </c>
      <c r="G1922" s="302">
        <v>4.0425570000000004</v>
      </c>
      <c r="H1922" s="302">
        <v>5.949497</v>
      </c>
      <c r="I1922" s="287">
        <v>0.1363</v>
      </c>
      <c r="J1922" s="287">
        <v>0.1108</v>
      </c>
      <c r="K1922" s="286">
        <v>46.407941999999998</v>
      </c>
      <c r="L1922" s="332"/>
      <c r="M1922" s="399"/>
    </row>
    <row r="1923" spans="2:13">
      <c r="B1923" s="335">
        <v>22</v>
      </c>
      <c r="C1923" s="320"/>
      <c r="D1923" s="299" t="s">
        <v>251</v>
      </c>
      <c r="E1923" s="304">
        <v>4.0019999999999998</v>
      </c>
      <c r="F1923" s="304">
        <v>5.133</v>
      </c>
      <c r="G1923" s="304">
        <v>4.0294309999999998</v>
      </c>
      <c r="H1923" s="304">
        <v>5.9281980000000001</v>
      </c>
      <c r="I1923" s="301">
        <v>0.13619999999999999</v>
      </c>
      <c r="J1923" s="301">
        <v>0.1113</v>
      </c>
      <c r="K1923" s="300">
        <v>46.118597999999999</v>
      </c>
      <c r="L1923" s="321"/>
      <c r="M1923" s="399"/>
    </row>
    <row r="1924" spans="2:13">
      <c r="B1924" s="335">
        <v>23</v>
      </c>
      <c r="C1924" s="320"/>
      <c r="D1924" s="299" t="s">
        <v>237</v>
      </c>
      <c r="E1924" s="304">
        <v>4.0049999999999999</v>
      </c>
      <c r="F1924" s="304">
        <v>5.1219999999999999</v>
      </c>
      <c r="G1924" s="304">
        <v>4.0177839999999998</v>
      </c>
      <c r="H1924" s="304">
        <v>5.9023620000000001</v>
      </c>
      <c r="I1924" s="301">
        <v>0.13619999999999999</v>
      </c>
      <c r="J1924" s="301">
        <v>0.1114</v>
      </c>
      <c r="K1924" s="300">
        <v>45.978456000000001</v>
      </c>
      <c r="L1924" s="321"/>
      <c r="M1924" s="399"/>
    </row>
    <row r="1925" spans="2:13">
      <c r="B1925" s="335">
        <v>24</v>
      </c>
      <c r="C1925" s="320"/>
      <c r="D1925" s="299" t="s">
        <v>238</v>
      </c>
      <c r="E1925" s="304">
        <v>4.0060000000000002</v>
      </c>
      <c r="F1925" s="304">
        <v>5.1219999999999999</v>
      </c>
      <c r="G1925" s="304">
        <v>4.0167809999999999</v>
      </c>
      <c r="H1925" s="304">
        <v>5.9006530000000001</v>
      </c>
      <c r="I1925" s="301">
        <v>0.13619999999999999</v>
      </c>
      <c r="J1925" s="301">
        <v>0.1115</v>
      </c>
      <c r="K1925" s="300">
        <v>45.937220000000003</v>
      </c>
      <c r="L1925" s="321"/>
      <c r="M1925" s="399"/>
    </row>
    <row r="1926" spans="2:13" ht="17.25" thickBot="1">
      <c r="B1926" s="336">
        <v>25</v>
      </c>
      <c r="C1926" s="323"/>
      <c r="D1926" s="293" t="s">
        <v>252</v>
      </c>
      <c r="E1926" s="371">
        <v>4.0049999999999999</v>
      </c>
      <c r="F1926" s="371">
        <v>5.1210000000000004</v>
      </c>
      <c r="G1926" s="371">
        <v>4.0169990000000002</v>
      </c>
      <c r="H1926" s="371">
        <v>5.9014160000000002</v>
      </c>
      <c r="I1926" s="289">
        <v>0.13619999999999999</v>
      </c>
      <c r="J1926" s="289">
        <v>0.1114</v>
      </c>
      <c r="K1926" s="288">
        <v>45.969479</v>
      </c>
      <c r="L1926" s="324"/>
      <c r="M1926" s="399"/>
    </row>
    <row r="1927" spans="2:13" ht="17.25" thickBot="1">
      <c r="B1927" s="339" t="s">
        <v>464</v>
      </c>
      <c r="C1927" s="340"/>
      <c r="D1927" s="341" t="s">
        <v>465</v>
      </c>
      <c r="E1927" s="342">
        <f>AVERAGE(E1922:E1926)</f>
        <v>4.0027999999999997</v>
      </c>
      <c r="F1927" s="342">
        <f t="shared" ref="F1927:K1927" si="550">AVERAGE(F1922:F1926)</f>
        <v>5.1280000000000001</v>
      </c>
      <c r="G1927" s="342">
        <f t="shared" si="550"/>
        <v>4.0247103999999991</v>
      </c>
      <c r="H1927" s="342">
        <f t="shared" si="550"/>
        <v>5.9164251999999999</v>
      </c>
      <c r="I1927" s="343">
        <f t="shared" si="550"/>
        <v>0.13621999999999998</v>
      </c>
      <c r="J1927" s="343">
        <f t="shared" si="550"/>
        <v>0.11128</v>
      </c>
      <c r="K1927" s="342">
        <f t="shared" si="550"/>
        <v>46.082339000000005</v>
      </c>
      <c r="L1927" s="344"/>
      <c r="M1927" s="399"/>
    </row>
    <row r="1928" spans="2:13">
      <c r="B1928" s="333"/>
      <c r="C1928" s="345"/>
      <c r="D1928" s="291" t="s">
        <v>466</v>
      </c>
      <c r="E1928" s="346">
        <f>MEDIAN(E1898:E1902,E1904:E1908,E1910:E1914,E1916:E1920,E1922:E1926)</f>
        <v>4.01</v>
      </c>
      <c r="F1928" s="346">
        <f t="shared" ref="F1928:K1928" si="551">MEDIAN(F1898:F1902,F1904:F1908,F1910:F1914,F1916:F1920,F1922:F1926)</f>
        <v>5.1219999999999999</v>
      </c>
      <c r="G1928" s="346">
        <f t="shared" si="551"/>
        <v>4.0169990000000002</v>
      </c>
      <c r="H1928" s="346">
        <f t="shared" si="551"/>
        <v>5.9397820000000001</v>
      </c>
      <c r="I1928" s="347">
        <f t="shared" si="551"/>
        <v>0.1363</v>
      </c>
      <c r="J1928" s="347">
        <f t="shared" si="551"/>
        <v>0.111</v>
      </c>
      <c r="K1928" s="348">
        <f t="shared" si="551"/>
        <v>46.407941999999998</v>
      </c>
      <c r="L1928" s="332"/>
      <c r="M1928" s="399"/>
    </row>
    <row r="1929" spans="2:13">
      <c r="B1929" s="335"/>
      <c r="C1929" s="320"/>
      <c r="D1929" s="299" t="s">
        <v>467</v>
      </c>
      <c r="E1929" s="349">
        <f>AVERAGE(E1898:E1902,E1904:E1908,E1910:E1914,E1916:E1920,E1922:E1926)</f>
        <v>4.0091199999999994</v>
      </c>
      <c r="F1929" s="349">
        <f t="shared" ref="F1929:K1929" si="552">AVERAGE(F1898:F1902,F1904:F1908,F1910:F1914,F1916:F1920,F1922:F1926)</f>
        <v>5.1113999999999997</v>
      </c>
      <c r="G1929" s="349">
        <f t="shared" si="552"/>
        <v>4.0053665200000008</v>
      </c>
      <c r="H1929" s="349">
        <f t="shared" si="552"/>
        <v>5.9396108400000003</v>
      </c>
      <c r="I1929" s="350">
        <f t="shared" si="552"/>
        <v>0.13659199999999999</v>
      </c>
      <c r="J1929" s="350">
        <f t="shared" si="552"/>
        <v>0.11</v>
      </c>
      <c r="K1929" s="351">
        <f t="shared" si="552"/>
        <v>46.473299520000012</v>
      </c>
      <c r="L1929" s="321"/>
      <c r="M1929" s="399"/>
    </row>
    <row r="1930" spans="2:13">
      <c r="B1930" s="335"/>
      <c r="C1930" s="320"/>
      <c r="D1930" s="299" t="s">
        <v>199</v>
      </c>
      <c r="E1930" s="349">
        <f>MAX(E1898:E1902,E1904:E1908,E1910:E1914,E1916:E1920,E1922:E1926)</f>
        <v>4.0170000000000003</v>
      </c>
      <c r="F1930" s="349">
        <f t="shared" ref="F1930:K1930" si="553">MAX(F1898:F1902,F1904:F1908,F1910:F1914,F1916:F1920,F1922:F1926)</f>
        <v>5.165</v>
      </c>
      <c r="G1930" s="349">
        <f t="shared" si="553"/>
        <v>4.0515140000000001</v>
      </c>
      <c r="H1930" s="349">
        <f t="shared" si="553"/>
        <v>5.9932179999999997</v>
      </c>
      <c r="I1930" s="350">
        <f t="shared" si="553"/>
        <v>0.13730000000000001</v>
      </c>
      <c r="J1930" s="350">
        <f t="shared" si="553"/>
        <v>0.1118</v>
      </c>
      <c r="K1930" s="351">
        <f t="shared" si="553"/>
        <v>47.335189999999997</v>
      </c>
      <c r="L1930" s="321"/>
      <c r="M1930" s="399"/>
    </row>
    <row r="1931" spans="2:13">
      <c r="B1931" s="335"/>
      <c r="C1931" s="320"/>
      <c r="D1931" s="299" t="s">
        <v>200</v>
      </c>
      <c r="E1931" s="349">
        <f>MIN(E1898:E1902,E1904:E1908,E1910:E1914,E1916:E1920,E1922:E1926)</f>
        <v>3.996</v>
      </c>
      <c r="F1931" s="349">
        <f t="shared" ref="F1931:K1931" si="554">MIN(F1898:F1902,F1904:F1908,F1910:F1914,F1916:F1920,F1922:F1926)</f>
        <v>5.0350000000000001</v>
      </c>
      <c r="G1931" s="349">
        <f t="shared" si="554"/>
        <v>3.9426480000000002</v>
      </c>
      <c r="H1931" s="349">
        <f t="shared" si="554"/>
        <v>5.8961889999999997</v>
      </c>
      <c r="I1931" s="350">
        <f t="shared" si="554"/>
        <v>0.1361</v>
      </c>
      <c r="J1931" s="350">
        <f t="shared" si="554"/>
        <v>0.1077</v>
      </c>
      <c r="K1931" s="351">
        <f t="shared" si="554"/>
        <v>45.837063999999998</v>
      </c>
      <c r="L1931" s="321"/>
      <c r="M1931" s="399"/>
    </row>
    <row r="1932" spans="2:13">
      <c r="B1932" s="335"/>
      <c r="C1932" s="320"/>
      <c r="D1932" s="299" t="s">
        <v>201</v>
      </c>
      <c r="E1932" s="349">
        <f>E1930-E1931</f>
        <v>2.1000000000000352E-2</v>
      </c>
      <c r="F1932" s="349">
        <f t="shared" ref="F1932:K1932" si="555">F1930-F1931</f>
        <v>0.12999999999999989</v>
      </c>
      <c r="G1932" s="349">
        <f t="shared" si="555"/>
        <v>0.10886599999999991</v>
      </c>
      <c r="H1932" s="349">
        <f t="shared" si="555"/>
        <v>9.7029000000000032E-2</v>
      </c>
      <c r="I1932" s="350">
        <f t="shared" si="555"/>
        <v>1.2000000000000066E-3</v>
      </c>
      <c r="J1932" s="350">
        <f t="shared" si="555"/>
        <v>4.0999999999999925E-3</v>
      </c>
      <c r="K1932" s="349">
        <f t="shared" si="555"/>
        <v>1.4981259999999992</v>
      </c>
      <c r="L1932" s="321"/>
      <c r="M1932" s="399"/>
    </row>
    <row r="1933" spans="2:13" ht="17.25" thickBot="1">
      <c r="B1933" s="336"/>
      <c r="C1933" s="323"/>
      <c r="D1933" s="293" t="s">
        <v>202</v>
      </c>
      <c r="E1933" s="352">
        <f>STDEVA(E1898:E1902,E1904:E1908,E1910:E1914,E1916:E1920,E1922:E1926)</f>
        <v>5.4338445567265513E-3</v>
      </c>
      <c r="F1933" s="352">
        <f t="shared" ref="F1933:K1933" si="556">STDEVA(F1898:F1902,F1904:F1908,F1910:F1914,F1916:F1920,F1922:F1926)</f>
        <v>3.8387280879652486E-2</v>
      </c>
      <c r="G1933" s="352">
        <f t="shared" si="556"/>
        <v>3.1990614010362448E-2</v>
      </c>
      <c r="H1933" s="352">
        <f t="shared" si="556"/>
        <v>3.0867831920517678E-2</v>
      </c>
      <c r="I1933" s="353">
        <f t="shared" si="556"/>
        <v>4.7251102279911779E-4</v>
      </c>
      <c r="J1933" s="353">
        <f t="shared" si="556"/>
        <v>1.6585636355995899E-3</v>
      </c>
      <c r="K1933" s="352">
        <f t="shared" si="556"/>
        <v>0.46192359257900323</v>
      </c>
      <c r="L1933" s="324"/>
      <c r="M1933" s="399"/>
    </row>
    <row r="1935" spans="2:13">
      <c r="B1935" s="240" t="s">
        <v>529</v>
      </c>
      <c r="C1935" s="240"/>
      <c r="E1935" s="240"/>
      <c r="F1935" s="240"/>
      <c r="G1935" s="240"/>
      <c r="H1935" s="240"/>
      <c r="I1935" s="240"/>
      <c r="J1935" s="240"/>
      <c r="K1935" s="240"/>
    </row>
    <row r="1936" spans="2:13" ht="17.25" thickBot="1">
      <c r="B1936" s="240" t="s">
        <v>469</v>
      </c>
      <c r="C1936" s="240"/>
      <c r="E1936" s="240"/>
      <c r="F1936" s="240"/>
      <c r="G1936" s="240"/>
      <c r="H1936" s="240"/>
      <c r="I1936" s="240"/>
      <c r="J1936" s="240"/>
      <c r="K1936" s="240"/>
    </row>
    <row r="1937" spans="2:13" ht="17.25" thickBot="1">
      <c r="B1937" s="313" t="s">
        <v>11</v>
      </c>
      <c r="C1937" s="250" t="s">
        <v>0</v>
      </c>
      <c r="D1937" s="250" t="s">
        <v>1</v>
      </c>
      <c r="E1937" s="250" t="s">
        <v>2</v>
      </c>
      <c r="F1937" s="250" t="s">
        <v>3</v>
      </c>
      <c r="G1937" s="250" t="s">
        <v>192</v>
      </c>
      <c r="H1937" s="250" t="s">
        <v>16</v>
      </c>
      <c r="I1937" s="250" t="s">
        <v>6</v>
      </c>
      <c r="J1937" s="251" t="s">
        <v>7</v>
      </c>
      <c r="K1937" s="252" t="s">
        <v>8</v>
      </c>
      <c r="L1937" s="254" t="s">
        <v>470</v>
      </c>
      <c r="M1937" s="404"/>
    </row>
    <row r="1938" spans="2:13">
      <c r="B1938" s="314">
        <v>1</v>
      </c>
      <c r="C1938" s="271" t="s">
        <v>389</v>
      </c>
      <c r="D1938" s="291" t="s">
        <v>213</v>
      </c>
      <c r="E1938" s="302">
        <v>4.0039999999999996</v>
      </c>
      <c r="F1938" s="302">
        <v>5.1420000000000003</v>
      </c>
      <c r="G1938" s="302">
        <v>4.0344790000000001</v>
      </c>
      <c r="H1938" s="364">
        <v>5.9410689999999997</v>
      </c>
      <c r="I1938" s="287">
        <v>0.13650000000000001</v>
      </c>
      <c r="J1938" s="287">
        <v>0.1108</v>
      </c>
      <c r="K1938" s="286">
        <v>46.407941999999998</v>
      </c>
      <c r="L1938" s="275"/>
      <c r="M1938" s="397"/>
    </row>
    <row r="1939" spans="2:13">
      <c r="B1939" s="315">
        <v>2</v>
      </c>
      <c r="C1939" s="316"/>
      <c r="D1939" s="299" t="s">
        <v>214</v>
      </c>
      <c r="E1939" s="304">
        <v>4.0069999999999997</v>
      </c>
      <c r="F1939" s="304">
        <v>5.141</v>
      </c>
      <c r="G1939" s="304">
        <v>4.0306749999999996</v>
      </c>
      <c r="H1939" s="370">
        <v>5.9323889999999997</v>
      </c>
      <c r="I1939" s="301">
        <v>0.1366</v>
      </c>
      <c r="J1939" s="301">
        <v>0.1111</v>
      </c>
      <c r="K1939" s="300">
        <v>46.273626999999998</v>
      </c>
      <c r="L1939" s="319"/>
      <c r="M1939" s="398"/>
    </row>
    <row r="1940" spans="2:13">
      <c r="B1940" s="315">
        <v>3</v>
      </c>
      <c r="C1940" s="320"/>
      <c r="D1940" s="299" t="s">
        <v>217</v>
      </c>
      <c r="E1940" s="304">
        <v>4.01</v>
      </c>
      <c r="F1940" s="304">
        <v>5.1479999999999997</v>
      </c>
      <c r="G1940" s="304">
        <v>4.0331429999999999</v>
      </c>
      <c r="H1940" s="370">
        <v>5.9397900000000003</v>
      </c>
      <c r="I1940" s="301">
        <v>0.1366</v>
      </c>
      <c r="J1940" s="301">
        <v>0.1111</v>
      </c>
      <c r="K1940" s="300">
        <v>46.336633999999997</v>
      </c>
      <c r="L1940" s="356"/>
      <c r="M1940" s="400"/>
    </row>
    <row r="1941" spans="2:13">
      <c r="B1941" s="315">
        <v>4</v>
      </c>
      <c r="C1941" s="320"/>
      <c r="D1941" s="299" t="s">
        <v>218</v>
      </c>
      <c r="E1941" s="304">
        <v>4.01</v>
      </c>
      <c r="F1941" s="304">
        <v>5.1520000000000001</v>
      </c>
      <c r="G1941" s="304">
        <v>4.0362770000000001</v>
      </c>
      <c r="H1941" s="370">
        <v>5.9383520000000001</v>
      </c>
      <c r="I1941" s="301">
        <v>0.13669999999999999</v>
      </c>
      <c r="J1941" s="301">
        <v>0.1109</v>
      </c>
      <c r="K1941" s="300">
        <v>46.456266999999997</v>
      </c>
      <c r="L1941" s="356"/>
      <c r="M1941" s="400"/>
    </row>
    <row r="1942" spans="2:13" ht="17.25" thickBot="1">
      <c r="B1942" s="322">
        <v>5</v>
      </c>
      <c r="C1942" s="323"/>
      <c r="D1942" s="293" t="s">
        <v>240</v>
      </c>
      <c r="E1942" s="371">
        <v>4.0060000000000002</v>
      </c>
      <c r="F1942" s="371">
        <v>5.1479999999999997</v>
      </c>
      <c r="G1942" s="371">
        <v>4.0371709999999998</v>
      </c>
      <c r="H1942" s="372">
        <v>5.9447450000000002</v>
      </c>
      <c r="I1942" s="289">
        <v>0.1368</v>
      </c>
      <c r="J1942" s="289">
        <v>0.1106</v>
      </c>
      <c r="K1942" s="288">
        <v>46.546112000000001</v>
      </c>
      <c r="L1942" s="324"/>
      <c r="M1942" s="399"/>
    </row>
    <row r="1943" spans="2:13" ht="17.25" thickBot="1">
      <c r="B1943" s="325"/>
      <c r="C1943" s="326"/>
      <c r="D1943" s="327" t="s">
        <v>463</v>
      </c>
      <c r="E1943" s="328">
        <f>AVERAGE(E1938:E1942)</f>
        <v>4.0073999999999996</v>
      </c>
      <c r="F1943" s="328">
        <f t="shared" ref="F1943:K1943" si="557">AVERAGE(F1938:F1942)</f>
        <v>5.1462000000000003</v>
      </c>
      <c r="G1943" s="328">
        <f t="shared" si="557"/>
        <v>4.0343490000000006</v>
      </c>
      <c r="H1943" s="373">
        <f t="shared" si="557"/>
        <v>5.9392690000000012</v>
      </c>
      <c r="I1943" s="329">
        <f t="shared" si="557"/>
        <v>0.13664000000000001</v>
      </c>
      <c r="J1943" s="329">
        <f t="shared" si="557"/>
        <v>0.1109</v>
      </c>
      <c r="K1943" s="330">
        <f t="shared" si="557"/>
        <v>46.404116399999999</v>
      </c>
      <c r="L1943" s="331"/>
      <c r="M1943" s="399"/>
    </row>
    <row r="1944" spans="2:13">
      <c r="B1944" s="314">
        <v>6</v>
      </c>
      <c r="C1944" s="271" t="s">
        <v>427</v>
      </c>
      <c r="D1944" s="291" t="s">
        <v>241</v>
      </c>
      <c r="E1944" s="302">
        <v>4.008</v>
      </c>
      <c r="F1944" s="302">
        <v>5.1879999999999997</v>
      </c>
      <c r="G1944" s="302">
        <v>4.0665089999999999</v>
      </c>
      <c r="H1944" s="364">
        <v>5.9317120000000001</v>
      </c>
      <c r="I1944" s="287">
        <v>0.1363</v>
      </c>
      <c r="J1944" s="287">
        <v>0.1124</v>
      </c>
      <c r="K1944" s="286">
        <v>46.156584000000002</v>
      </c>
      <c r="L1944" s="332"/>
      <c r="M1944" s="399"/>
    </row>
    <row r="1945" spans="2:13">
      <c r="B1945" s="315">
        <v>7</v>
      </c>
      <c r="C1945" s="320"/>
      <c r="D1945" s="299" t="s">
        <v>242</v>
      </c>
      <c r="E1945" s="304">
        <v>4.0129999999999999</v>
      </c>
      <c r="F1945" s="304">
        <v>5.1829999999999998</v>
      </c>
      <c r="G1945" s="304">
        <v>4.0575279999999996</v>
      </c>
      <c r="H1945" s="370">
        <v>5.927251</v>
      </c>
      <c r="I1945" s="301">
        <v>0.13619999999999999</v>
      </c>
      <c r="J1945" s="301">
        <v>0.11260000000000001</v>
      </c>
      <c r="K1945" s="300">
        <v>46.030194999999999</v>
      </c>
      <c r="L1945" s="321"/>
      <c r="M1945" s="399"/>
    </row>
    <row r="1946" spans="2:13">
      <c r="B1946" s="315">
        <v>8</v>
      </c>
      <c r="C1946" s="320"/>
      <c r="D1946" s="299" t="s">
        <v>222</v>
      </c>
      <c r="E1946" s="304">
        <v>4.0149999999999997</v>
      </c>
      <c r="F1946" s="304">
        <v>5.1909999999999998</v>
      </c>
      <c r="G1946" s="304">
        <v>4.0617669999999997</v>
      </c>
      <c r="H1946" s="370">
        <v>5.9276759999999999</v>
      </c>
      <c r="I1946" s="301">
        <v>0.13619999999999999</v>
      </c>
      <c r="J1946" s="301">
        <v>0.11269999999999999</v>
      </c>
      <c r="K1946" s="300">
        <v>46.060336999999997</v>
      </c>
      <c r="L1946" s="321"/>
      <c r="M1946" s="399"/>
    </row>
    <row r="1947" spans="2:13">
      <c r="B1947" s="315">
        <v>9</v>
      </c>
      <c r="C1947" s="320"/>
      <c r="D1947" s="299" t="s">
        <v>223</v>
      </c>
      <c r="E1947" s="304">
        <v>4.0140000000000002</v>
      </c>
      <c r="F1947" s="304">
        <v>5.1890000000000001</v>
      </c>
      <c r="G1947" s="304">
        <v>4.0612130000000004</v>
      </c>
      <c r="H1947" s="370">
        <v>5.9299309999999998</v>
      </c>
      <c r="I1947" s="301">
        <v>0.1363</v>
      </c>
      <c r="J1947" s="301">
        <v>0.1125</v>
      </c>
      <c r="K1947" s="300">
        <v>46.124443999999997</v>
      </c>
      <c r="L1947" s="321"/>
      <c r="M1947" s="399"/>
    </row>
    <row r="1948" spans="2:13" ht="17.25" thickBot="1">
      <c r="B1948" s="322">
        <v>10</v>
      </c>
      <c r="C1948" s="323"/>
      <c r="D1948" s="293" t="s">
        <v>243</v>
      </c>
      <c r="E1948" s="371">
        <v>4.01</v>
      </c>
      <c r="F1948" s="371">
        <v>5.18</v>
      </c>
      <c r="G1948" s="371">
        <v>4.0582140000000004</v>
      </c>
      <c r="H1948" s="372">
        <v>5.9366490000000001</v>
      </c>
      <c r="I1948" s="289">
        <v>0.13639999999999999</v>
      </c>
      <c r="J1948" s="289">
        <v>0.11210000000000001</v>
      </c>
      <c r="K1948" s="288">
        <v>46.208742000000001</v>
      </c>
      <c r="L1948" s="324"/>
      <c r="M1948" s="399"/>
    </row>
    <row r="1949" spans="2:13" ht="17.25" thickBot="1">
      <c r="B1949" s="325" t="s">
        <v>464</v>
      </c>
      <c r="C1949" s="326"/>
      <c r="D1949" s="327" t="s">
        <v>463</v>
      </c>
      <c r="E1949" s="328">
        <f t="shared" ref="E1949:K1949" si="558">AVERAGE(E1944:E1948)</f>
        <v>4.0120000000000005</v>
      </c>
      <c r="F1949" s="328">
        <f t="shared" si="558"/>
        <v>5.1861999999999995</v>
      </c>
      <c r="G1949" s="328">
        <f t="shared" si="558"/>
        <v>4.0610461999999998</v>
      </c>
      <c r="H1949" s="373">
        <f t="shared" si="558"/>
        <v>5.9306438000000004</v>
      </c>
      <c r="I1949" s="329">
        <f t="shared" si="558"/>
        <v>0.13627999999999998</v>
      </c>
      <c r="J1949" s="329">
        <f t="shared" si="558"/>
        <v>0.11246</v>
      </c>
      <c r="K1949" s="330">
        <f t="shared" si="558"/>
        <v>46.116060399999995</v>
      </c>
      <c r="L1949" s="331"/>
      <c r="M1949" s="399"/>
    </row>
    <row r="1950" spans="2:13">
      <c r="B1950" s="333">
        <v>11</v>
      </c>
      <c r="C1950" s="271" t="s">
        <v>389</v>
      </c>
      <c r="D1950" s="291" t="s">
        <v>244</v>
      </c>
      <c r="E1950" s="302">
        <v>4.0069999999999997</v>
      </c>
      <c r="F1950" s="302">
        <v>5.1379999999999999</v>
      </c>
      <c r="G1950" s="302">
        <v>4.0283230000000003</v>
      </c>
      <c r="H1950" s="302">
        <v>5.9160519999999996</v>
      </c>
      <c r="I1950" s="287">
        <v>0.13669999999999999</v>
      </c>
      <c r="J1950" s="287">
        <v>0.1114</v>
      </c>
      <c r="K1950" s="286">
        <v>46.122083000000003</v>
      </c>
      <c r="L1950" s="332"/>
      <c r="M1950" s="399"/>
    </row>
    <row r="1951" spans="2:13">
      <c r="B1951" s="335">
        <v>12</v>
      </c>
      <c r="C1951" s="316"/>
      <c r="D1951" s="299" t="s">
        <v>245</v>
      </c>
      <c r="E1951" s="304">
        <v>4.0119999999999996</v>
      </c>
      <c r="F1951" s="304">
        <v>5.1440000000000001</v>
      </c>
      <c r="G1951" s="304">
        <v>4.0280009999999997</v>
      </c>
      <c r="H1951" s="304">
        <v>5.9109790000000002</v>
      </c>
      <c r="I1951" s="301">
        <v>0.1366</v>
      </c>
      <c r="J1951" s="301">
        <v>0.11169999999999999</v>
      </c>
      <c r="K1951" s="300">
        <v>46.051924999999997</v>
      </c>
      <c r="L1951" s="321"/>
      <c r="M1951" s="399"/>
    </row>
    <row r="1952" spans="2:13">
      <c r="B1952" s="335">
        <v>13</v>
      </c>
      <c r="C1952" s="320"/>
      <c r="D1952" s="299" t="s">
        <v>227</v>
      </c>
      <c r="E1952" s="304">
        <v>4.0140000000000002</v>
      </c>
      <c r="F1952" s="304">
        <v>5.1470000000000002</v>
      </c>
      <c r="G1952" s="304">
        <v>4.0283420000000003</v>
      </c>
      <c r="H1952" s="304">
        <v>5.9173559999999998</v>
      </c>
      <c r="I1952" s="301">
        <v>0.13669999999999999</v>
      </c>
      <c r="J1952" s="301">
        <v>0.11169999999999999</v>
      </c>
      <c r="K1952" s="300">
        <v>46.078781999999997</v>
      </c>
      <c r="L1952" s="321"/>
      <c r="M1952" s="399"/>
    </row>
    <row r="1953" spans="2:13">
      <c r="B1953" s="335">
        <v>14</v>
      </c>
      <c r="C1953" s="320"/>
      <c r="D1953" s="299" t="s">
        <v>228</v>
      </c>
      <c r="E1953" s="304">
        <v>4.0129999999999999</v>
      </c>
      <c r="F1953" s="304">
        <v>5.141</v>
      </c>
      <c r="G1953" s="304">
        <v>4.024648</v>
      </c>
      <c r="H1953" s="304">
        <v>5.9046070000000004</v>
      </c>
      <c r="I1953" s="301">
        <v>0.13669999999999999</v>
      </c>
      <c r="J1953" s="301">
        <v>0.1116</v>
      </c>
      <c r="K1953" s="300">
        <v>46.066307999999999</v>
      </c>
      <c r="L1953" s="321"/>
      <c r="M1953" s="399"/>
    </row>
    <row r="1954" spans="2:13" ht="17.25" thickBot="1">
      <c r="B1954" s="336">
        <v>15</v>
      </c>
      <c r="C1954" s="323"/>
      <c r="D1954" s="293" t="s">
        <v>246</v>
      </c>
      <c r="E1954" s="371">
        <v>4.0090000000000003</v>
      </c>
      <c r="F1954" s="371">
        <v>5.1349999999999998</v>
      </c>
      <c r="G1954" s="371">
        <v>4.023962</v>
      </c>
      <c r="H1954" s="371">
        <v>5.9167519999999998</v>
      </c>
      <c r="I1954" s="289">
        <v>0.13669999999999999</v>
      </c>
      <c r="J1954" s="289">
        <v>0.11119999999999999</v>
      </c>
      <c r="K1954" s="288">
        <v>46.178058</v>
      </c>
      <c r="L1954" s="324"/>
      <c r="M1954" s="399"/>
    </row>
    <row r="1955" spans="2:13" ht="17.25" thickBot="1">
      <c r="B1955" s="337"/>
      <c r="C1955" s="326"/>
      <c r="D1955" s="327" t="s">
        <v>463</v>
      </c>
      <c r="E1955" s="328">
        <f>AVERAGE(E1950:E1954)</f>
        <v>4.0110000000000001</v>
      </c>
      <c r="F1955" s="328">
        <f t="shared" ref="F1955:K1955" si="559">AVERAGE(F1950:F1954)</f>
        <v>5.141</v>
      </c>
      <c r="G1955" s="328">
        <f t="shared" si="559"/>
        <v>4.0266552000000004</v>
      </c>
      <c r="H1955" s="328">
        <f t="shared" si="559"/>
        <v>5.9131492000000003</v>
      </c>
      <c r="I1955" s="329">
        <f t="shared" si="559"/>
        <v>0.13668</v>
      </c>
      <c r="J1955" s="329">
        <f t="shared" si="559"/>
        <v>0.11151999999999999</v>
      </c>
      <c r="K1955" s="330">
        <f t="shared" si="559"/>
        <v>46.099431199999998</v>
      </c>
      <c r="L1955" s="331"/>
      <c r="M1955" s="399"/>
    </row>
    <row r="1956" spans="2:13">
      <c r="B1956" s="333">
        <v>16</v>
      </c>
      <c r="C1956" s="271" t="s">
        <v>428</v>
      </c>
      <c r="D1956" s="291" t="s">
        <v>247</v>
      </c>
      <c r="E1956" s="302">
        <v>4.01</v>
      </c>
      <c r="F1956" s="302">
        <v>5.1820000000000004</v>
      </c>
      <c r="G1956" s="302">
        <v>4.0597799999999999</v>
      </c>
      <c r="H1956" s="302">
        <v>5.9292160000000003</v>
      </c>
      <c r="I1956" s="287">
        <v>0.13639999999999999</v>
      </c>
      <c r="J1956" s="287">
        <v>0.1124</v>
      </c>
      <c r="K1956" s="286">
        <v>46.103203000000001</v>
      </c>
      <c r="L1956" s="359"/>
      <c r="M1956" s="401"/>
    </row>
    <row r="1957" spans="2:13">
      <c r="B1957" s="335">
        <v>17</v>
      </c>
      <c r="C1957" s="320"/>
      <c r="D1957" s="299" t="s">
        <v>248</v>
      </c>
      <c r="E1957" s="304">
        <v>4.0149999999999997</v>
      </c>
      <c r="F1957" s="304">
        <v>5.18</v>
      </c>
      <c r="G1957" s="304">
        <v>4.0531600000000001</v>
      </c>
      <c r="H1957" s="304">
        <v>5.9231410000000002</v>
      </c>
      <c r="I1957" s="301">
        <v>0.1363</v>
      </c>
      <c r="J1957" s="301">
        <v>0.11260000000000001</v>
      </c>
      <c r="K1957" s="300">
        <v>46.003551999999999</v>
      </c>
      <c r="L1957" s="321"/>
      <c r="M1957" s="399"/>
    </row>
    <row r="1958" spans="2:13">
      <c r="B1958" s="335">
        <v>18</v>
      </c>
      <c r="C1958" s="320"/>
      <c r="D1958" s="299" t="s">
        <v>232</v>
      </c>
      <c r="E1958" s="304">
        <v>4.0170000000000003</v>
      </c>
      <c r="F1958" s="304">
        <v>5.0839999999999996</v>
      </c>
      <c r="G1958" s="304">
        <v>3.9760629999999999</v>
      </c>
      <c r="H1958" s="304">
        <v>5.816738</v>
      </c>
      <c r="I1958" s="301">
        <v>0.1363</v>
      </c>
      <c r="J1958" s="301">
        <v>0.11260000000000001</v>
      </c>
      <c r="K1958" s="300">
        <v>45.150976999999997</v>
      </c>
      <c r="L1958" s="321"/>
      <c r="M1958" s="399"/>
    </row>
    <row r="1959" spans="2:13">
      <c r="B1959" s="335">
        <v>19</v>
      </c>
      <c r="C1959" s="320"/>
      <c r="D1959" s="299" t="s">
        <v>233</v>
      </c>
      <c r="E1959" s="304">
        <v>4.016</v>
      </c>
      <c r="F1959" s="304">
        <v>5.1779999999999999</v>
      </c>
      <c r="G1959" s="304">
        <v>4.050586</v>
      </c>
      <c r="H1959" s="304">
        <v>5.9176549999999999</v>
      </c>
      <c r="I1959" s="301">
        <v>0.13639999999999999</v>
      </c>
      <c r="J1959" s="301">
        <v>0.1124</v>
      </c>
      <c r="K1959" s="300">
        <v>46.067616000000001</v>
      </c>
      <c r="L1959" s="321"/>
      <c r="M1959" s="399"/>
    </row>
    <row r="1960" spans="2:13" ht="17.25" thickBot="1">
      <c r="B1960" s="336">
        <v>20</v>
      </c>
      <c r="C1960" s="323"/>
      <c r="D1960" s="293" t="s">
        <v>249</v>
      </c>
      <c r="E1960" s="371">
        <v>4.0119999999999996</v>
      </c>
      <c r="F1960" s="371">
        <v>5.173</v>
      </c>
      <c r="G1960" s="371">
        <v>4.0507090000000003</v>
      </c>
      <c r="H1960" s="371">
        <v>5.920026</v>
      </c>
      <c r="I1960" s="289">
        <v>0.13650000000000001</v>
      </c>
      <c r="J1960" s="289">
        <v>0.11210000000000001</v>
      </c>
      <c r="K1960" s="288">
        <v>46.146298000000002</v>
      </c>
      <c r="L1960" s="324"/>
      <c r="M1960" s="399"/>
    </row>
    <row r="1961" spans="2:13" ht="17.25" thickBot="1">
      <c r="B1961" s="337"/>
      <c r="C1961" s="326"/>
      <c r="D1961" s="327" t="s">
        <v>463</v>
      </c>
      <c r="E1961" s="328">
        <f>AVERAGE(E1956:E1960)</f>
        <v>4.0140000000000002</v>
      </c>
      <c r="F1961" s="328">
        <f t="shared" ref="F1961:K1961" si="560">AVERAGE(F1956:F1960)</f>
        <v>5.1593999999999998</v>
      </c>
      <c r="G1961" s="328">
        <f t="shared" si="560"/>
        <v>4.0380596000000004</v>
      </c>
      <c r="H1961" s="328">
        <f t="shared" si="560"/>
        <v>5.9013552000000002</v>
      </c>
      <c r="I1961" s="329">
        <f t="shared" si="560"/>
        <v>0.13638</v>
      </c>
      <c r="J1961" s="329">
        <f t="shared" si="560"/>
        <v>0.11242000000000001</v>
      </c>
      <c r="K1961" s="328">
        <f t="shared" si="560"/>
        <v>45.894329199999994</v>
      </c>
      <c r="L1961" s="331"/>
      <c r="M1961" s="399"/>
    </row>
    <row r="1962" spans="2:13">
      <c r="B1962" s="333">
        <v>21</v>
      </c>
      <c r="C1962" s="271" t="s">
        <v>428</v>
      </c>
      <c r="D1962" s="291" t="s">
        <v>250</v>
      </c>
      <c r="E1962" s="302">
        <v>4.008</v>
      </c>
      <c r="F1962" s="302">
        <v>5.1790000000000003</v>
      </c>
      <c r="G1962" s="302">
        <v>4.0594549999999998</v>
      </c>
      <c r="H1962" s="302">
        <v>5.9427680000000001</v>
      </c>
      <c r="I1962" s="287">
        <v>0.13639999999999999</v>
      </c>
      <c r="J1962" s="287">
        <v>0.11210000000000001</v>
      </c>
      <c r="K1962" s="286">
        <v>46.199821999999998</v>
      </c>
      <c r="L1962" s="332"/>
      <c r="M1962" s="399"/>
    </row>
    <row r="1963" spans="2:13">
      <c r="B1963" s="335">
        <v>22</v>
      </c>
      <c r="C1963" s="320"/>
      <c r="D1963" s="299" t="s">
        <v>251</v>
      </c>
      <c r="E1963" s="304">
        <v>4.0119999999999996</v>
      </c>
      <c r="F1963" s="304">
        <v>5.1740000000000004</v>
      </c>
      <c r="G1963" s="304">
        <v>4.0514919999999996</v>
      </c>
      <c r="H1963" s="304">
        <v>5.9347139999999996</v>
      </c>
      <c r="I1963" s="301">
        <v>0.13639999999999999</v>
      </c>
      <c r="J1963" s="301">
        <v>0.1123</v>
      </c>
      <c r="K1963" s="300">
        <v>46.073019000000002</v>
      </c>
      <c r="L1963" s="321"/>
      <c r="M1963" s="399"/>
    </row>
    <row r="1964" spans="2:13">
      <c r="B1964" s="335">
        <v>23</v>
      </c>
      <c r="C1964" s="320"/>
      <c r="D1964" s="299" t="s">
        <v>237</v>
      </c>
      <c r="E1964" s="304">
        <v>4.0140000000000002</v>
      </c>
      <c r="F1964" s="304">
        <v>5.1769999999999996</v>
      </c>
      <c r="G1964" s="304">
        <v>4.0518210000000003</v>
      </c>
      <c r="H1964" s="304">
        <v>5.9265350000000003</v>
      </c>
      <c r="I1964" s="301">
        <v>0.13639999999999999</v>
      </c>
      <c r="J1964" s="301">
        <v>0.1124</v>
      </c>
      <c r="K1964" s="300">
        <v>46.058719000000004</v>
      </c>
      <c r="L1964" s="321"/>
      <c r="M1964" s="399"/>
    </row>
    <row r="1965" spans="2:13">
      <c r="B1965" s="335">
        <v>24</v>
      </c>
      <c r="C1965" s="320"/>
      <c r="D1965" s="299" t="s">
        <v>238</v>
      </c>
      <c r="E1965" s="304">
        <v>4.0129999999999999</v>
      </c>
      <c r="F1965" s="304">
        <v>5.1639999999999997</v>
      </c>
      <c r="G1965" s="304">
        <v>4.0426539999999997</v>
      </c>
      <c r="H1965" s="304">
        <v>5.9175560000000003</v>
      </c>
      <c r="I1965" s="301">
        <v>0.13650000000000001</v>
      </c>
      <c r="J1965" s="301">
        <v>0.11210000000000001</v>
      </c>
      <c r="K1965" s="300">
        <v>46.066012000000001</v>
      </c>
      <c r="L1965" s="321"/>
      <c r="M1965" s="399"/>
    </row>
    <row r="1966" spans="2:13" ht="17.25" thickBot="1">
      <c r="B1966" s="336">
        <v>25</v>
      </c>
      <c r="C1966" s="323"/>
      <c r="D1966" s="293" t="s">
        <v>252</v>
      </c>
      <c r="E1966" s="371">
        <v>4.008</v>
      </c>
      <c r="F1966" s="371">
        <v>5.17</v>
      </c>
      <c r="G1966" s="371">
        <v>4.0523999999999996</v>
      </c>
      <c r="H1966" s="371">
        <v>5.941967</v>
      </c>
      <c r="I1966" s="289">
        <v>0.1366</v>
      </c>
      <c r="J1966" s="289">
        <v>0.11169999999999999</v>
      </c>
      <c r="K1966" s="288">
        <v>46.284691000000002</v>
      </c>
      <c r="L1966" s="324"/>
      <c r="M1966" s="399"/>
    </row>
    <row r="1967" spans="2:13" ht="17.25" thickBot="1">
      <c r="B1967" s="339" t="s">
        <v>464</v>
      </c>
      <c r="C1967" s="340"/>
      <c r="D1967" s="341" t="s">
        <v>465</v>
      </c>
      <c r="E1967" s="342">
        <f>AVERAGE(E1962:E1966)</f>
        <v>4.0109999999999992</v>
      </c>
      <c r="F1967" s="342">
        <f t="shared" ref="F1967:K1967" si="561">AVERAGE(F1962:F1966)</f>
        <v>5.1728000000000005</v>
      </c>
      <c r="G1967" s="342">
        <f t="shared" si="561"/>
        <v>4.0515643999999993</v>
      </c>
      <c r="H1967" s="342">
        <f t="shared" si="561"/>
        <v>5.9327080000000008</v>
      </c>
      <c r="I1967" s="343">
        <f t="shared" si="561"/>
        <v>0.13646000000000003</v>
      </c>
      <c r="J1967" s="343">
        <f t="shared" si="561"/>
        <v>0.11212</v>
      </c>
      <c r="K1967" s="342">
        <f t="shared" si="561"/>
        <v>46.136452599999998</v>
      </c>
      <c r="L1967" s="344"/>
      <c r="M1967" s="399"/>
    </row>
    <row r="1968" spans="2:13">
      <c r="B1968" s="333"/>
      <c r="C1968" s="345"/>
      <c r="D1968" s="291" t="s">
        <v>466</v>
      </c>
      <c r="E1968" s="346">
        <f>MEDIAN(E1938:E1942,E1944:E1948,E1950:E1954,E1956:E1960,E1962:E1966)</f>
        <v>4.0119999999999996</v>
      </c>
      <c r="F1968" s="346">
        <f t="shared" ref="F1968:K1968" si="562">MEDIAN(F1938:F1942,F1944:F1948,F1950:F1954,F1956:F1960,F1962:F1966)</f>
        <v>5.17</v>
      </c>
      <c r="G1968" s="346">
        <f t="shared" si="562"/>
        <v>4.050586</v>
      </c>
      <c r="H1968" s="346">
        <f t="shared" si="562"/>
        <v>5.9276759999999999</v>
      </c>
      <c r="I1968" s="347">
        <f t="shared" si="562"/>
        <v>0.13650000000000001</v>
      </c>
      <c r="J1968" s="347">
        <f t="shared" si="562"/>
        <v>0.11210000000000001</v>
      </c>
      <c r="K1968" s="348">
        <f t="shared" si="562"/>
        <v>46.122083000000003</v>
      </c>
      <c r="L1968" s="332"/>
      <c r="M1968" s="399"/>
    </row>
    <row r="1969" spans="2:13">
      <c r="B1969" s="335"/>
      <c r="C1969" s="320"/>
      <c r="D1969" s="299" t="s">
        <v>467</v>
      </c>
      <c r="E1969" s="349">
        <f>AVERAGE(E1938:E1942,E1944:E1948,E1950:E1954,E1956:E1960,E1962:E1966)</f>
        <v>4.0110799999999998</v>
      </c>
      <c r="F1969" s="349">
        <f t="shared" ref="F1969:K1969" si="563">AVERAGE(F1938:F1942,F1944:F1948,F1950:F1954,F1956:F1960,F1962:F1966)</f>
        <v>5.1611200000000004</v>
      </c>
      <c r="G1969" s="349">
        <f t="shared" si="563"/>
        <v>4.0423348800000003</v>
      </c>
      <c r="H1969" s="349">
        <f t="shared" si="563"/>
        <v>5.9234250399999988</v>
      </c>
      <c r="I1969" s="350">
        <f t="shared" si="563"/>
        <v>0.136488</v>
      </c>
      <c r="J1969" s="350">
        <f t="shared" si="563"/>
        <v>0.11188399999999998</v>
      </c>
      <c r="K1969" s="351">
        <f t="shared" si="563"/>
        <v>46.130077960000008</v>
      </c>
      <c r="L1969" s="321"/>
      <c r="M1969" s="399"/>
    </row>
    <row r="1970" spans="2:13">
      <c r="B1970" s="335"/>
      <c r="C1970" s="320"/>
      <c r="D1970" s="299" t="s">
        <v>199</v>
      </c>
      <c r="E1970" s="349">
        <f>MAX(E1938:E1942,E1944:E1948,E1950:E1954,E1956:E1960,E1962:E1966)</f>
        <v>4.0170000000000003</v>
      </c>
      <c r="F1970" s="349">
        <f t="shared" ref="F1970:K1970" si="564">MAX(F1938:F1942,F1944:F1948,F1950:F1954,F1956:F1960,F1962:F1966)</f>
        <v>5.1909999999999998</v>
      </c>
      <c r="G1970" s="349">
        <f t="shared" si="564"/>
        <v>4.0665089999999999</v>
      </c>
      <c r="H1970" s="349">
        <f t="shared" si="564"/>
        <v>5.9447450000000002</v>
      </c>
      <c r="I1970" s="350">
        <f t="shared" si="564"/>
        <v>0.1368</v>
      </c>
      <c r="J1970" s="350">
        <f t="shared" si="564"/>
        <v>0.11269999999999999</v>
      </c>
      <c r="K1970" s="351">
        <f t="shared" si="564"/>
        <v>46.546112000000001</v>
      </c>
      <c r="L1970" s="321"/>
      <c r="M1970" s="399"/>
    </row>
    <row r="1971" spans="2:13">
      <c r="B1971" s="335"/>
      <c r="C1971" s="320"/>
      <c r="D1971" s="299" t="s">
        <v>200</v>
      </c>
      <c r="E1971" s="349">
        <f>MIN(E1938:E1942,E1944:E1948,E1950:E1954,E1956:E1960,E1962:E1966)</f>
        <v>4.0039999999999996</v>
      </c>
      <c r="F1971" s="349">
        <f t="shared" ref="F1971:K1971" si="565">MIN(F1938:F1942,F1944:F1948,F1950:F1954,F1956:F1960,F1962:F1966)</f>
        <v>5.0839999999999996</v>
      </c>
      <c r="G1971" s="349">
        <f t="shared" si="565"/>
        <v>3.9760629999999999</v>
      </c>
      <c r="H1971" s="349">
        <f t="shared" si="565"/>
        <v>5.816738</v>
      </c>
      <c r="I1971" s="350">
        <f t="shared" si="565"/>
        <v>0.13619999999999999</v>
      </c>
      <c r="J1971" s="350">
        <f t="shared" si="565"/>
        <v>0.1106</v>
      </c>
      <c r="K1971" s="351">
        <f t="shared" si="565"/>
        <v>45.150976999999997</v>
      </c>
      <c r="L1971" s="321"/>
      <c r="M1971" s="399"/>
    </row>
    <row r="1972" spans="2:13">
      <c r="B1972" s="335"/>
      <c r="C1972" s="320"/>
      <c r="D1972" s="299" t="s">
        <v>201</v>
      </c>
      <c r="E1972" s="349">
        <f>E1970-E1971</f>
        <v>1.3000000000000789E-2</v>
      </c>
      <c r="F1972" s="349">
        <f t="shared" ref="F1972:K1972" si="566">F1970-F1971</f>
        <v>0.10700000000000021</v>
      </c>
      <c r="G1972" s="349">
        <f t="shared" si="566"/>
        <v>9.0446000000000026E-2</v>
      </c>
      <c r="H1972" s="349">
        <f t="shared" si="566"/>
        <v>0.1280070000000002</v>
      </c>
      <c r="I1972" s="350">
        <f t="shared" si="566"/>
        <v>6.0000000000001719E-4</v>
      </c>
      <c r="J1972" s="350">
        <f t="shared" si="566"/>
        <v>2.0999999999999908E-3</v>
      </c>
      <c r="K1972" s="349">
        <f t="shared" si="566"/>
        <v>1.3951350000000033</v>
      </c>
      <c r="L1972" s="321"/>
      <c r="M1972" s="399"/>
    </row>
    <row r="1973" spans="2:13" ht="17.25" thickBot="1">
      <c r="B1973" s="336"/>
      <c r="C1973" s="323"/>
      <c r="D1973" s="293" t="s">
        <v>202</v>
      </c>
      <c r="E1973" s="352">
        <f>STDEVA(E1938:E1942,E1944:E1948,E1950:E1954,E1956:E1960,E1962:E1966)</f>
        <v>3.3901819026910225E-3</v>
      </c>
      <c r="F1973" s="352">
        <f t="shared" ref="F1973:K1973" si="567">STDEVA(F1938:F1942,F1944:F1948,F1950:F1954,F1956:F1960,F1962:F1966)</f>
        <v>2.4605758133683559E-2</v>
      </c>
      <c r="G1973" s="352">
        <f t="shared" si="567"/>
        <v>1.927313622921812E-2</v>
      </c>
      <c r="H1973" s="352">
        <f t="shared" si="567"/>
        <v>2.4706829609914206E-2</v>
      </c>
      <c r="I1973" s="353">
        <f t="shared" si="567"/>
        <v>1.7397317800933092E-4</v>
      </c>
      <c r="J1973" s="353">
        <f t="shared" si="567"/>
        <v>6.4270262693306914E-4</v>
      </c>
      <c r="K1973" s="352">
        <f t="shared" si="567"/>
        <v>0.24813087426186356</v>
      </c>
      <c r="L1973" s="324"/>
      <c r="M1973" s="399"/>
    </row>
    <row r="1975" spans="2:13">
      <c r="B1975" s="240" t="s">
        <v>530</v>
      </c>
      <c r="C1975" s="240"/>
      <c r="E1975" s="240"/>
      <c r="F1975" s="240"/>
      <c r="G1975" s="240"/>
      <c r="H1975" s="240"/>
      <c r="I1975" s="240"/>
      <c r="J1975" s="240"/>
      <c r="K1975" s="240"/>
    </row>
    <row r="1976" spans="2:13" ht="17.25" thickBot="1">
      <c r="B1976" s="240" t="s">
        <v>469</v>
      </c>
      <c r="C1976" s="240"/>
      <c r="E1976" s="240"/>
      <c r="F1976" s="240"/>
      <c r="G1976" s="240"/>
      <c r="H1976" s="240"/>
      <c r="I1976" s="240"/>
      <c r="J1976" s="240"/>
      <c r="K1976" s="240"/>
    </row>
    <row r="1977" spans="2:13" ht="17.25" thickBot="1">
      <c r="B1977" s="313" t="s">
        <v>11</v>
      </c>
      <c r="C1977" s="250" t="s">
        <v>0</v>
      </c>
      <c r="D1977" s="250" t="s">
        <v>1</v>
      </c>
      <c r="E1977" s="250" t="s">
        <v>2</v>
      </c>
      <c r="F1977" s="250" t="s">
        <v>3</v>
      </c>
      <c r="G1977" s="250" t="s">
        <v>192</v>
      </c>
      <c r="H1977" s="250" t="s">
        <v>16</v>
      </c>
      <c r="I1977" s="250" t="s">
        <v>6</v>
      </c>
      <c r="J1977" s="251" t="s">
        <v>7</v>
      </c>
      <c r="K1977" s="252" t="s">
        <v>8</v>
      </c>
      <c r="L1977" s="254" t="s">
        <v>470</v>
      </c>
      <c r="M1977" s="404"/>
    </row>
    <row r="1978" spans="2:13">
      <c r="B1978" s="314">
        <v>1</v>
      </c>
      <c r="C1978" s="271" t="s">
        <v>389</v>
      </c>
      <c r="D1978" s="291" t="s">
        <v>213</v>
      </c>
      <c r="E1978" s="302">
        <v>3.98</v>
      </c>
      <c r="F1978" s="302">
        <v>5.202</v>
      </c>
      <c r="G1978" s="302">
        <v>4.1061690000000004</v>
      </c>
      <c r="H1978" s="364">
        <v>6.0022919999999997</v>
      </c>
      <c r="I1978" s="287">
        <v>0.1366</v>
      </c>
      <c r="J1978" s="287">
        <v>0.1109</v>
      </c>
      <c r="K1978" s="286">
        <v>46.907124000000003</v>
      </c>
      <c r="L1978" s="275"/>
      <c r="M1978" s="397"/>
    </row>
    <row r="1979" spans="2:13">
      <c r="B1979" s="315">
        <v>2</v>
      </c>
      <c r="C1979" s="316"/>
      <c r="D1979" s="299" t="s">
        <v>214</v>
      </c>
      <c r="E1979" s="304">
        <v>3.996</v>
      </c>
      <c r="F1979" s="304">
        <v>5.2069999999999999</v>
      </c>
      <c r="G1979" s="304">
        <v>4.0936579999999996</v>
      </c>
      <c r="H1979" s="370">
        <v>6.0070139999999999</v>
      </c>
      <c r="I1979" s="301">
        <v>0.1366</v>
      </c>
      <c r="J1979" s="301">
        <v>0.11119999999999999</v>
      </c>
      <c r="K1979" s="300">
        <v>46.825539999999997</v>
      </c>
      <c r="L1979" s="319"/>
      <c r="M1979" s="398"/>
    </row>
    <row r="1980" spans="2:13">
      <c r="B1980" s="315">
        <v>3</v>
      </c>
      <c r="C1980" s="320"/>
      <c r="D1980" s="299" t="s">
        <v>217</v>
      </c>
      <c r="E1980" s="304">
        <v>4.0019999999999998</v>
      </c>
      <c r="F1980" s="304">
        <v>5.1980000000000004</v>
      </c>
      <c r="G1980" s="304">
        <v>4.0804559999999999</v>
      </c>
      <c r="H1980" s="370">
        <v>5.9876300000000002</v>
      </c>
      <c r="I1980" s="301">
        <v>0.1366</v>
      </c>
      <c r="J1980" s="301">
        <v>0.1113</v>
      </c>
      <c r="K1980" s="300">
        <v>46.702606000000003</v>
      </c>
      <c r="L1980" s="356"/>
      <c r="M1980" s="400"/>
    </row>
    <row r="1981" spans="2:13">
      <c r="B1981" s="315">
        <v>4</v>
      </c>
      <c r="C1981" s="320"/>
      <c r="D1981" s="299" t="s">
        <v>218</v>
      </c>
      <c r="E1981" s="304">
        <v>4.0039999999999996</v>
      </c>
      <c r="F1981" s="304">
        <v>5.1829999999999998</v>
      </c>
      <c r="G1981" s="304">
        <v>4.066649</v>
      </c>
      <c r="H1981" s="370">
        <v>5.9828780000000004</v>
      </c>
      <c r="I1981" s="301">
        <v>0.1366</v>
      </c>
      <c r="J1981" s="301">
        <v>0.111</v>
      </c>
      <c r="K1981" s="300">
        <v>46.693694000000001</v>
      </c>
      <c r="L1981" s="356"/>
      <c r="M1981" s="400"/>
    </row>
    <row r="1982" spans="2:13" ht="17.25" thickBot="1">
      <c r="B1982" s="322">
        <v>5</v>
      </c>
      <c r="C1982" s="323"/>
      <c r="D1982" s="293" t="s">
        <v>240</v>
      </c>
      <c r="E1982" s="371">
        <v>4.0049999999999999</v>
      </c>
      <c r="F1982" s="371">
        <v>5.1840000000000002</v>
      </c>
      <c r="G1982" s="371">
        <v>4.0664179999999996</v>
      </c>
      <c r="H1982" s="372">
        <v>5.9909999999999997</v>
      </c>
      <c r="I1982" s="289">
        <v>0.1368</v>
      </c>
      <c r="J1982" s="289">
        <v>0.1108</v>
      </c>
      <c r="K1982" s="288">
        <v>46.787004000000003</v>
      </c>
      <c r="L1982" s="324"/>
      <c r="M1982" s="399"/>
    </row>
    <row r="1983" spans="2:13" ht="17.25" thickBot="1">
      <c r="B1983" s="325"/>
      <c r="C1983" s="326"/>
      <c r="D1983" s="327" t="s">
        <v>463</v>
      </c>
      <c r="E1983" s="328">
        <f>AVERAGE(E1978:E1982)</f>
        <v>3.9973999999999998</v>
      </c>
      <c r="F1983" s="328">
        <f t="shared" ref="F1983:K1983" si="568">AVERAGE(F1978:F1982)</f>
        <v>5.1947999999999999</v>
      </c>
      <c r="G1983" s="328">
        <f t="shared" si="568"/>
        <v>4.0826699999999994</v>
      </c>
      <c r="H1983" s="373">
        <f t="shared" si="568"/>
        <v>5.9941627999999998</v>
      </c>
      <c r="I1983" s="329">
        <f t="shared" si="568"/>
        <v>0.13664000000000001</v>
      </c>
      <c r="J1983" s="329">
        <f t="shared" si="568"/>
        <v>0.11103999999999999</v>
      </c>
      <c r="K1983" s="330">
        <f t="shared" si="568"/>
        <v>46.783193599999997</v>
      </c>
      <c r="L1983" s="331"/>
      <c r="M1983" s="399"/>
    </row>
    <row r="1984" spans="2:13">
      <c r="B1984" s="314">
        <v>6</v>
      </c>
      <c r="C1984" s="271" t="s">
        <v>427</v>
      </c>
      <c r="D1984" s="291" t="s">
        <v>241</v>
      </c>
      <c r="E1984" s="302">
        <v>4</v>
      </c>
      <c r="F1984" s="302">
        <v>5.24</v>
      </c>
      <c r="G1984" s="302">
        <v>4.1154830000000002</v>
      </c>
      <c r="H1984" s="364">
        <v>6.0038929999999997</v>
      </c>
      <c r="I1984" s="287">
        <v>0.13639999999999999</v>
      </c>
      <c r="J1984" s="287">
        <v>0.1123</v>
      </c>
      <c r="K1984" s="286">
        <v>46.660730000000001</v>
      </c>
      <c r="L1984" s="332"/>
      <c r="M1984" s="399"/>
    </row>
    <row r="1985" spans="2:13">
      <c r="B1985" s="315">
        <v>7</v>
      </c>
      <c r="C1985" s="320"/>
      <c r="D1985" s="299" t="s">
        <v>242</v>
      </c>
      <c r="E1985" s="304">
        <v>4.0049999999999999</v>
      </c>
      <c r="F1985" s="304">
        <v>5.2329999999999997</v>
      </c>
      <c r="G1985" s="304">
        <v>4.1048539999999996</v>
      </c>
      <c r="H1985" s="370">
        <v>6.0051139999999998</v>
      </c>
      <c r="I1985" s="301">
        <v>0.13639999999999999</v>
      </c>
      <c r="J1985" s="301">
        <v>0.1124</v>
      </c>
      <c r="K1985" s="300">
        <v>46.556939999999997</v>
      </c>
      <c r="L1985" s="321"/>
      <c r="M1985" s="399"/>
    </row>
    <row r="1986" spans="2:13">
      <c r="B1986" s="315">
        <v>8</v>
      </c>
      <c r="C1986" s="320"/>
      <c r="D1986" s="299" t="s">
        <v>222</v>
      </c>
      <c r="E1986" s="304">
        <v>4.0090000000000003</v>
      </c>
      <c r="F1986" s="304">
        <v>5.2210000000000001</v>
      </c>
      <c r="G1986" s="304">
        <v>4.0913550000000001</v>
      </c>
      <c r="H1986" s="370">
        <v>5.9776100000000003</v>
      </c>
      <c r="I1986" s="301">
        <v>0.1363</v>
      </c>
      <c r="J1986" s="301">
        <v>0.1124</v>
      </c>
      <c r="K1986" s="300">
        <v>46.450178000000001</v>
      </c>
      <c r="L1986" s="321"/>
      <c r="M1986" s="399"/>
    </row>
    <row r="1987" spans="2:13">
      <c r="B1987" s="315">
        <v>9</v>
      </c>
      <c r="C1987" s="320"/>
      <c r="D1987" s="299" t="s">
        <v>223</v>
      </c>
      <c r="E1987" s="304">
        <v>4.01</v>
      </c>
      <c r="F1987" s="304">
        <v>5.21</v>
      </c>
      <c r="G1987" s="304">
        <v>4.0817170000000003</v>
      </c>
      <c r="H1987" s="370">
        <v>5.9677519999999999</v>
      </c>
      <c r="I1987" s="301">
        <v>0.13639999999999999</v>
      </c>
      <c r="J1987" s="301">
        <v>0.11219999999999999</v>
      </c>
      <c r="K1987" s="300">
        <v>46.434938000000002</v>
      </c>
      <c r="L1987" s="321"/>
      <c r="M1987" s="399"/>
    </row>
    <row r="1988" spans="2:13" ht="17.25" thickBot="1">
      <c r="B1988" s="322">
        <v>10</v>
      </c>
      <c r="C1988" s="323"/>
      <c r="D1988" s="293" t="s">
        <v>243</v>
      </c>
      <c r="E1988" s="371">
        <v>4.008</v>
      </c>
      <c r="F1988" s="371">
        <v>5.202</v>
      </c>
      <c r="G1988" s="371">
        <v>4.077483</v>
      </c>
      <c r="H1988" s="372">
        <v>5.9631259999999999</v>
      </c>
      <c r="I1988" s="289">
        <v>0.13650000000000001</v>
      </c>
      <c r="J1988" s="289">
        <v>0.112</v>
      </c>
      <c r="K1988" s="288">
        <v>46.446429000000002</v>
      </c>
      <c r="L1988" s="324"/>
      <c r="M1988" s="399"/>
    </row>
    <row r="1989" spans="2:13" ht="17.25" thickBot="1">
      <c r="B1989" s="325" t="s">
        <v>464</v>
      </c>
      <c r="C1989" s="326"/>
      <c r="D1989" s="327" t="s">
        <v>463</v>
      </c>
      <c r="E1989" s="328">
        <f t="shared" ref="E1989:K1989" si="569">AVERAGE(E1984:E1988)</f>
        <v>4.0064000000000002</v>
      </c>
      <c r="F1989" s="328">
        <f t="shared" si="569"/>
        <v>5.2212000000000005</v>
      </c>
      <c r="G1989" s="328">
        <f t="shared" si="569"/>
        <v>4.0941784000000006</v>
      </c>
      <c r="H1989" s="373">
        <f t="shared" si="569"/>
        <v>5.9834990000000001</v>
      </c>
      <c r="I1989" s="329">
        <f t="shared" si="569"/>
        <v>0.13639999999999999</v>
      </c>
      <c r="J1989" s="329">
        <f t="shared" si="569"/>
        <v>0.11226</v>
      </c>
      <c r="K1989" s="330">
        <f t="shared" si="569"/>
        <v>46.509842999999996</v>
      </c>
      <c r="L1989" s="331"/>
      <c r="M1989" s="399"/>
    </row>
    <row r="1990" spans="2:13">
      <c r="B1990" s="333">
        <v>11</v>
      </c>
      <c r="C1990" s="271" t="s">
        <v>389</v>
      </c>
      <c r="D1990" s="291" t="s">
        <v>244</v>
      </c>
      <c r="E1990" s="302">
        <v>4.0010000000000003</v>
      </c>
      <c r="F1990" s="302">
        <v>5.1929999999999996</v>
      </c>
      <c r="G1990" s="302">
        <v>4.0775499999999996</v>
      </c>
      <c r="H1990" s="302">
        <v>5.9762740000000001</v>
      </c>
      <c r="I1990" s="287">
        <v>0.1366</v>
      </c>
      <c r="J1990" s="287">
        <v>0.1114</v>
      </c>
      <c r="K1990" s="286">
        <v>46.615799000000003</v>
      </c>
      <c r="L1990" s="332"/>
      <c r="M1990" s="399"/>
    </row>
    <row r="1991" spans="2:13">
      <c r="B1991" s="335">
        <v>12</v>
      </c>
      <c r="C1991" s="316"/>
      <c r="D1991" s="299" t="s">
        <v>245</v>
      </c>
      <c r="E1991" s="304">
        <v>4.0060000000000002</v>
      </c>
      <c r="F1991" s="304">
        <v>5.1859999999999999</v>
      </c>
      <c r="G1991" s="304">
        <v>4.0669709999999997</v>
      </c>
      <c r="H1991" s="304">
        <v>5.9517769999999999</v>
      </c>
      <c r="I1991" s="301">
        <v>0.1366</v>
      </c>
      <c r="J1991" s="301">
        <v>0.11169999999999999</v>
      </c>
      <c r="K1991" s="300">
        <v>46.427931999999998</v>
      </c>
      <c r="L1991" s="321"/>
      <c r="M1991" s="399"/>
    </row>
    <row r="1992" spans="2:13">
      <c r="B1992" s="335">
        <v>13</v>
      </c>
      <c r="C1992" s="320"/>
      <c r="D1992" s="299" t="s">
        <v>227</v>
      </c>
      <c r="E1992" s="304">
        <v>4.01</v>
      </c>
      <c r="F1992" s="304">
        <v>5.1760000000000002</v>
      </c>
      <c r="G1992" s="304">
        <v>4.0550800000000002</v>
      </c>
      <c r="H1992" s="304">
        <v>5.9380290000000002</v>
      </c>
      <c r="I1992" s="301">
        <v>0.13650000000000001</v>
      </c>
      <c r="J1992" s="301">
        <v>0.1118</v>
      </c>
      <c r="K1992" s="300">
        <v>46.296959000000001</v>
      </c>
      <c r="L1992" s="321"/>
      <c r="M1992" s="399"/>
    </row>
    <row r="1993" spans="2:13">
      <c r="B1993" s="335">
        <v>14</v>
      </c>
      <c r="C1993" s="320"/>
      <c r="D1993" s="299" t="s">
        <v>228</v>
      </c>
      <c r="E1993" s="304">
        <v>4.0110000000000001</v>
      </c>
      <c r="F1993" s="304">
        <v>5.1689999999999996</v>
      </c>
      <c r="G1993" s="304">
        <v>4.0485860000000002</v>
      </c>
      <c r="H1993" s="304">
        <v>5.9507560000000002</v>
      </c>
      <c r="I1993" s="301">
        <v>0.1366</v>
      </c>
      <c r="J1993" s="301">
        <v>0.1116</v>
      </c>
      <c r="K1993" s="300">
        <v>46.317203999999997</v>
      </c>
      <c r="L1993" s="321"/>
      <c r="M1993" s="399"/>
    </row>
    <row r="1994" spans="2:13" ht="17.25" thickBot="1">
      <c r="B1994" s="336">
        <v>15</v>
      </c>
      <c r="C1994" s="323"/>
      <c r="D1994" s="293" t="s">
        <v>246</v>
      </c>
      <c r="E1994" s="371">
        <v>4.008</v>
      </c>
      <c r="F1994" s="371">
        <v>5.1539999999999999</v>
      </c>
      <c r="G1994" s="371">
        <v>4.0398589999999999</v>
      </c>
      <c r="H1994" s="371">
        <v>5.9325539999999997</v>
      </c>
      <c r="I1994" s="289">
        <v>0.13669999999999999</v>
      </c>
      <c r="J1994" s="289">
        <v>0.1113</v>
      </c>
      <c r="K1994" s="288">
        <v>46.307277999999997</v>
      </c>
      <c r="L1994" s="324"/>
      <c r="M1994" s="399"/>
    </row>
    <row r="1995" spans="2:13" ht="17.25" thickBot="1">
      <c r="B1995" s="337"/>
      <c r="C1995" s="326"/>
      <c r="D1995" s="327" t="s">
        <v>463</v>
      </c>
      <c r="E1995" s="328">
        <f>AVERAGE(E1990:E1994)</f>
        <v>4.0072000000000001</v>
      </c>
      <c r="F1995" s="328">
        <f t="shared" ref="F1995:K1995" si="570">AVERAGE(F1990:F1994)</f>
        <v>5.1756000000000002</v>
      </c>
      <c r="G1995" s="328">
        <f t="shared" si="570"/>
        <v>4.0576091999999999</v>
      </c>
      <c r="H1995" s="328">
        <f t="shared" si="570"/>
        <v>5.949878</v>
      </c>
      <c r="I1995" s="329">
        <f t="shared" si="570"/>
        <v>0.1366</v>
      </c>
      <c r="J1995" s="329">
        <f t="shared" si="570"/>
        <v>0.11155999999999999</v>
      </c>
      <c r="K1995" s="330">
        <f t="shared" si="570"/>
        <v>46.393034399999998</v>
      </c>
      <c r="L1995" s="331"/>
      <c r="M1995" s="399"/>
    </row>
    <row r="1996" spans="2:13">
      <c r="B1996" s="333">
        <v>16</v>
      </c>
      <c r="C1996" s="271" t="s">
        <v>428</v>
      </c>
      <c r="D1996" s="291" t="s">
        <v>247</v>
      </c>
      <c r="E1996" s="302">
        <v>4.0019999999999998</v>
      </c>
      <c r="F1996" s="302">
        <v>5.2089999999999996</v>
      </c>
      <c r="G1996" s="302">
        <v>4.0890909999999998</v>
      </c>
      <c r="H1996" s="302">
        <v>5.9768910000000002</v>
      </c>
      <c r="I1996" s="287">
        <v>0.13639999999999999</v>
      </c>
      <c r="J1996" s="287">
        <v>0.112</v>
      </c>
      <c r="K1996" s="286">
        <v>46.508929000000002</v>
      </c>
      <c r="L1996" s="359"/>
      <c r="M1996" s="401"/>
    </row>
    <row r="1997" spans="2:13">
      <c r="B1997" s="335">
        <v>17</v>
      </c>
      <c r="C1997" s="320"/>
      <c r="D1997" s="299" t="s">
        <v>248</v>
      </c>
      <c r="E1997" s="304">
        <v>4.008</v>
      </c>
      <c r="F1997" s="304">
        <v>5.2030000000000003</v>
      </c>
      <c r="G1997" s="304">
        <v>4.0782670000000003</v>
      </c>
      <c r="H1997" s="304">
        <v>5.9667070000000004</v>
      </c>
      <c r="I1997" s="301">
        <v>0.13639999999999999</v>
      </c>
      <c r="J1997" s="301">
        <v>0.11219999999999999</v>
      </c>
      <c r="K1997" s="300">
        <v>46.372548999999999</v>
      </c>
      <c r="L1997" s="321"/>
      <c r="M1997" s="399"/>
    </row>
    <row r="1998" spans="2:13">
      <c r="B1998" s="335">
        <v>18</v>
      </c>
      <c r="C1998" s="320"/>
      <c r="D1998" s="299" t="s">
        <v>232</v>
      </c>
      <c r="E1998" s="304">
        <v>4.0119999999999996</v>
      </c>
      <c r="F1998" s="304">
        <v>5.1950000000000003</v>
      </c>
      <c r="G1998" s="304">
        <v>4.0679360000000004</v>
      </c>
      <c r="H1998" s="304">
        <v>5.9396570000000004</v>
      </c>
      <c r="I1998" s="301">
        <v>0.13639999999999999</v>
      </c>
      <c r="J1998" s="301">
        <v>0.1123</v>
      </c>
      <c r="K1998" s="300">
        <v>46.260018000000002</v>
      </c>
      <c r="L1998" s="321"/>
      <c r="M1998" s="399"/>
    </row>
    <row r="1999" spans="2:13">
      <c r="B1999" s="335">
        <v>19</v>
      </c>
      <c r="C1999" s="320"/>
      <c r="D1999" s="299" t="s">
        <v>233</v>
      </c>
      <c r="E1999" s="304">
        <v>4.0110000000000001</v>
      </c>
      <c r="F1999" s="304">
        <v>5.1820000000000004</v>
      </c>
      <c r="G1999" s="304">
        <v>4.0587679999999997</v>
      </c>
      <c r="H1999" s="304">
        <v>5.9407649999999999</v>
      </c>
      <c r="I1999" s="301">
        <v>0.13650000000000001</v>
      </c>
      <c r="J1999" s="301">
        <v>0.11219999999999999</v>
      </c>
      <c r="K1999" s="300">
        <v>46.185383000000002</v>
      </c>
      <c r="L1999" s="321"/>
      <c r="M1999" s="399"/>
    </row>
    <row r="2000" spans="2:13" ht="17.25" thickBot="1">
      <c r="B2000" s="336">
        <v>20</v>
      </c>
      <c r="C2000" s="323"/>
      <c r="D2000" s="293" t="s">
        <v>249</v>
      </c>
      <c r="E2000" s="371">
        <v>4.0090000000000003</v>
      </c>
      <c r="F2000" s="371">
        <v>5.1669999999999998</v>
      </c>
      <c r="G2000" s="371">
        <v>4.0490389999999996</v>
      </c>
      <c r="H2000" s="371">
        <v>5.9347510000000003</v>
      </c>
      <c r="I2000" s="289">
        <v>0.13650000000000001</v>
      </c>
      <c r="J2000" s="289">
        <v>0.11169999999999999</v>
      </c>
      <c r="K2000" s="288">
        <v>46.257832999999998</v>
      </c>
      <c r="L2000" s="324"/>
      <c r="M2000" s="399"/>
    </row>
    <row r="2001" spans="2:13" ht="17.25" thickBot="1">
      <c r="B2001" s="337"/>
      <c r="C2001" s="326"/>
      <c r="D2001" s="327" t="s">
        <v>463</v>
      </c>
      <c r="E2001" s="328">
        <f>AVERAGE(E1996:E2000)</f>
        <v>4.0084</v>
      </c>
      <c r="F2001" s="328">
        <f t="shared" ref="F2001:K2001" si="571">AVERAGE(F1996:F2000)</f>
        <v>5.1912000000000003</v>
      </c>
      <c r="G2001" s="328">
        <f t="shared" si="571"/>
        <v>4.0686201999999998</v>
      </c>
      <c r="H2001" s="328">
        <f t="shared" si="571"/>
        <v>5.9517542000000008</v>
      </c>
      <c r="I2001" s="329">
        <f t="shared" si="571"/>
        <v>0.13644000000000003</v>
      </c>
      <c r="J2001" s="329">
        <f t="shared" si="571"/>
        <v>0.11208</v>
      </c>
      <c r="K2001" s="328">
        <f t="shared" si="571"/>
        <v>46.316942400000002</v>
      </c>
      <c r="L2001" s="331"/>
      <c r="M2001" s="399"/>
    </row>
    <row r="2002" spans="2:13">
      <c r="B2002" s="333">
        <v>21</v>
      </c>
      <c r="C2002" s="271" t="s">
        <v>428</v>
      </c>
      <c r="D2002" s="291" t="s">
        <v>250</v>
      </c>
      <c r="E2002" s="302">
        <v>4.0010000000000003</v>
      </c>
      <c r="F2002" s="302">
        <v>5.2060000000000004</v>
      </c>
      <c r="G2002" s="302">
        <v>4.0877569999999999</v>
      </c>
      <c r="H2002" s="302">
        <v>5.9897689999999999</v>
      </c>
      <c r="I2002" s="287">
        <v>0.13650000000000001</v>
      </c>
      <c r="J2002" s="287">
        <v>0.11169999999999999</v>
      </c>
      <c r="K2002" s="286">
        <v>46.606983</v>
      </c>
      <c r="L2002" s="332"/>
      <c r="M2002" s="399"/>
    </row>
    <row r="2003" spans="2:13">
      <c r="B2003" s="335">
        <v>22</v>
      </c>
      <c r="C2003" s="320"/>
      <c r="D2003" s="299" t="s">
        <v>251</v>
      </c>
      <c r="E2003" s="304">
        <v>4.0060000000000002</v>
      </c>
      <c r="F2003" s="304">
        <v>5.2</v>
      </c>
      <c r="G2003" s="304">
        <v>4.0779500000000004</v>
      </c>
      <c r="H2003" s="304">
        <v>5.9687250000000001</v>
      </c>
      <c r="I2003" s="301">
        <v>0.13639999999999999</v>
      </c>
      <c r="J2003" s="301">
        <v>0.1119</v>
      </c>
      <c r="K2003" s="300">
        <v>46.470063000000003</v>
      </c>
      <c r="L2003" s="321"/>
      <c r="M2003" s="399"/>
    </row>
    <row r="2004" spans="2:13">
      <c r="B2004" s="335">
        <v>23</v>
      </c>
      <c r="C2004" s="320"/>
      <c r="D2004" s="299" t="s">
        <v>237</v>
      </c>
      <c r="E2004" s="304">
        <v>4.008</v>
      </c>
      <c r="F2004" s="304">
        <v>5.1959999999999997</v>
      </c>
      <c r="G2004" s="304">
        <v>4.0727799999999998</v>
      </c>
      <c r="H2004" s="304">
        <v>5.964588</v>
      </c>
      <c r="I2004" s="301">
        <v>0.13650000000000001</v>
      </c>
      <c r="J2004" s="301">
        <v>0.112</v>
      </c>
      <c r="K2004" s="300">
        <v>46.392856999999999</v>
      </c>
      <c r="L2004" s="321"/>
      <c r="M2004" s="399"/>
    </row>
    <row r="2005" spans="2:13">
      <c r="B2005" s="335">
        <v>24</v>
      </c>
      <c r="C2005" s="320"/>
      <c r="D2005" s="299" t="s">
        <v>238</v>
      </c>
      <c r="E2005" s="304">
        <v>4.01</v>
      </c>
      <c r="F2005" s="304">
        <v>5.1849999999999996</v>
      </c>
      <c r="G2005" s="304">
        <v>4.0621309999999999</v>
      </c>
      <c r="H2005" s="304">
        <v>5.9499409999999999</v>
      </c>
      <c r="I2005" s="301">
        <v>0.13639999999999999</v>
      </c>
      <c r="J2005" s="301">
        <v>0.11169999999999999</v>
      </c>
      <c r="K2005" s="300">
        <v>46.418979</v>
      </c>
      <c r="L2005" s="321"/>
      <c r="M2005" s="399"/>
    </row>
    <row r="2006" spans="2:13" ht="17.25" thickBot="1">
      <c r="B2006" s="336">
        <v>25</v>
      </c>
      <c r="C2006" s="323"/>
      <c r="D2006" s="293" t="s">
        <v>252</v>
      </c>
      <c r="E2006" s="371">
        <v>4.008</v>
      </c>
      <c r="F2006" s="371">
        <v>5.165</v>
      </c>
      <c r="G2006" s="371">
        <v>4.0484809999999998</v>
      </c>
      <c r="H2006" s="371">
        <v>5.9447710000000002</v>
      </c>
      <c r="I2006" s="289">
        <v>0.13669999999999999</v>
      </c>
      <c r="J2006" s="289">
        <v>0.1114</v>
      </c>
      <c r="K2006" s="288">
        <v>46.364452</v>
      </c>
      <c r="L2006" s="324"/>
      <c r="M2006" s="399"/>
    </row>
    <row r="2007" spans="2:13" ht="17.25" thickBot="1">
      <c r="B2007" s="339" t="s">
        <v>464</v>
      </c>
      <c r="C2007" s="340"/>
      <c r="D2007" s="341" t="s">
        <v>465</v>
      </c>
      <c r="E2007" s="342">
        <f>AVERAGE(E2002:E2006)</f>
        <v>4.0065999999999997</v>
      </c>
      <c r="F2007" s="342">
        <f t="shared" ref="F2007:K2007" si="572">AVERAGE(F2002:F2006)</f>
        <v>5.1903999999999995</v>
      </c>
      <c r="G2007" s="342">
        <f t="shared" si="572"/>
        <v>4.0698197999999994</v>
      </c>
      <c r="H2007" s="342">
        <f t="shared" si="572"/>
        <v>5.9635587999999995</v>
      </c>
      <c r="I2007" s="343">
        <f t="shared" si="572"/>
        <v>0.13650000000000001</v>
      </c>
      <c r="J2007" s="343">
        <f t="shared" si="572"/>
        <v>0.11173999999999999</v>
      </c>
      <c r="K2007" s="342">
        <f t="shared" si="572"/>
        <v>46.4506668</v>
      </c>
      <c r="L2007" s="344"/>
      <c r="M2007" s="399"/>
    </row>
    <row r="2008" spans="2:13">
      <c r="B2008" s="333"/>
      <c r="C2008" s="345"/>
      <c r="D2008" s="291" t="s">
        <v>466</v>
      </c>
      <c r="E2008" s="346">
        <f>MEDIAN(E1978:E1982,E1984:E1988,E1990:E1994,E1996:E2000,E2002:E2006)</f>
        <v>4.008</v>
      </c>
      <c r="F2008" s="346">
        <f t="shared" ref="F2008:K2008" si="573">MEDIAN(F1978:F1982,F1984:F1988,F1990:F1994,F1996:F2000,F2002:F2006)</f>
        <v>5.1959999999999997</v>
      </c>
      <c r="G2008" s="346">
        <f t="shared" si="573"/>
        <v>4.077483</v>
      </c>
      <c r="H2008" s="346">
        <f t="shared" si="573"/>
        <v>5.9677519999999999</v>
      </c>
      <c r="I2008" s="347">
        <f t="shared" si="573"/>
        <v>0.13650000000000001</v>
      </c>
      <c r="J2008" s="347">
        <f t="shared" si="573"/>
        <v>0.11169999999999999</v>
      </c>
      <c r="K2008" s="348">
        <f t="shared" si="573"/>
        <v>46.446429000000002</v>
      </c>
      <c r="L2008" s="332"/>
      <c r="M2008" s="399"/>
    </row>
    <row r="2009" spans="2:13">
      <c r="B2009" s="335"/>
      <c r="C2009" s="320"/>
      <c r="D2009" s="299" t="s">
        <v>467</v>
      </c>
      <c r="E2009" s="349">
        <f>AVERAGE(E1978:E1982,E1984:E1988,E1990:E1994,E1996:E2000,E2002:E2006)</f>
        <v>4.0051999999999994</v>
      </c>
      <c r="F2009" s="349">
        <f t="shared" ref="F2009:K2009" si="574">AVERAGE(F1978:F1982,F1984:F1988,F1990:F1994,F1996:F2000,F2002:F2006)</f>
        <v>5.1946400000000006</v>
      </c>
      <c r="G2009" s="349">
        <f t="shared" si="574"/>
        <v>4.0745795199999995</v>
      </c>
      <c r="H2009" s="349">
        <f t="shared" si="574"/>
        <v>5.9685705599999999</v>
      </c>
      <c r="I2009" s="350">
        <f t="shared" si="574"/>
        <v>0.136516</v>
      </c>
      <c r="J2009" s="350">
        <f t="shared" si="574"/>
        <v>0.11173599999999999</v>
      </c>
      <c r="K2009" s="351">
        <f t="shared" si="574"/>
        <v>46.490736040000002</v>
      </c>
      <c r="L2009" s="321"/>
      <c r="M2009" s="399"/>
    </row>
    <row r="2010" spans="2:13">
      <c r="B2010" s="335"/>
      <c r="C2010" s="320"/>
      <c r="D2010" s="299" t="s">
        <v>199</v>
      </c>
      <c r="E2010" s="349">
        <f>MAX(E1978:E1982,E1984:E1988,E1990:E1994,E1996:E2000,E2002:E2006)</f>
        <v>4.0119999999999996</v>
      </c>
      <c r="F2010" s="349">
        <f t="shared" ref="F2010:K2010" si="575">MAX(F1978:F1982,F1984:F1988,F1990:F1994,F1996:F2000,F2002:F2006)</f>
        <v>5.24</v>
      </c>
      <c r="G2010" s="349">
        <f t="shared" si="575"/>
        <v>4.1154830000000002</v>
      </c>
      <c r="H2010" s="349">
        <f t="shared" si="575"/>
        <v>6.0070139999999999</v>
      </c>
      <c r="I2010" s="350">
        <f t="shared" si="575"/>
        <v>0.1368</v>
      </c>
      <c r="J2010" s="350">
        <f t="shared" si="575"/>
        <v>0.1124</v>
      </c>
      <c r="K2010" s="351">
        <f t="shared" si="575"/>
        <v>46.907124000000003</v>
      </c>
      <c r="L2010" s="321"/>
      <c r="M2010" s="399"/>
    </row>
    <row r="2011" spans="2:13">
      <c r="B2011" s="335"/>
      <c r="C2011" s="320"/>
      <c r="D2011" s="299" t="s">
        <v>200</v>
      </c>
      <c r="E2011" s="349">
        <f>MIN(E1978:E1982,E1984:E1988,E1990:E1994,E1996:E2000,E2002:E2006)</f>
        <v>3.98</v>
      </c>
      <c r="F2011" s="349">
        <f t="shared" ref="F2011:K2011" si="576">MIN(F1978:F1982,F1984:F1988,F1990:F1994,F1996:F2000,F2002:F2006)</f>
        <v>5.1539999999999999</v>
      </c>
      <c r="G2011" s="349">
        <f t="shared" si="576"/>
        <v>4.0398589999999999</v>
      </c>
      <c r="H2011" s="349">
        <f t="shared" si="576"/>
        <v>5.9325539999999997</v>
      </c>
      <c r="I2011" s="350">
        <f t="shared" si="576"/>
        <v>0.1363</v>
      </c>
      <c r="J2011" s="350">
        <f t="shared" si="576"/>
        <v>0.1108</v>
      </c>
      <c r="K2011" s="351">
        <f t="shared" si="576"/>
        <v>46.185383000000002</v>
      </c>
      <c r="L2011" s="321"/>
      <c r="M2011" s="399"/>
    </row>
    <row r="2012" spans="2:13">
      <c r="B2012" s="335"/>
      <c r="C2012" s="320"/>
      <c r="D2012" s="299" t="s">
        <v>201</v>
      </c>
      <c r="E2012" s="349">
        <f>E2010-E2011</f>
        <v>3.1999999999999584E-2</v>
      </c>
      <c r="F2012" s="349">
        <f t="shared" ref="F2012:K2012" si="577">F2010-F2011</f>
        <v>8.6000000000000298E-2</v>
      </c>
      <c r="G2012" s="349">
        <f t="shared" si="577"/>
        <v>7.5624000000000358E-2</v>
      </c>
      <c r="H2012" s="349">
        <f t="shared" si="577"/>
        <v>7.4460000000000193E-2</v>
      </c>
      <c r="I2012" s="350">
        <f t="shared" si="577"/>
        <v>5.0000000000000044E-4</v>
      </c>
      <c r="J2012" s="350">
        <f t="shared" si="577"/>
        <v>1.6000000000000042E-3</v>
      </c>
      <c r="K2012" s="349">
        <f t="shared" si="577"/>
        <v>0.72174100000000152</v>
      </c>
      <c r="L2012" s="321"/>
      <c r="M2012" s="399"/>
    </row>
    <row r="2013" spans="2:13" ht="17.25" thickBot="1">
      <c r="B2013" s="336"/>
      <c r="C2013" s="323"/>
      <c r="D2013" s="293" t="s">
        <v>202</v>
      </c>
      <c r="E2013" s="352">
        <f>STDEVA(E1978:E1982,E1984:E1988,E1990:E1994,E1996:E2000,E2002:E2006)</f>
        <v>6.6332495807107875E-3</v>
      </c>
      <c r="F2013" s="352">
        <f t="shared" ref="F2013:K2013" si="578">STDEVA(F1978:F1982,F1984:F1988,F1990:F1994,F1996:F2000,F2002:F2006)</f>
        <v>2.0459064820595646E-2</v>
      </c>
      <c r="G2013" s="352">
        <f t="shared" si="578"/>
        <v>1.9342799918229729E-2</v>
      </c>
      <c r="H2013" s="352">
        <f t="shared" si="578"/>
        <v>2.3694454393521344E-2</v>
      </c>
      <c r="I2013" s="353">
        <f t="shared" si="578"/>
        <v>1.2138094304022105E-4</v>
      </c>
      <c r="J2013" s="353">
        <f t="shared" si="578"/>
        <v>4.7599019597746633E-4</v>
      </c>
      <c r="K2013" s="352">
        <f t="shared" si="578"/>
        <v>0.1914709991598994</v>
      </c>
      <c r="L2013" s="324"/>
      <c r="M2013" s="399"/>
    </row>
    <row r="2015" spans="2:13">
      <c r="B2015" s="240" t="s">
        <v>531</v>
      </c>
      <c r="C2015" s="240"/>
      <c r="E2015" s="240"/>
      <c r="F2015" s="240"/>
      <c r="G2015" s="240"/>
      <c r="H2015" s="240"/>
      <c r="I2015" s="240"/>
      <c r="J2015" s="240"/>
      <c r="K2015" s="240"/>
    </row>
    <row r="2016" spans="2:13" ht="17.25" thickBot="1">
      <c r="B2016" s="240" t="s">
        <v>469</v>
      </c>
      <c r="C2016" s="240"/>
      <c r="E2016" s="240"/>
      <c r="F2016" s="240"/>
      <c r="G2016" s="240"/>
      <c r="H2016" s="240"/>
      <c r="I2016" s="240"/>
      <c r="J2016" s="240"/>
      <c r="K2016" s="240"/>
    </row>
    <row r="2017" spans="2:13" ht="17.25" thickBot="1">
      <c r="B2017" s="313" t="s">
        <v>11</v>
      </c>
      <c r="C2017" s="250" t="s">
        <v>0</v>
      </c>
      <c r="D2017" s="250" t="s">
        <v>1</v>
      </c>
      <c r="E2017" s="250" t="s">
        <v>2</v>
      </c>
      <c r="F2017" s="250" t="s">
        <v>3</v>
      </c>
      <c r="G2017" s="250" t="s">
        <v>192</v>
      </c>
      <c r="H2017" s="250" t="s">
        <v>16</v>
      </c>
      <c r="I2017" s="250" t="s">
        <v>6</v>
      </c>
      <c r="J2017" s="251" t="s">
        <v>7</v>
      </c>
      <c r="K2017" s="252" t="s">
        <v>8</v>
      </c>
      <c r="L2017" s="254" t="s">
        <v>470</v>
      </c>
      <c r="M2017" s="404"/>
    </row>
    <row r="2018" spans="2:13">
      <c r="B2018" s="314">
        <v>1</v>
      </c>
      <c r="C2018" s="271" t="s">
        <v>389</v>
      </c>
      <c r="D2018" s="291" t="s">
        <v>213</v>
      </c>
      <c r="E2018" s="302">
        <v>4.069</v>
      </c>
      <c r="F2018" s="302">
        <v>5.0540000000000003</v>
      </c>
      <c r="G2018" s="302">
        <v>3.902088</v>
      </c>
      <c r="H2018" s="364">
        <v>5.8469740000000003</v>
      </c>
      <c r="I2018" s="287">
        <v>0.13650000000000001</v>
      </c>
      <c r="J2018" s="287">
        <v>0.1109</v>
      </c>
      <c r="K2018" s="286">
        <v>45.572588000000003</v>
      </c>
      <c r="L2018" s="275"/>
      <c r="M2018" s="397"/>
    </row>
    <row r="2019" spans="2:13">
      <c r="B2019" s="315">
        <v>2</v>
      </c>
      <c r="C2019" s="316"/>
      <c r="D2019" s="299" t="s">
        <v>214</v>
      </c>
      <c r="E2019" s="304">
        <v>4.0750000000000002</v>
      </c>
      <c r="F2019" s="304">
        <v>5.0609999999999999</v>
      </c>
      <c r="G2019" s="304">
        <v>3.9017390000000001</v>
      </c>
      <c r="H2019" s="370">
        <v>5.8416350000000001</v>
      </c>
      <c r="I2019" s="301">
        <v>0.1363</v>
      </c>
      <c r="J2019" s="301">
        <v>0.11119999999999999</v>
      </c>
      <c r="K2019" s="300">
        <v>45.512590000000003</v>
      </c>
      <c r="L2019" s="319"/>
      <c r="M2019" s="398"/>
    </row>
    <row r="2020" spans="2:13">
      <c r="B2020" s="315">
        <v>3</v>
      </c>
      <c r="C2020" s="320"/>
      <c r="D2020" s="299" t="s">
        <v>217</v>
      </c>
      <c r="E2020" s="304">
        <v>4.0789999999999997</v>
      </c>
      <c r="F2020" s="304">
        <v>5.08</v>
      </c>
      <c r="G2020" s="304">
        <v>3.912547</v>
      </c>
      <c r="H2020" s="370">
        <v>5.8587660000000001</v>
      </c>
      <c r="I2020" s="301">
        <v>0.1363</v>
      </c>
      <c r="J2020" s="301">
        <v>0.1113</v>
      </c>
      <c r="K2020" s="300">
        <v>45.642408000000003</v>
      </c>
      <c r="L2020" s="356"/>
      <c r="M2020" s="400"/>
    </row>
    <row r="2021" spans="2:13">
      <c r="B2021" s="315">
        <v>4</v>
      </c>
      <c r="C2021" s="320"/>
      <c r="D2021" s="299" t="s">
        <v>218</v>
      </c>
      <c r="E2021" s="304">
        <v>4.0830000000000002</v>
      </c>
      <c r="F2021" s="304">
        <v>5.0759999999999996</v>
      </c>
      <c r="G2021" s="304">
        <v>3.9056359999999999</v>
      </c>
      <c r="H2021" s="370">
        <v>5.8640340000000002</v>
      </c>
      <c r="I2021" s="301">
        <v>0.1363</v>
      </c>
      <c r="J2021" s="301">
        <v>0.11119999999999999</v>
      </c>
      <c r="K2021" s="300">
        <v>45.647481999999997</v>
      </c>
      <c r="L2021" s="356"/>
      <c r="M2021" s="400"/>
    </row>
    <row r="2022" spans="2:13" ht="17.25" thickBot="1">
      <c r="B2022" s="322">
        <v>5</v>
      </c>
      <c r="C2022" s="323"/>
      <c r="D2022" s="293" t="s">
        <v>240</v>
      </c>
      <c r="E2022" s="371">
        <v>4.0830000000000002</v>
      </c>
      <c r="F2022" s="371">
        <v>5.0709999999999997</v>
      </c>
      <c r="G2022" s="371">
        <v>3.901789</v>
      </c>
      <c r="H2022" s="372">
        <v>5.876474</v>
      </c>
      <c r="I2022" s="289">
        <v>0.13639999999999999</v>
      </c>
      <c r="J2022" s="289">
        <v>0.1109</v>
      </c>
      <c r="K2022" s="288">
        <v>45.725878999999999</v>
      </c>
      <c r="L2022" s="324"/>
      <c r="M2022" s="399"/>
    </row>
    <row r="2023" spans="2:13" ht="17.25" thickBot="1">
      <c r="B2023" s="325"/>
      <c r="C2023" s="326"/>
      <c r="D2023" s="327" t="s">
        <v>463</v>
      </c>
      <c r="E2023" s="328">
        <f>AVERAGE(E2018:E2022)</f>
        <v>4.077799999999999</v>
      </c>
      <c r="F2023" s="328">
        <f t="shared" ref="F2023:K2023" si="579">AVERAGE(F2018:F2022)</f>
        <v>5.0683999999999996</v>
      </c>
      <c r="G2023" s="328">
        <f t="shared" si="579"/>
        <v>3.9047597999999999</v>
      </c>
      <c r="H2023" s="373">
        <f t="shared" si="579"/>
        <v>5.8575765999999998</v>
      </c>
      <c r="I2023" s="329">
        <f t="shared" si="579"/>
        <v>0.13635999999999998</v>
      </c>
      <c r="J2023" s="329">
        <f t="shared" si="579"/>
        <v>0.1111</v>
      </c>
      <c r="K2023" s="330">
        <f t="shared" si="579"/>
        <v>45.620189400000001</v>
      </c>
      <c r="L2023" s="331"/>
      <c r="M2023" s="399"/>
    </row>
    <row r="2024" spans="2:13">
      <c r="B2024" s="314">
        <v>6</v>
      </c>
      <c r="C2024" s="271" t="s">
        <v>430</v>
      </c>
      <c r="D2024" s="291" t="s">
        <v>241</v>
      </c>
      <c r="E2024" s="302">
        <v>4.056</v>
      </c>
      <c r="F2024" s="302">
        <v>5.032</v>
      </c>
      <c r="G2024" s="302">
        <v>3.897554</v>
      </c>
      <c r="H2024" s="364">
        <v>5.7854559999999999</v>
      </c>
      <c r="I2024" s="287">
        <v>0.1363</v>
      </c>
      <c r="J2024" s="287">
        <v>0.1119</v>
      </c>
      <c r="K2024" s="286">
        <v>44.968722</v>
      </c>
      <c r="L2024" s="332"/>
      <c r="M2024" s="399"/>
    </row>
    <row r="2025" spans="2:13">
      <c r="B2025" s="315">
        <v>7</v>
      </c>
      <c r="C2025" s="320"/>
      <c r="D2025" s="299" t="s">
        <v>242</v>
      </c>
      <c r="E2025" s="304">
        <v>4.0620000000000003</v>
      </c>
      <c r="F2025" s="304">
        <v>5.0339999999999998</v>
      </c>
      <c r="G2025" s="304">
        <v>3.8933439999999999</v>
      </c>
      <c r="H2025" s="370">
        <v>5.7805710000000001</v>
      </c>
      <c r="I2025" s="301">
        <v>0.1361</v>
      </c>
      <c r="J2025" s="301">
        <v>0.11219999999999999</v>
      </c>
      <c r="K2025" s="300">
        <v>44.866309999999999</v>
      </c>
      <c r="L2025" s="321"/>
      <c r="M2025" s="399"/>
    </row>
    <row r="2026" spans="2:13">
      <c r="B2026" s="315">
        <v>8</v>
      </c>
      <c r="C2026" s="320"/>
      <c r="D2026" s="299" t="s">
        <v>222</v>
      </c>
      <c r="E2026" s="304">
        <v>4.0650000000000004</v>
      </c>
      <c r="F2026" s="304">
        <v>5.0369999999999999</v>
      </c>
      <c r="G2026" s="304">
        <v>3.8927890000000001</v>
      </c>
      <c r="H2026" s="370">
        <v>5.7785460000000004</v>
      </c>
      <c r="I2026" s="301">
        <v>0.1361</v>
      </c>
      <c r="J2026" s="301">
        <v>0.1124</v>
      </c>
      <c r="K2026" s="300">
        <v>44.813167</v>
      </c>
      <c r="L2026" s="321"/>
      <c r="M2026" s="399"/>
    </row>
    <row r="2027" spans="2:13">
      <c r="B2027" s="315">
        <v>9</v>
      </c>
      <c r="C2027" s="320"/>
      <c r="D2027" s="299" t="s">
        <v>223</v>
      </c>
      <c r="E2027" s="304">
        <v>4.0659999999999998</v>
      </c>
      <c r="F2027" s="304">
        <v>5.0229999999999997</v>
      </c>
      <c r="G2027" s="304">
        <v>3.8810150000000001</v>
      </c>
      <c r="H2027" s="370">
        <v>5.7601839999999997</v>
      </c>
      <c r="I2027" s="301">
        <v>0.1361</v>
      </c>
      <c r="J2027" s="301">
        <v>0.1123</v>
      </c>
      <c r="K2027" s="300">
        <v>44.728406</v>
      </c>
      <c r="L2027" s="321"/>
      <c r="M2027" s="399"/>
    </row>
    <row r="2028" spans="2:13" ht="17.25" thickBot="1">
      <c r="B2028" s="322">
        <v>10</v>
      </c>
      <c r="C2028" s="323"/>
      <c r="D2028" s="293" t="s">
        <v>243</v>
      </c>
      <c r="E2028" s="371">
        <v>4.0629999999999997</v>
      </c>
      <c r="F2028" s="371">
        <v>5.0209999999999999</v>
      </c>
      <c r="G2028" s="371">
        <v>3.8823340000000002</v>
      </c>
      <c r="H2028" s="372">
        <v>5.7707689999999996</v>
      </c>
      <c r="I2028" s="289">
        <v>0.13619999999999999</v>
      </c>
      <c r="J2028" s="289">
        <v>0.11219999999999999</v>
      </c>
      <c r="K2028" s="288">
        <v>44.750445999999997</v>
      </c>
      <c r="L2028" s="324"/>
      <c r="M2028" s="399"/>
    </row>
    <row r="2029" spans="2:13" ht="17.25" thickBot="1">
      <c r="B2029" s="325" t="s">
        <v>464</v>
      </c>
      <c r="C2029" s="326"/>
      <c r="D2029" s="327" t="s">
        <v>463</v>
      </c>
      <c r="E2029" s="328">
        <f t="shared" ref="E2029:K2029" si="580">AVERAGE(E2024:E2028)</f>
        <v>4.0623999999999993</v>
      </c>
      <c r="F2029" s="328">
        <f t="shared" si="580"/>
        <v>5.0293999999999999</v>
      </c>
      <c r="G2029" s="328">
        <f t="shared" si="580"/>
        <v>3.8894072</v>
      </c>
      <c r="H2029" s="373">
        <f t="shared" si="580"/>
        <v>5.7751052000000005</v>
      </c>
      <c r="I2029" s="329">
        <f t="shared" si="580"/>
        <v>0.13616</v>
      </c>
      <c r="J2029" s="329">
        <f t="shared" si="580"/>
        <v>0.11220000000000001</v>
      </c>
      <c r="K2029" s="330">
        <f t="shared" si="580"/>
        <v>44.8254102</v>
      </c>
      <c r="L2029" s="331"/>
      <c r="M2029" s="399"/>
    </row>
    <row r="2030" spans="2:13">
      <c r="B2030" s="333">
        <v>11</v>
      </c>
      <c r="C2030" s="271" t="s">
        <v>389</v>
      </c>
      <c r="D2030" s="291" t="s">
        <v>244</v>
      </c>
      <c r="E2030" s="302">
        <v>4.0529999999999999</v>
      </c>
      <c r="F2030" s="302">
        <v>4.9989999999999997</v>
      </c>
      <c r="G2030" s="302">
        <v>3.87486</v>
      </c>
      <c r="H2030" s="302">
        <v>5.7606999999999999</v>
      </c>
      <c r="I2030" s="287">
        <v>0.1363</v>
      </c>
      <c r="J2030" s="287">
        <v>0.1115</v>
      </c>
      <c r="K2030" s="286">
        <v>44.834080999999998</v>
      </c>
      <c r="L2030" s="332"/>
      <c r="M2030" s="399"/>
    </row>
    <row r="2031" spans="2:13">
      <c r="B2031" s="335">
        <v>12</v>
      </c>
      <c r="C2031" s="316"/>
      <c r="D2031" s="299" t="s">
        <v>245</v>
      </c>
      <c r="E2031" s="304">
        <v>4.0599999999999996</v>
      </c>
      <c r="F2031" s="304">
        <v>5.0220000000000002</v>
      </c>
      <c r="G2031" s="304">
        <v>3.885977</v>
      </c>
      <c r="H2031" s="304">
        <v>5.7690979999999996</v>
      </c>
      <c r="I2031" s="301">
        <v>0.1363</v>
      </c>
      <c r="J2031" s="301">
        <v>0.112</v>
      </c>
      <c r="K2031" s="300">
        <v>44.839286000000001</v>
      </c>
      <c r="L2031" s="321"/>
      <c r="M2031" s="399"/>
    </row>
    <row r="2032" spans="2:13">
      <c r="B2032" s="335">
        <v>13</v>
      </c>
      <c r="C2032" s="320"/>
      <c r="D2032" s="299" t="s">
        <v>227</v>
      </c>
      <c r="E2032" s="304">
        <v>4.0620000000000003</v>
      </c>
      <c r="F2032" s="304">
        <v>5.0069999999999997</v>
      </c>
      <c r="G2032" s="304">
        <v>3.8724620000000001</v>
      </c>
      <c r="H2032" s="304">
        <v>5.7523410000000004</v>
      </c>
      <c r="I2032" s="301">
        <v>0.13619999999999999</v>
      </c>
      <c r="J2032" s="301">
        <v>0.11210000000000001</v>
      </c>
      <c r="K2032" s="300">
        <v>44.665477000000003</v>
      </c>
      <c r="L2032" s="321"/>
      <c r="M2032" s="399"/>
    </row>
    <row r="2033" spans="2:13">
      <c r="B2033" s="335">
        <v>14</v>
      </c>
      <c r="C2033" s="320"/>
      <c r="D2033" s="299" t="s">
        <v>228</v>
      </c>
      <c r="E2033" s="304">
        <v>4.0609999999999999</v>
      </c>
      <c r="F2033" s="304">
        <v>5.0129999999999999</v>
      </c>
      <c r="G2033" s="304">
        <v>3.8780570000000001</v>
      </c>
      <c r="H2033" s="304">
        <v>5.7592650000000001</v>
      </c>
      <c r="I2033" s="301">
        <v>0.1363</v>
      </c>
      <c r="J2033" s="301">
        <v>0.11219999999999999</v>
      </c>
      <c r="K2033" s="300">
        <v>44.679144000000001</v>
      </c>
      <c r="L2033" s="321"/>
      <c r="M2033" s="399"/>
    </row>
    <row r="2034" spans="2:13" ht="17.25" thickBot="1">
      <c r="B2034" s="336">
        <v>15</v>
      </c>
      <c r="C2034" s="323"/>
      <c r="D2034" s="293" t="s">
        <v>246</v>
      </c>
      <c r="E2034" s="371">
        <v>4.0599999999999996</v>
      </c>
      <c r="F2034" s="371">
        <v>4.9950000000000001</v>
      </c>
      <c r="G2034" s="371">
        <v>3.865084</v>
      </c>
      <c r="H2034" s="371">
        <v>5.7332039999999997</v>
      </c>
      <c r="I2034" s="289">
        <v>0.1363</v>
      </c>
      <c r="J2034" s="289">
        <v>0.1119</v>
      </c>
      <c r="K2034" s="288">
        <v>44.638069999999999</v>
      </c>
      <c r="L2034" s="324"/>
      <c r="M2034" s="399"/>
    </row>
    <row r="2035" spans="2:13" ht="17.25" thickBot="1">
      <c r="B2035" s="337"/>
      <c r="C2035" s="326"/>
      <c r="D2035" s="327" t="s">
        <v>463</v>
      </c>
      <c r="E2035" s="328">
        <f>AVERAGE(E2030:E2034)</f>
        <v>4.0591999999999997</v>
      </c>
      <c r="F2035" s="328">
        <f t="shared" ref="F2035:K2035" si="581">AVERAGE(F2030:F2034)</f>
        <v>5.0072000000000001</v>
      </c>
      <c r="G2035" s="328">
        <f t="shared" si="581"/>
        <v>3.8752880000000003</v>
      </c>
      <c r="H2035" s="328">
        <f t="shared" si="581"/>
        <v>5.7549216000000003</v>
      </c>
      <c r="I2035" s="329">
        <f t="shared" si="581"/>
        <v>0.13628000000000001</v>
      </c>
      <c r="J2035" s="329">
        <f t="shared" si="581"/>
        <v>0.11194</v>
      </c>
      <c r="K2035" s="330">
        <f t="shared" si="581"/>
        <v>44.731211600000002</v>
      </c>
      <c r="L2035" s="331"/>
      <c r="M2035" s="399"/>
    </row>
    <row r="2036" spans="2:13">
      <c r="B2036" s="333">
        <v>16</v>
      </c>
      <c r="C2036" s="271" t="s">
        <v>429</v>
      </c>
      <c r="D2036" s="291" t="s">
        <v>247</v>
      </c>
      <c r="E2036" s="302">
        <v>4.0529999999999999</v>
      </c>
      <c r="F2036" s="302">
        <v>5.0019999999999998</v>
      </c>
      <c r="G2036" s="302">
        <v>3.877186</v>
      </c>
      <c r="H2036" s="302">
        <v>5.7435850000000004</v>
      </c>
      <c r="I2036" s="287">
        <v>0.1363</v>
      </c>
      <c r="J2036" s="287">
        <v>0.1118</v>
      </c>
      <c r="K2036" s="286">
        <v>44.740608000000002</v>
      </c>
      <c r="L2036" s="359"/>
      <c r="M2036" s="401"/>
    </row>
    <row r="2037" spans="2:13">
      <c r="B2037" s="335">
        <v>17</v>
      </c>
      <c r="C2037" s="320"/>
      <c r="D2037" s="299" t="s">
        <v>248</v>
      </c>
      <c r="E2037" s="304">
        <v>4.0590000000000002</v>
      </c>
      <c r="F2037" s="304">
        <v>5.0110000000000001</v>
      </c>
      <c r="G2037" s="304">
        <v>3.8784200000000002</v>
      </c>
      <c r="H2037" s="304">
        <v>5.7470270000000001</v>
      </c>
      <c r="I2037" s="301">
        <v>0.1361</v>
      </c>
      <c r="J2037" s="301">
        <v>0.11219999999999999</v>
      </c>
      <c r="K2037" s="300">
        <v>44.661318999999999</v>
      </c>
      <c r="L2037" s="321"/>
      <c r="M2037" s="399"/>
    </row>
    <row r="2038" spans="2:13">
      <c r="B2038" s="335">
        <v>18</v>
      </c>
      <c r="C2038" s="320"/>
      <c r="D2038" s="299" t="s">
        <v>232</v>
      </c>
      <c r="E2038" s="304">
        <v>4.0620000000000003</v>
      </c>
      <c r="F2038" s="304">
        <v>5.016</v>
      </c>
      <c r="G2038" s="304">
        <v>3.8794230000000001</v>
      </c>
      <c r="H2038" s="304">
        <v>5.7474369999999997</v>
      </c>
      <c r="I2038" s="301">
        <v>0.1361</v>
      </c>
      <c r="J2038" s="301">
        <v>0.1124</v>
      </c>
      <c r="K2038" s="300">
        <v>44.626334999999997</v>
      </c>
      <c r="L2038" s="321"/>
      <c r="M2038" s="399"/>
    </row>
    <row r="2039" spans="2:13">
      <c r="B2039" s="335">
        <v>19</v>
      </c>
      <c r="C2039" s="320"/>
      <c r="D2039" s="299" t="s">
        <v>233</v>
      </c>
      <c r="E2039" s="304">
        <v>4.0629999999999997</v>
      </c>
      <c r="F2039" s="304">
        <v>5.0060000000000002</v>
      </c>
      <c r="G2039" s="304">
        <v>3.870736</v>
      </c>
      <c r="H2039" s="304">
        <v>5.7278359999999999</v>
      </c>
      <c r="I2039" s="301">
        <v>0.1361</v>
      </c>
      <c r="J2039" s="301">
        <v>0.1124</v>
      </c>
      <c r="K2039" s="300">
        <v>44.537367000000003</v>
      </c>
      <c r="L2039" s="321"/>
      <c r="M2039" s="399"/>
    </row>
    <row r="2040" spans="2:13" ht="17.25" thickBot="1">
      <c r="B2040" s="336">
        <v>20</v>
      </c>
      <c r="C2040" s="323"/>
      <c r="D2040" s="293" t="s">
        <v>249</v>
      </c>
      <c r="E2040" s="371">
        <v>4.0609999999999999</v>
      </c>
      <c r="F2040" s="371">
        <v>4.9889999999999999</v>
      </c>
      <c r="G2040" s="371">
        <v>3.8594909999999998</v>
      </c>
      <c r="H2040" s="371">
        <v>5.7221609999999998</v>
      </c>
      <c r="I2040" s="289">
        <v>0.13619999999999999</v>
      </c>
      <c r="J2040" s="289">
        <v>0.11219999999999999</v>
      </c>
      <c r="K2040" s="288">
        <v>44.465240999999999</v>
      </c>
      <c r="L2040" s="324"/>
      <c r="M2040" s="399"/>
    </row>
    <row r="2041" spans="2:13" ht="17.25" thickBot="1">
      <c r="B2041" s="337"/>
      <c r="C2041" s="326"/>
      <c r="D2041" s="327" t="s">
        <v>463</v>
      </c>
      <c r="E2041" s="328">
        <f>AVERAGE(E2036:E2040)</f>
        <v>4.0595999999999997</v>
      </c>
      <c r="F2041" s="328">
        <f t="shared" ref="F2041:K2041" si="582">AVERAGE(F2036:F2040)</f>
        <v>5.0048000000000004</v>
      </c>
      <c r="G2041" s="328">
        <f t="shared" si="582"/>
        <v>3.8730511999999999</v>
      </c>
      <c r="H2041" s="328">
        <f t="shared" si="582"/>
        <v>5.7376091999999996</v>
      </c>
      <c r="I2041" s="329">
        <f t="shared" si="582"/>
        <v>0.13616</v>
      </c>
      <c r="J2041" s="329">
        <f t="shared" si="582"/>
        <v>0.11219999999999999</v>
      </c>
      <c r="K2041" s="328">
        <f t="shared" si="582"/>
        <v>44.606173999999996</v>
      </c>
      <c r="L2041" s="331"/>
      <c r="M2041" s="399"/>
    </row>
    <row r="2042" spans="2:13">
      <c r="B2042" s="333">
        <v>21</v>
      </c>
      <c r="C2042" s="271" t="s">
        <v>429</v>
      </c>
      <c r="D2042" s="291" t="s">
        <v>250</v>
      </c>
      <c r="E2042" s="302">
        <v>4.048</v>
      </c>
      <c r="F2042" s="302">
        <v>4.9870000000000001</v>
      </c>
      <c r="G2042" s="302">
        <v>3.870333</v>
      </c>
      <c r="H2042" s="302">
        <v>5.7369849999999998</v>
      </c>
      <c r="I2042" s="287">
        <v>0.1363</v>
      </c>
      <c r="J2042" s="287">
        <v>0.1116</v>
      </c>
      <c r="K2042" s="286">
        <v>44.68638</v>
      </c>
      <c r="L2042" s="332"/>
      <c r="M2042" s="399"/>
    </row>
    <row r="2043" spans="2:13">
      <c r="B2043" s="335">
        <v>22</v>
      </c>
      <c r="C2043" s="320"/>
      <c r="D2043" s="299" t="s">
        <v>251</v>
      </c>
      <c r="E2043" s="304">
        <v>4.0549999999999997</v>
      </c>
      <c r="F2043" s="304">
        <v>4.9960000000000004</v>
      </c>
      <c r="G2043" s="304">
        <v>3.870625</v>
      </c>
      <c r="H2043" s="304">
        <v>5.7511549999999998</v>
      </c>
      <c r="I2043" s="301">
        <v>0.1361</v>
      </c>
      <c r="J2043" s="301">
        <v>0.1119</v>
      </c>
      <c r="K2043" s="300">
        <v>44.647005999999998</v>
      </c>
      <c r="L2043" s="321"/>
      <c r="M2043" s="399"/>
    </row>
    <row r="2044" spans="2:13">
      <c r="B2044" s="335">
        <v>23</v>
      </c>
      <c r="C2044" s="320"/>
      <c r="D2044" s="299" t="s">
        <v>237</v>
      </c>
      <c r="E2044" s="304">
        <v>4.0579999999999998</v>
      </c>
      <c r="F2044" s="304">
        <v>5.0019999999999998</v>
      </c>
      <c r="G2044" s="304">
        <v>3.8724080000000001</v>
      </c>
      <c r="H2044" s="304">
        <v>5.7398550000000004</v>
      </c>
      <c r="I2044" s="301">
        <v>0.1361</v>
      </c>
      <c r="J2044" s="301">
        <v>0.11219999999999999</v>
      </c>
      <c r="K2044" s="300">
        <v>44.581105000000001</v>
      </c>
      <c r="L2044" s="321"/>
      <c r="M2044" s="399"/>
    </row>
    <row r="2045" spans="2:13">
      <c r="B2045" s="335">
        <v>24</v>
      </c>
      <c r="C2045" s="320"/>
      <c r="D2045" s="299" t="s">
        <v>238</v>
      </c>
      <c r="E2045" s="304">
        <v>4.0570000000000004</v>
      </c>
      <c r="F2045" s="304">
        <v>4.9989999999999997</v>
      </c>
      <c r="G2045" s="304">
        <v>3.8710399999999998</v>
      </c>
      <c r="H2045" s="304">
        <v>5.7359150000000003</v>
      </c>
      <c r="I2045" s="301">
        <v>0.13619999999999999</v>
      </c>
      <c r="J2045" s="301">
        <v>0.11210000000000001</v>
      </c>
      <c r="K2045" s="300">
        <v>44.594112000000003</v>
      </c>
      <c r="L2045" s="321"/>
      <c r="M2045" s="399"/>
    </row>
    <row r="2046" spans="2:13" ht="17.25" thickBot="1">
      <c r="B2046" s="336">
        <v>25</v>
      </c>
      <c r="C2046" s="323"/>
      <c r="D2046" s="293" t="s">
        <v>252</v>
      </c>
      <c r="E2046" s="371">
        <v>4.0549999999999997</v>
      </c>
      <c r="F2046" s="371">
        <v>4.9809999999999999</v>
      </c>
      <c r="G2046" s="371">
        <v>3.8590040000000001</v>
      </c>
      <c r="H2046" s="371">
        <v>5.7296050000000003</v>
      </c>
      <c r="I2046" s="289">
        <v>0.13619999999999999</v>
      </c>
      <c r="J2046" s="289">
        <v>0.112</v>
      </c>
      <c r="K2046" s="288">
        <v>44.473213999999999</v>
      </c>
      <c r="L2046" s="324"/>
      <c r="M2046" s="399"/>
    </row>
    <row r="2047" spans="2:13" ht="17.25" thickBot="1">
      <c r="B2047" s="339" t="s">
        <v>464</v>
      </c>
      <c r="C2047" s="340"/>
      <c r="D2047" s="341" t="s">
        <v>465</v>
      </c>
      <c r="E2047" s="342">
        <f>AVERAGE(E2042:E2046)</f>
        <v>4.0545999999999998</v>
      </c>
      <c r="F2047" s="342">
        <f t="shared" ref="F2047:K2047" si="583">AVERAGE(F2042:F2046)</f>
        <v>4.9929999999999994</v>
      </c>
      <c r="G2047" s="342">
        <f t="shared" si="583"/>
        <v>3.8686819999999997</v>
      </c>
      <c r="H2047" s="342">
        <f t="shared" si="583"/>
        <v>5.7387029999999992</v>
      </c>
      <c r="I2047" s="343">
        <f t="shared" si="583"/>
        <v>0.13618</v>
      </c>
      <c r="J2047" s="343">
        <f t="shared" si="583"/>
        <v>0.11195999999999999</v>
      </c>
      <c r="K2047" s="342">
        <f t="shared" si="583"/>
        <v>44.596363399999994</v>
      </c>
      <c r="L2047" s="344"/>
      <c r="M2047" s="399"/>
    </row>
    <row r="2048" spans="2:13">
      <c r="B2048" s="333"/>
      <c r="C2048" s="345"/>
      <c r="D2048" s="291" t="s">
        <v>466</v>
      </c>
      <c r="E2048" s="346">
        <f>MEDIAN(E2018:E2022,E2024:E2028,E2030:E2034,E2036:E2040,E2042:E2046)</f>
        <v>4.0609999999999999</v>
      </c>
      <c r="F2048" s="346">
        <f t="shared" ref="F2048:K2048" si="584">MEDIAN(F2018:F2022,F2024:F2028,F2030:F2034,F2036:F2040,F2042:F2046)</f>
        <v>5.0129999999999999</v>
      </c>
      <c r="G2048" s="346">
        <f t="shared" si="584"/>
        <v>3.8784200000000002</v>
      </c>
      <c r="H2048" s="346">
        <f t="shared" si="584"/>
        <v>5.7592650000000001</v>
      </c>
      <c r="I2048" s="347">
        <f t="shared" si="584"/>
        <v>0.13619999999999999</v>
      </c>
      <c r="J2048" s="347">
        <f t="shared" si="584"/>
        <v>0.112</v>
      </c>
      <c r="K2048" s="348">
        <f t="shared" si="584"/>
        <v>44.728406</v>
      </c>
      <c r="L2048" s="332"/>
      <c r="M2048" s="399"/>
    </row>
    <row r="2049" spans="2:13">
      <c r="B2049" s="335"/>
      <c r="C2049" s="320"/>
      <c r="D2049" s="299" t="s">
        <v>467</v>
      </c>
      <c r="E2049" s="349">
        <f>AVERAGE(E2018:E2022,E2024:E2028,E2030:E2034,E2036:E2040,E2042:E2046)</f>
        <v>4.0627199999999997</v>
      </c>
      <c r="F2049" s="349">
        <f t="shared" ref="F2049:K2049" si="585">AVERAGE(F2018:F2022,F2024:F2028,F2030:F2034,F2036:F2040,F2042:F2046)</f>
        <v>5.0205599999999997</v>
      </c>
      <c r="G2049" s="349">
        <f t="shared" si="585"/>
        <v>3.8822376399999996</v>
      </c>
      <c r="H2049" s="349">
        <f t="shared" si="585"/>
        <v>5.7727831200000006</v>
      </c>
      <c r="I2049" s="350">
        <f t="shared" si="585"/>
        <v>0.13622799999999999</v>
      </c>
      <c r="J2049" s="350">
        <f t="shared" si="585"/>
        <v>0.11188000000000001</v>
      </c>
      <c r="K2049" s="351">
        <f t="shared" si="585"/>
        <v>44.875869720000011</v>
      </c>
      <c r="L2049" s="321"/>
      <c r="M2049" s="399"/>
    </row>
    <row r="2050" spans="2:13">
      <c r="B2050" s="335"/>
      <c r="C2050" s="320"/>
      <c r="D2050" s="299" t="s">
        <v>199</v>
      </c>
      <c r="E2050" s="349">
        <f>MAX(E2018:E2022,E2024:E2028,E2030:E2034,E2036:E2040,E2042:E2046)</f>
        <v>4.0830000000000002</v>
      </c>
      <c r="F2050" s="349">
        <f t="shared" ref="F2050:K2050" si="586">MAX(F2018:F2022,F2024:F2028,F2030:F2034,F2036:F2040,F2042:F2046)</f>
        <v>5.08</v>
      </c>
      <c r="G2050" s="349">
        <f t="shared" si="586"/>
        <v>3.912547</v>
      </c>
      <c r="H2050" s="349">
        <f t="shared" si="586"/>
        <v>5.876474</v>
      </c>
      <c r="I2050" s="350">
        <f t="shared" si="586"/>
        <v>0.13650000000000001</v>
      </c>
      <c r="J2050" s="350">
        <f t="shared" si="586"/>
        <v>0.1124</v>
      </c>
      <c r="K2050" s="351">
        <f t="shared" si="586"/>
        <v>45.725878999999999</v>
      </c>
      <c r="L2050" s="321"/>
      <c r="M2050" s="399"/>
    </row>
    <row r="2051" spans="2:13">
      <c r="B2051" s="335"/>
      <c r="C2051" s="320"/>
      <c r="D2051" s="299" t="s">
        <v>200</v>
      </c>
      <c r="E2051" s="349">
        <f>MIN(E2018:E2022,E2024:E2028,E2030:E2034,E2036:E2040,E2042:E2046)</f>
        <v>4.048</v>
      </c>
      <c r="F2051" s="349">
        <f t="shared" ref="F2051:K2051" si="587">MIN(F2018:F2022,F2024:F2028,F2030:F2034,F2036:F2040,F2042:F2046)</f>
        <v>4.9809999999999999</v>
      </c>
      <c r="G2051" s="349">
        <f t="shared" si="587"/>
        <v>3.8590040000000001</v>
      </c>
      <c r="H2051" s="349">
        <f t="shared" si="587"/>
        <v>5.7221609999999998</v>
      </c>
      <c r="I2051" s="350">
        <f t="shared" si="587"/>
        <v>0.1361</v>
      </c>
      <c r="J2051" s="350">
        <f t="shared" si="587"/>
        <v>0.1109</v>
      </c>
      <c r="K2051" s="351">
        <f t="shared" si="587"/>
        <v>44.465240999999999</v>
      </c>
      <c r="L2051" s="321"/>
      <c r="M2051" s="399"/>
    </row>
    <row r="2052" spans="2:13">
      <c r="B2052" s="335"/>
      <c r="C2052" s="320"/>
      <c r="D2052" s="299" t="s">
        <v>201</v>
      </c>
      <c r="E2052" s="349">
        <f>E2050-E2051</f>
        <v>3.5000000000000142E-2</v>
      </c>
      <c r="F2052" s="349">
        <f t="shared" ref="F2052:K2052" si="588">F2050-F2051</f>
        <v>9.9000000000000199E-2</v>
      </c>
      <c r="G2052" s="349">
        <f t="shared" si="588"/>
        <v>5.3542999999999896E-2</v>
      </c>
      <c r="H2052" s="349">
        <f t="shared" si="588"/>
        <v>0.15431300000000014</v>
      </c>
      <c r="I2052" s="350">
        <f t="shared" si="588"/>
        <v>4.0000000000001146E-4</v>
      </c>
      <c r="J2052" s="350">
        <f t="shared" si="588"/>
        <v>1.5000000000000013E-3</v>
      </c>
      <c r="K2052" s="349">
        <f t="shared" si="588"/>
        <v>1.2606380000000001</v>
      </c>
      <c r="L2052" s="321"/>
      <c r="M2052" s="399"/>
    </row>
    <row r="2053" spans="2:13" ht="17.25" thickBot="1">
      <c r="B2053" s="336"/>
      <c r="C2053" s="323"/>
      <c r="D2053" s="293" t="s">
        <v>202</v>
      </c>
      <c r="E2053" s="352">
        <f>STDEVA(E2018:E2022,E2024:E2028,E2030:E2034,E2036:E2040,E2042:E2046)</f>
        <v>9.0255193756371057E-3</v>
      </c>
      <c r="F2053" s="352">
        <f t="shared" ref="F2053:K2053" si="589">STDEVA(F2018:F2022,F2024:F2028,F2030:F2034,F2036:F2040,F2042:F2046)</f>
        <v>2.8593530736864225E-2</v>
      </c>
      <c r="G2053" s="352">
        <f t="shared" si="589"/>
        <v>1.4867907272264872E-2</v>
      </c>
      <c r="H2053" s="352">
        <f t="shared" si="589"/>
        <v>4.6663127336009871E-2</v>
      </c>
      <c r="I2053" s="353">
        <f t="shared" si="589"/>
        <v>1.1000000000000299E-4</v>
      </c>
      <c r="J2053" s="353">
        <f t="shared" si="589"/>
        <v>4.6278144589716094E-4</v>
      </c>
      <c r="K2053" s="352">
        <f t="shared" si="589"/>
        <v>0.39872283584167456</v>
      </c>
      <c r="L2053" s="324"/>
      <c r="M2053" s="399"/>
    </row>
    <row r="2055" spans="2:13">
      <c r="B2055" s="240" t="s">
        <v>540</v>
      </c>
      <c r="C2055" s="240"/>
      <c r="E2055" s="240"/>
      <c r="F2055" s="240"/>
      <c r="G2055" s="240"/>
      <c r="H2055" s="240"/>
      <c r="I2055" s="240"/>
      <c r="J2055" s="240"/>
      <c r="K2055" s="240"/>
    </row>
    <row r="2056" spans="2:13" ht="17.25" thickBot="1">
      <c r="B2056" s="240" t="s">
        <v>452</v>
      </c>
      <c r="C2056" s="240"/>
      <c r="E2056" s="240"/>
      <c r="F2056" s="240"/>
      <c r="G2056" s="240"/>
      <c r="H2056" s="240"/>
      <c r="I2056" s="240"/>
      <c r="J2056" s="240"/>
      <c r="K2056" s="240"/>
    </row>
    <row r="2057" spans="2:13" ht="17.25" thickBot="1">
      <c r="B2057" s="313" t="s">
        <v>11</v>
      </c>
      <c r="C2057" s="250" t="s">
        <v>0</v>
      </c>
      <c r="D2057" s="250" t="s">
        <v>1</v>
      </c>
      <c r="E2057" s="250" t="s">
        <v>2</v>
      </c>
      <c r="F2057" s="250" t="s">
        <v>3</v>
      </c>
      <c r="G2057" s="250" t="s">
        <v>192</v>
      </c>
      <c r="H2057" s="250" t="s">
        <v>16</v>
      </c>
      <c r="I2057" s="250" t="s">
        <v>6</v>
      </c>
      <c r="J2057" s="251" t="s">
        <v>7</v>
      </c>
      <c r="K2057" s="252" t="s">
        <v>8</v>
      </c>
      <c r="L2057" s="254" t="s">
        <v>439</v>
      </c>
      <c r="M2057" s="404"/>
    </row>
    <row r="2058" spans="2:13">
      <c r="B2058" s="314">
        <v>1</v>
      </c>
      <c r="C2058" s="271" t="s">
        <v>389</v>
      </c>
      <c r="D2058" s="291" t="s">
        <v>213</v>
      </c>
      <c r="E2058" s="302">
        <v>4.0609999999999999</v>
      </c>
      <c r="F2058" s="302">
        <v>5.0259999999999998</v>
      </c>
      <c r="G2058" s="302">
        <v>3.8881139999999998</v>
      </c>
      <c r="H2058" s="364">
        <v>5.8835470000000001</v>
      </c>
      <c r="I2058" s="287">
        <v>0.1368</v>
      </c>
      <c r="J2058" s="287">
        <v>0.1087</v>
      </c>
      <c r="K2058" s="286">
        <v>46.237350999999997</v>
      </c>
      <c r="L2058" s="275"/>
      <c r="M2058" s="397"/>
    </row>
    <row r="2059" spans="2:13">
      <c r="B2059" s="315">
        <v>2</v>
      </c>
      <c r="C2059" s="316"/>
      <c r="D2059" s="299" t="s">
        <v>214</v>
      </c>
      <c r="E2059" s="304">
        <v>4.0659999999999998</v>
      </c>
      <c r="F2059" s="304">
        <v>5.0309999999999997</v>
      </c>
      <c r="G2059" s="304">
        <v>3.8871959999999999</v>
      </c>
      <c r="H2059" s="370">
        <v>5.8787799999999999</v>
      </c>
      <c r="I2059" s="301">
        <v>0.1366</v>
      </c>
      <c r="J2059" s="301">
        <v>0.109</v>
      </c>
      <c r="K2059" s="300">
        <v>46.155963</v>
      </c>
      <c r="L2059" s="319"/>
      <c r="M2059" s="398"/>
    </row>
    <row r="2060" spans="2:13">
      <c r="B2060" s="315">
        <v>3</v>
      </c>
      <c r="C2060" s="320"/>
      <c r="D2060" s="299" t="s">
        <v>217</v>
      </c>
      <c r="E2060" s="304">
        <v>4.069</v>
      </c>
      <c r="F2060" s="304">
        <v>5.0289999999999999</v>
      </c>
      <c r="G2060" s="304">
        <v>3.8827859999999998</v>
      </c>
      <c r="H2060" s="370">
        <v>5.8743259999999999</v>
      </c>
      <c r="I2060" s="301">
        <v>0.13650000000000001</v>
      </c>
      <c r="J2060" s="301">
        <v>0.10929999999999999</v>
      </c>
      <c r="K2060" s="300">
        <v>46.010978999999999</v>
      </c>
      <c r="L2060" s="356"/>
      <c r="M2060" s="400"/>
    </row>
    <row r="2061" spans="2:13">
      <c r="B2061" s="315">
        <v>4</v>
      </c>
      <c r="C2061" s="320"/>
      <c r="D2061" s="299" t="s">
        <v>218</v>
      </c>
      <c r="E2061" s="304">
        <v>4.0709999999999997</v>
      </c>
      <c r="F2061" s="304">
        <v>5.0199999999999996</v>
      </c>
      <c r="G2061" s="304">
        <v>3.8739330000000001</v>
      </c>
      <c r="H2061" s="370">
        <v>5.8558719999999997</v>
      </c>
      <c r="I2061" s="301">
        <v>0.1366</v>
      </c>
      <c r="J2061" s="301">
        <v>0.10920000000000001</v>
      </c>
      <c r="K2061" s="300">
        <v>45.970695999999997</v>
      </c>
      <c r="L2061" s="356"/>
      <c r="M2061" s="400"/>
    </row>
    <row r="2062" spans="2:13" ht="17.25" thickBot="1">
      <c r="B2062" s="322">
        <v>5</v>
      </c>
      <c r="C2062" s="323"/>
      <c r="D2062" s="293" t="s">
        <v>240</v>
      </c>
      <c r="E2062" s="371">
        <v>4.069</v>
      </c>
      <c r="F2062" s="371">
        <v>5.0199999999999996</v>
      </c>
      <c r="G2062" s="371">
        <v>3.8758370000000002</v>
      </c>
      <c r="H2062" s="372">
        <v>5.8661859999999999</v>
      </c>
      <c r="I2062" s="289">
        <v>0.13669999999999999</v>
      </c>
      <c r="J2062" s="289">
        <v>0.1091</v>
      </c>
      <c r="K2062" s="288">
        <v>46.012832000000003</v>
      </c>
      <c r="L2062" s="324"/>
      <c r="M2062" s="399"/>
    </row>
    <row r="2063" spans="2:13" ht="17.25" thickBot="1">
      <c r="B2063" s="325"/>
      <c r="C2063" s="326"/>
      <c r="D2063" s="327" t="s">
        <v>463</v>
      </c>
      <c r="E2063" s="328">
        <f>AVERAGE(E2058:E2062)</f>
        <v>4.0671999999999988</v>
      </c>
      <c r="F2063" s="328">
        <f t="shared" ref="F2063:K2063" si="590">AVERAGE(F2058:F2062)</f>
        <v>5.0251999999999999</v>
      </c>
      <c r="G2063" s="328">
        <f t="shared" si="590"/>
        <v>3.8815731999999996</v>
      </c>
      <c r="H2063" s="373">
        <f t="shared" si="590"/>
        <v>5.8717421999999999</v>
      </c>
      <c r="I2063" s="329">
        <f t="shared" si="590"/>
        <v>0.13664000000000001</v>
      </c>
      <c r="J2063" s="329">
        <f t="shared" si="590"/>
        <v>0.10906</v>
      </c>
      <c r="K2063" s="330">
        <f t="shared" si="590"/>
        <v>46.077564199999998</v>
      </c>
      <c r="L2063" s="331"/>
      <c r="M2063" s="399"/>
    </row>
    <row r="2064" spans="2:13">
      <c r="B2064" s="314">
        <v>6</v>
      </c>
      <c r="C2064" s="271" t="s">
        <v>538</v>
      </c>
      <c r="D2064" s="291" t="s">
        <v>241</v>
      </c>
      <c r="E2064" s="302">
        <v>4.0570000000000004</v>
      </c>
      <c r="F2064" s="302">
        <v>5.0259999999999998</v>
      </c>
      <c r="G2064" s="302">
        <v>3.8919480000000002</v>
      </c>
      <c r="H2064" s="364">
        <v>5.9063239999999997</v>
      </c>
      <c r="I2064" s="287">
        <v>0.13700000000000001</v>
      </c>
      <c r="J2064" s="287">
        <v>0.108</v>
      </c>
      <c r="K2064" s="286">
        <v>46.537036999999998</v>
      </c>
      <c r="L2064" s="332"/>
      <c r="M2064" s="399"/>
    </row>
    <row r="2065" spans="2:13">
      <c r="B2065" s="315">
        <v>7</v>
      </c>
      <c r="C2065" s="320"/>
      <c r="D2065" s="299" t="s">
        <v>242</v>
      </c>
      <c r="E2065" s="304">
        <v>4.0650000000000004</v>
      </c>
      <c r="F2065" s="304">
        <v>5.0369999999999999</v>
      </c>
      <c r="G2065" s="304">
        <v>3.8927890000000001</v>
      </c>
      <c r="H2065" s="370">
        <v>5.9043330000000003</v>
      </c>
      <c r="I2065" s="301">
        <v>0.13689999999999999</v>
      </c>
      <c r="J2065" s="301">
        <v>0.1086</v>
      </c>
      <c r="K2065" s="300">
        <v>46.381214999999997</v>
      </c>
      <c r="L2065" s="321"/>
      <c r="M2065" s="399"/>
    </row>
    <row r="2066" spans="2:13">
      <c r="B2066" s="315">
        <v>8</v>
      </c>
      <c r="C2066" s="320"/>
      <c r="D2066" s="299" t="s">
        <v>222</v>
      </c>
      <c r="E2066" s="304">
        <v>4.0679999999999996</v>
      </c>
      <c r="F2066" s="304">
        <v>5.0350000000000001</v>
      </c>
      <c r="G2066" s="304">
        <v>3.8883740000000002</v>
      </c>
      <c r="H2066" s="370">
        <v>5.9098179999999996</v>
      </c>
      <c r="I2066" s="301">
        <v>0.1368</v>
      </c>
      <c r="J2066" s="301">
        <v>0.1087</v>
      </c>
      <c r="K2066" s="300">
        <v>46.320146999999999</v>
      </c>
      <c r="L2066" s="321"/>
      <c r="M2066" s="399"/>
    </row>
    <row r="2067" spans="2:13">
      <c r="B2067" s="315">
        <v>9</v>
      </c>
      <c r="C2067" s="320"/>
      <c r="D2067" s="299" t="s">
        <v>223</v>
      </c>
      <c r="E2067" s="304">
        <v>4.069</v>
      </c>
      <c r="F2067" s="304">
        <v>5.0270000000000001</v>
      </c>
      <c r="G2067" s="304">
        <v>3.8812419999999999</v>
      </c>
      <c r="H2067" s="370">
        <v>5.9072899999999997</v>
      </c>
      <c r="I2067" s="301">
        <v>0.13669999999999999</v>
      </c>
      <c r="J2067" s="301">
        <v>0.1086</v>
      </c>
      <c r="K2067" s="300">
        <v>46.289133999999997</v>
      </c>
      <c r="L2067" s="321"/>
      <c r="M2067" s="399"/>
    </row>
    <row r="2068" spans="2:13" ht="17.25" thickBot="1">
      <c r="B2068" s="322">
        <v>10</v>
      </c>
      <c r="C2068" s="323"/>
      <c r="D2068" s="293" t="s">
        <v>243</v>
      </c>
      <c r="E2068" s="371">
        <v>4.0659999999999998</v>
      </c>
      <c r="F2068" s="371">
        <v>5.0170000000000003</v>
      </c>
      <c r="G2068" s="371">
        <v>3.876379</v>
      </c>
      <c r="H2068" s="372">
        <v>5.888687</v>
      </c>
      <c r="I2068" s="289">
        <v>0.1368</v>
      </c>
      <c r="J2068" s="289">
        <v>0.1084</v>
      </c>
      <c r="K2068" s="288">
        <v>46.282288000000001</v>
      </c>
      <c r="L2068" s="324"/>
      <c r="M2068" s="399"/>
    </row>
    <row r="2069" spans="2:13" ht="17.25" thickBot="1">
      <c r="B2069" s="325" t="s">
        <v>455</v>
      </c>
      <c r="C2069" s="326"/>
      <c r="D2069" s="327" t="s">
        <v>463</v>
      </c>
      <c r="E2069" s="328">
        <f t="shared" ref="E2069:K2069" si="591">AVERAGE(E2064:E2068)</f>
        <v>4.0649999999999995</v>
      </c>
      <c r="F2069" s="328">
        <f t="shared" si="591"/>
        <v>5.0283999999999995</v>
      </c>
      <c r="G2069" s="328">
        <f t="shared" si="591"/>
        <v>3.8861463999999999</v>
      </c>
      <c r="H2069" s="373">
        <f t="shared" si="591"/>
        <v>5.9032904000000004</v>
      </c>
      <c r="I2069" s="329">
        <f t="shared" si="591"/>
        <v>0.13684000000000002</v>
      </c>
      <c r="J2069" s="329">
        <f t="shared" si="591"/>
        <v>0.10846</v>
      </c>
      <c r="K2069" s="330">
        <f t="shared" si="591"/>
        <v>46.361964199999996</v>
      </c>
      <c r="L2069" s="331"/>
      <c r="M2069" s="399"/>
    </row>
    <row r="2070" spans="2:13">
      <c r="B2070" s="333">
        <v>11</v>
      </c>
      <c r="C2070" s="271" t="s">
        <v>389</v>
      </c>
      <c r="D2070" s="291" t="s">
        <v>244</v>
      </c>
      <c r="E2070" s="302">
        <v>4.0439999999999996</v>
      </c>
      <c r="F2070" s="302">
        <v>4.9649999999999999</v>
      </c>
      <c r="G2070" s="302">
        <v>3.8570709999999999</v>
      </c>
      <c r="H2070" s="302">
        <v>5.8117809999999999</v>
      </c>
      <c r="I2070" s="287">
        <v>0.13689999999999999</v>
      </c>
      <c r="J2070" s="287">
        <v>0.109</v>
      </c>
      <c r="K2070" s="286">
        <v>45.550458999999996</v>
      </c>
      <c r="L2070" s="332"/>
      <c r="M2070" s="399"/>
    </row>
    <row r="2071" spans="2:13">
      <c r="B2071" s="335">
        <v>12</v>
      </c>
      <c r="C2071" s="316"/>
      <c r="D2071" s="299" t="s">
        <v>245</v>
      </c>
      <c r="E2071" s="304">
        <v>4.0510000000000002</v>
      </c>
      <c r="F2071" s="304">
        <v>4.9720000000000004</v>
      </c>
      <c r="G2071" s="304">
        <v>3.8558340000000002</v>
      </c>
      <c r="H2071" s="304">
        <v>5.7982829999999996</v>
      </c>
      <c r="I2071" s="301">
        <v>0.13669999999999999</v>
      </c>
      <c r="J2071" s="301">
        <v>0.1096</v>
      </c>
      <c r="K2071" s="300">
        <v>45.364964000000001</v>
      </c>
      <c r="L2071" s="321"/>
      <c r="M2071" s="399"/>
    </row>
    <row r="2072" spans="2:13">
      <c r="B2072" s="335">
        <v>13</v>
      </c>
      <c r="C2072" s="320"/>
      <c r="D2072" s="299" t="s">
        <v>227</v>
      </c>
      <c r="E2072" s="304">
        <v>4.056</v>
      </c>
      <c r="F2072" s="304">
        <v>4.9640000000000004</v>
      </c>
      <c r="G2072" s="304">
        <v>3.8448850000000001</v>
      </c>
      <c r="H2072" s="304">
        <v>5.7829689999999996</v>
      </c>
      <c r="I2072" s="301">
        <v>0.13669999999999999</v>
      </c>
      <c r="J2072" s="301">
        <v>0.10970000000000001</v>
      </c>
      <c r="K2072" s="300">
        <v>45.250684</v>
      </c>
      <c r="L2072" s="321"/>
      <c r="M2072" s="399"/>
    </row>
    <row r="2073" spans="2:13">
      <c r="B2073" s="335">
        <v>14</v>
      </c>
      <c r="C2073" s="320"/>
      <c r="D2073" s="299" t="s">
        <v>228</v>
      </c>
      <c r="E2073" s="304">
        <v>4.056</v>
      </c>
      <c r="F2073" s="304">
        <v>4.9619999999999997</v>
      </c>
      <c r="G2073" s="304">
        <v>3.8433359999999999</v>
      </c>
      <c r="H2073" s="304">
        <v>5.7820929999999997</v>
      </c>
      <c r="I2073" s="301">
        <v>0.1366</v>
      </c>
      <c r="J2073" s="301">
        <v>0.10970000000000001</v>
      </c>
      <c r="K2073" s="300">
        <v>45.232452000000002</v>
      </c>
      <c r="L2073" s="321"/>
      <c r="M2073" s="399"/>
    </row>
    <row r="2074" spans="2:13" ht="17.25" thickBot="1">
      <c r="B2074" s="336">
        <v>15</v>
      </c>
      <c r="C2074" s="323"/>
      <c r="D2074" s="293" t="s">
        <v>246</v>
      </c>
      <c r="E2074" s="371">
        <v>4.0540000000000003</v>
      </c>
      <c r="F2074" s="371">
        <v>4.9480000000000004</v>
      </c>
      <c r="G2074" s="371">
        <v>3.8343829999999999</v>
      </c>
      <c r="H2074" s="371">
        <v>5.7633400000000004</v>
      </c>
      <c r="I2074" s="289">
        <v>0.13669999999999999</v>
      </c>
      <c r="J2074" s="289">
        <v>0.1095</v>
      </c>
      <c r="K2074" s="288">
        <v>45.187215000000002</v>
      </c>
      <c r="L2074" s="324"/>
      <c r="M2074" s="399"/>
    </row>
    <row r="2075" spans="2:13" ht="17.25" thickBot="1">
      <c r="B2075" s="337"/>
      <c r="C2075" s="326"/>
      <c r="D2075" s="327" t="s">
        <v>463</v>
      </c>
      <c r="E2075" s="328">
        <f>AVERAGE(E2070:E2074)</f>
        <v>4.0522000000000009</v>
      </c>
      <c r="F2075" s="328">
        <f t="shared" ref="F2075:K2075" si="592">AVERAGE(F2070:F2074)</f>
        <v>4.9622000000000002</v>
      </c>
      <c r="G2075" s="328">
        <f t="shared" si="592"/>
        <v>3.8471017999999999</v>
      </c>
      <c r="H2075" s="328">
        <f t="shared" si="592"/>
        <v>5.7876931999999996</v>
      </c>
      <c r="I2075" s="329">
        <f t="shared" si="592"/>
        <v>0.13672000000000001</v>
      </c>
      <c r="J2075" s="329">
        <f t="shared" si="592"/>
        <v>0.10950000000000001</v>
      </c>
      <c r="K2075" s="330">
        <f t="shared" si="592"/>
        <v>45.317154800000004</v>
      </c>
      <c r="L2075" s="331"/>
      <c r="M2075" s="399"/>
    </row>
    <row r="2076" spans="2:13">
      <c r="B2076" s="333">
        <v>16</v>
      </c>
      <c r="C2076" s="271" t="s">
        <v>539</v>
      </c>
      <c r="D2076" s="291" t="s">
        <v>247</v>
      </c>
      <c r="E2076" s="302">
        <v>4.0439999999999996</v>
      </c>
      <c r="F2076" s="302">
        <v>4.9619999999999997</v>
      </c>
      <c r="G2076" s="302">
        <v>3.8547400000000001</v>
      </c>
      <c r="H2076" s="302">
        <v>5.7906620000000002</v>
      </c>
      <c r="I2076" s="287">
        <v>0.13669999999999999</v>
      </c>
      <c r="J2076" s="287">
        <v>0.1094</v>
      </c>
      <c r="K2076" s="286">
        <v>45.356490000000001</v>
      </c>
      <c r="L2076" s="359"/>
      <c r="M2076" s="401"/>
    </row>
    <row r="2077" spans="2:13">
      <c r="B2077" s="335">
        <v>17</v>
      </c>
      <c r="C2077" s="320"/>
      <c r="D2077" s="299" t="s">
        <v>248</v>
      </c>
      <c r="E2077" s="304">
        <v>4.0519999999999996</v>
      </c>
      <c r="F2077" s="304">
        <v>4.9630000000000001</v>
      </c>
      <c r="G2077" s="304">
        <v>3.8479049999999999</v>
      </c>
      <c r="H2077" s="304">
        <v>5.7684439999999997</v>
      </c>
      <c r="I2077" s="301">
        <v>0.1366</v>
      </c>
      <c r="J2077" s="301">
        <v>0.1099</v>
      </c>
      <c r="K2077" s="300">
        <v>45.159236</v>
      </c>
      <c r="L2077" s="321"/>
      <c r="M2077" s="399"/>
    </row>
    <row r="2078" spans="2:13">
      <c r="B2078" s="335">
        <v>18</v>
      </c>
      <c r="C2078" s="320"/>
      <c r="D2078" s="299" t="s">
        <v>232</v>
      </c>
      <c r="E2078" s="304">
        <v>4.0570000000000004</v>
      </c>
      <c r="F2078" s="304">
        <v>4.9729999999999999</v>
      </c>
      <c r="G2078" s="304">
        <v>3.8509060000000002</v>
      </c>
      <c r="H2078" s="304">
        <v>5.7772540000000001</v>
      </c>
      <c r="I2078" s="301">
        <v>0.1366</v>
      </c>
      <c r="J2078" s="301">
        <v>0.11020000000000001</v>
      </c>
      <c r="K2078" s="300">
        <v>45.127042000000003</v>
      </c>
      <c r="L2078" s="321"/>
      <c r="M2078" s="399"/>
    </row>
    <row r="2079" spans="2:13">
      <c r="B2079" s="335">
        <v>19</v>
      </c>
      <c r="C2079" s="320"/>
      <c r="D2079" s="299" t="s">
        <v>233</v>
      </c>
      <c r="E2079" s="304">
        <v>4.0579999999999998</v>
      </c>
      <c r="F2079" s="304">
        <v>4.9610000000000003</v>
      </c>
      <c r="G2079" s="304">
        <v>3.8406669999999998</v>
      </c>
      <c r="H2079" s="304">
        <v>5.7641559999999998</v>
      </c>
      <c r="I2079" s="301">
        <v>0.13650000000000001</v>
      </c>
      <c r="J2079" s="301">
        <v>0.11</v>
      </c>
      <c r="K2079" s="300">
        <v>45.1</v>
      </c>
      <c r="L2079" s="321"/>
      <c r="M2079" s="399"/>
    </row>
    <row r="2080" spans="2:13" ht="17.25" thickBot="1">
      <c r="B2080" s="336">
        <v>20</v>
      </c>
      <c r="C2080" s="323"/>
      <c r="D2080" s="293" t="s">
        <v>249</v>
      </c>
      <c r="E2080" s="371">
        <v>4.0549999999999997</v>
      </c>
      <c r="F2080" s="371">
        <v>4.952</v>
      </c>
      <c r="G2080" s="371">
        <v>3.8365360000000002</v>
      </c>
      <c r="H2080" s="371">
        <v>5.7672980000000003</v>
      </c>
      <c r="I2080" s="289">
        <v>0.13650000000000001</v>
      </c>
      <c r="J2080" s="289">
        <v>0.1099</v>
      </c>
      <c r="K2080" s="288">
        <v>45.059145000000001</v>
      </c>
      <c r="L2080" s="324"/>
      <c r="M2080" s="399"/>
    </row>
    <row r="2081" spans="2:13" ht="17.25" thickBot="1">
      <c r="B2081" s="337"/>
      <c r="C2081" s="326"/>
      <c r="D2081" s="327" t="s">
        <v>463</v>
      </c>
      <c r="E2081" s="328">
        <f>AVERAGE(E2076:E2080)</f>
        <v>4.0531999999999995</v>
      </c>
      <c r="F2081" s="328">
        <f t="shared" ref="F2081:K2081" si="593">AVERAGE(F2076:F2080)</f>
        <v>4.9622000000000002</v>
      </c>
      <c r="G2081" s="328">
        <f t="shared" si="593"/>
        <v>3.8461508000000002</v>
      </c>
      <c r="H2081" s="328">
        <f t="shared" si="593"/>
        <v>5.7735627999999997</v>
      </c>
      <c r="I2081" s="329">
        <f t="shared" si="593"/>
        <v>0.13658000000000001</v>
      </c>
      <c r="J2081" s="329">
        <f t="shared" si="593"/>
        <v>0.10988000000000001</v>
      </c>
      <c r="K2081" s="328">
        <f t="shared" si="593"/>
        <v>45.160382599999998</v>
      </c>
      <c r="L2081" s="331"/>
      <c r="M2081" s="399"/>
    </row>
    <row r="2082" spans="2:13">
      <c r="B2082" s="333">
        <v>21</v>
      </c>
      <c r="C2082" s="271" t="s">
        <v>539</v>
      </c>
      <c r="D2082" s="291" t="s">
        <v>250</v>
      </c>
      <c r="E2082" s="302">
        <v>4.0419999999999998</v>
      </c>
      <c r="F2082" s="302">
        <v>4.9480000000000004</v>
      </c>
      <c r="G2082" s="302">
        <v>3.8457659999999998</v>
      </c>
      <c r="H2082" s="302">
        <v>5.7772439999999996</v>
      </c>
      <c r="I2082" s="287">
        <v>0.1368</v>
      </c>
      <c r="J2082" s="287">
        <v>0.1091</v>
      </c>
      <c r="K2082" s="286">
        <v>45.352887000000003</v>
      </c>
      <c r="L2082" s="332"/>
      <c r="M2082" s="399"/>
    </row>
    <row r="2083" spans="2:13">
      <c r="B2083" s="335">
        <v>22</v>
      </c>
      <c r="C2083" s="320"/>
      <c r="D2083" s="299" t="s">
        <v>251</v>
      </c>
      <c r="E2083" s="304">
        <v>4.0490000000000004</v>
      </c>
      <c r="F2083" s="304">
        <v>4.9710000000000001</v>
      </c>
      <c r="G2083" s="304">
        <v>3.8569629999999999</v>
      </c>
      <c r="H2083" s="304">
        <v>5.7964770000000003</v>
      </c>
      <c r="I2083" s="301">
        <v>0.1366</v>
      </c>
      <c r="J2083" s="301">
        <v>0.10970000000000001</v>
      </c>
      <c r="K2083" s="300">
        <v>45.314494000000003</v>
      </c>
      <c r="L2083" s="321"/>
      <c r="M2083" s="399"/>
    </row>
    <row r="2084" spans="2:13">
      <c r="B2084" s="335">
        <v>23</v>
      </c>
      <c r="C2084" s="320"/>
      <c r="D2084" s="299" t="s">
        <v>237</v>
      </c>
      <c r="E2084" s="304">
        <v>4.0540000000000003</v>
      </c>
      <c r="F2084" s="304">
        <v>4.9560000000000004</v>
      </c>
      <c r="G2084" s="304">
        <v>3.8405819999999999</v>
      </c>
      <c r="H2084" s="304">
        <v>5.7641739999999997</v>
      </c>
      <c r="I2084" s="301">
        <v>0.1366</v>
      </c>
      <c r="J2084" s="301">
        <v>0.1099</v>
      </c>
      <c r="K2084" s="300">
        <v>45.095540999999997</v>
      </c>
      <c r="L2084" s="321"/>
      <c r="M2084" s="399"/>
    </row>
    <row r="2085" spans="2:13">
      <c r="B2085" s="335">
        <v>24</v>
      </c>
      <c r="C2085" s="320"/>
      <c r="D2085" s="299" t="s">
        <v>238</v>
      </c>
      <c r="E2085" s="304">
        <v>4.0549999999999997</v>
      </c>
      <c r="F2085" s="304">
        <v>4.9580000000000002</v>
      </c>
      <c r="G2085" s="304">
        <v>3.8411849999999998</v>
      </c>
      <c r="H2085" s="304">
        <v>5.7724900000000003</v>
      </c>
      <c r="I2085" s="301">
        <v>0.1366</v>
      </c>
      <c r="J2085" s="301">
        <v>0.1099</v>
      </c>
      <c r="K2085" s="300">
        <v>45.11374</v>
      </c>
      <c r="L2085" s="321"/>
      <c r="M2085" s="399"/>
    </row>
    <row r="2086" spans="2:13" ht="17.25" thickBot="1">
      <c r="B2086" s="336">
        <v>25</v>
      </c>
      <c r="C2086" s="323"/>
      <c r="D2086" s="293" t="s">
        <v>252</v>
      </c>
      <c r="E2086" s="371">
        <v>4.0529999999999999</v>
      </c>
      <c r="F2086" s="371">
        <v>4.9379999999999997</v>
      </c>
      <c r="G2086" s="371">
        <v>3.8275769999999998</v>
      </c>
      <c r="H2086" s="371">
        <v>5.7578810000000002</v>
      </c>
      <c r="I2086" s="289">
        <v>0.13669999999999999</v>
      </c>
      <c r="J2086" s="289">
        <v>0.1096</v>
      </c>
      <c r="K2086" s="288">
        <v>45.054744999999997</v>
      </c>
      <c r="L2086" s="324"/>
      <c r="M2086" s="399"/>
    </row>
    <row r="2087" spans="2:13" ht="17.25" thickBot="1">
      <c r="B2087" s="339" t="s">
        <v>455</v>
      </c>
      <c r="C2087" s="340"/>
      <c r="D2087" s="341" t="s">
        <v>465</v>
      </c>
      <c r="E2087" s="342">
        <f>AVERAGE(E2082:E2086)</f>
        <v>4.0506000000000011</v>
      </c>
      <c r="F2087" s="342">
        <f t="shared" ref="F2087:K2087" si="594">AVERAGE(F2082:F2086)</f>
        <v>4.9541999999999993</v>
      </c>
      <c r="G2087" s="342">
        <f t="shared" si="594"/>
        <v>3.8424145999999992</v>
      </c>
      <c r="H2087" s="342">
        <f t="shared" si="594"/>
        <v>5.7736532</v>
      </c>
      <c r="I2087" s="343">
        <f t="shared" si="594"/>
        <v>0.13666</v>
      </c>
      <c r="J2087" s="343">
        <f t="shared" si="594"/>
        <v>0.10964</v>
      </c>
      <c r="K2087" s="342">
        <f t="shared" si="594"/>
        <v>45.186281399999999</v>
      </c>
      <c r="L2087" s="344"/>
      <c r="M2087" s="399"/>
    </row>
    <row r="2088" spans="2:13">
      <c r="B2088" s="333"/>
      <c r="C2088" s="345"/>
      <c r="D2088" s="291" t="s">
        <v>458</v>
      </c>
      <c r="E2088" s="346">
        <f>MEDIAN(E2058:E2062,E2064:E2068,E2070:E2074,E2076:E2080,E2082:E2086)</f>
        <v>4.056</v>
      </c>
      <c r="F2088" s="346">
        <f t="shared" ref="F2088:K2088" si="595">MEDIAN(F2058:F2062,F2064:F2068,F2070:F2074,F2076:F2080,F2082:F2086)</f>
        <v>4.9710000000000001</v>
      </c>
      <c r="G2088" s="346">
        <f t="shared" si="595"/>
        <v>3.8558340000000002</v>
      </c>
      <c r="H2088" s="346">
        <f t="shared" si="595"/>
        <v>5.7964770000000003</v>
      </c>
      <c r="I2088" s="347">
        <f t="shared" si="595"/>
        <v>0.13669999999999999</v>
      </c>
      <c r="J2088" s="347">
        <f t="shared" si="595"/>
        <v>0.1094</v>
      </c>
      <c r="K2088" s="348">
        <f t="shared" si="595"/>
        <v>45.356490000000001</v>
      </c>
      <c r="L2088" s="332"/>
      <c r="M2088" s="399"/>
    </row>
    <row r="2089" spans="2:13">
      <c r="B2089" s="335"/>
      <c r="C2089" s="320"/>
      <c r="D2089" s="299" t="s">
        <v>457</v>
      </c>
      <c r="E2089" s="349">
        <f>AVERAGE(E2058:E2062,E2064:E2068,E2070:E2074,E2076:E2080,E2082:E2086)</f>
        <v>4.057640000000001</v>
      </c>
      <c r="F2089" s="349">
        <f t="shared" ref="F2089:K2089" si="596">AVERAGE(F2058:F2062,F2064:F2068,F2070:F2074,F2076:F2080,F2082:F2086)</f>
        <v>4.98644</v>
      </c>
      <c r="G2089" s="349">
        <f t="shared" si="596"/>
        <v>3.8606773599999991</v>
      </c>
      <c r="H2089" s="349">
        <f t="shared" si="596"/>
        <v>5.8219883599999989</v>
      </c>
      <c r="I2089" s="350">
        <f t="shared" si="596"/>
        <v>0.136688</v>
      </c>
      <c r="J2089" s="350">
        <f t="shared" si="596"/>
        <v>0.10930800000000002</v>
      </c>
      <c r="K2089" s="351">
        <f t="shared" si="596"/>
        <v>45.620669439999993</v>
      </c>
      <c r="L2089" s="321"/>
      <c r="M2089" s="399"/>
    </row>
    <row r="2090" spans="2:13">
      <c r="B2090" s="335"/>
      <c r="C2090" s="320"/>
      <c r="D2090" s="299" t="s">
        <v>199</v>
      </c>
      <c r="E2090" s="349">
        <f>MAX(E2058:E2062,E2064:E2068,E2070:E2074,E2076:E2080,E2082:E2086)</f>
        <v>4.0709999999999997</v>
      </c>
      <c r="F2090" s="349">
        <f t="shared" ref="F2090:K2090" si="597">MAX(F2058:F2062,F2064:F2068,F2070:F2074,F2076:F2080,F2082:F2086)</f>
        <v>5.0369999999999999</v>
      </c>
      <c r="G2090" s="349">
        <f t="shared" si="597"/>
        <v>3.8927890000000001</v>
      </c>
      <c r="H2090" s="349">
        <f t="shared" si="597"/>
        <v>5.9098179999999996</v>
      </c>
      <c r="I2090" s="350">
        <f t="shared" si="597"/>
        <v>0.13700000000000001</v>
      </c>
      <c r="J2090" s="350">
        <f t="shared" si="597"/>
        <v>0.11020000000000001</v>
      </c>
      <c r="K2090" s="351">
        <f t="shared" si="597"/>
        <v>46.537036999999998</v>
      </c>
      <c r="L2090" s="321"/>
      <c r="M2090" s="399"/>
    </row>
    <row r="2091" spans="2:13">
      <c r="B2091" s="335"/>
      <c r="C2091" s="320"/>
      <c r="D2091" s="299" t="s">
        <v>200</v>
      </c>
      <c r="E2091" s="349">
        <f>MIN(E2058:E2062,E2064:E2068,E2070:E2074,E2076:E2080,E2082:E2086)</f>
        <v>4.0419999999999998</v>
      </c>
      <c r="F2091" s="349">
        <f t="shared" ref="F2091:K2091" si="598">MIN(F2058:F2062,F2064:F2068,F2070:F2074,F2076:F2080,F2082:F2086)</f>
        <v>4.9379999999999997</v>
      </c>
      <c r="G2091" s="349">
        <f t="shared" si="598"/>
        <v>3.8275769999999998</v>
      </c>
      <c r="H2091" s="349">
        <f t="shared" si="598"/>
        <v>5.7578810000000002</v>
      </c>
      <c r="I2091" s="350">
        <f t="shared" si="598"/>
        <v>0.13650000000000001</v>
      </c>
      <c r="J2091" s="350">
        <f t="shared" si="598"/>
        <v>0.108</v>
      </c>
      <c r="K2091" s="351">
        <f t="shared" si="598"/>
        <v>45.054744999999997</v>
      </c>
      <c r="L2091" s="321"/>
      <c r="M2091" s="399"/>
    </row>
    <row r="2092" spans="2:13">
      <c r="B2092" s="335"/>
      <c r="C2092" s="320"/>
      <c r="D2092" s="299" t="s">
        <v>201</v>
      </c>
      <c r="E2092" s="349">
        <f>E2090-E2091</f>
        <v>2.8999999999999915E-2</v>
      </c>
      <c r="F2092" s="349">
        <f t="shared" ref="F2092:K2092" si="599">F2090-F2091</f>
        <v>9.9000000000000199E-2</v>
      </c>
      <c r="G2092" s="349">
        <f t="shared" si="599"/>
        <v>6.521200000000027E-2</v>
      </c>
      <c r="H2092" s="349">
        <f t="shared" si="599"/>
        <v>0.15193699999999932</v>
      </c>
      <c r="I2092" s="350">
        <f t="shared" si="599"/>
        <v>5.0000000000000044E-4</v>
      </c>
      <c r="J2092" s="350">
        <f t="shared" si="599"/>
        <v>2.2000000000000075E-3</v>
      </c>
      <c r="K2092" s="349">
        <f t="shared" si="599"/>
        <v>1.4822920000000011</v>
      </c>
      <c r="L2092" s="321"/>
      <c r="M2092" s="399"/>
    </row>
    <row r="2093" spans="2:13" ht="17.25" thickBot="1">
      <c r="B2093" s="336"/>
      <c r="C2093" s="323"/>
      <c r="D2093" s="293" t="s">
        <v>202</v>
      </c>
      <c r="E2093" s="352">
        <f>STDEVA(E2058:E2062,E2064:E2068,E2070:E2074,E2076:E2080,E2082:E2086)</f>
        <v>8.4502465447267756E-3</v>
      </c>
      <c r="F2093" s="352">
        <f t="shared" ref="F2093:K2093" si="600">STDEVA(F2058:F2062,F2064:F2068,F2070:F2074,F2076:F2080,F2082:F2086)</f>
        <v>3.4687990236775892E-2</v>
      </c>
      <c r="G2093" s="352">
        <f t="shared" si="600"/>
        <v>2.0883111411856271E-2</v>
      </c>
      <c r="H2093" s="352">
        <f t="shared" si="600"/>
        <v>5.7062847090495993E-2</v>
      </c>
      <c r="I2093" s="353">
        <f t="shared" si="600"/>
        <v>1.3012814197295319E-4</v>
      </c>
      <c r="J2093" s="353">
        <f t="shared" si="600"/>
        <v>5.7439823583758823E-4</v>
      </c>
      <c r="K2093" s="352">
        <f t="shared" si="600"/>
        <v>0.52299390711333571</v>
      </c>
      <c r="L2093" s="324"/>
      <c r="M2093" s="399"/>
    </row>
    <row r="2095" spans="2:13">
      <c r="B2095" s="240" t="s">
        <v>548</v>
      </c>
      <c r="C2095" s="240"/>
      <c r="E2095" s="240"/>
      <c r="F2095" s="240"/>
      <c r="G2095" s="240"/>
      <c r="H2095" s="240"/>
      <c r="I2095" s="240"/>
      <c r="J2095" s="240"/>
      <c r="K2095" s="240"/>
    </row>
    <row r="2096" spans="2:13" ht="17.25" thickBot="1">
      <c r="B2096" s="240" t="s">
        <v>452</v>
      </c>
      <c r="C2096" s="240"/>
      <c r="E2096" s="240"/>
      <c r="F2096" s="240"/>
      <c r="G2096" s="240"/>
      <c r="H2096" s="240"/>
      <c r="I2096" s="240"/>
      <c r="J2096" s="240"/>
      <c r="K2096" s="240"/>
    </row>
    <row r="2097" spans="2:13" ht="17.25" thickBot="1">
      <c r="B2097" s="313" t="s">
        <v>11</v>
      </c>
      <c r="C2097" s="250" t="s">
        <v>0</v>
      </c>
      <c r="D2097" s="250" t="s">
        <v>1</v>
      </c>
      <c r="E2097" s="250" t="s">
        <v>2</v>
      </c>
      <c r="F2097" s="250" t="s">
        <v>3</v>
      </c>
      <c r="G2097" s="250" t="s">
        <v>192</v>
      </c>
      <c r="H2097" s="250" t="s">
        <v>16</v>
      </c>
      <c r="I2097" s="250" t="s">
        <v>6</v>
      </c>
      <c r="J2097" s="251" t="s">
        <v>7</v>
      </c>
      <c r="K2097" s="252" t="s">
        <v>8</v>
      </c>
      <c r="L2097" s="254" t="s">
        <v>439</v>
      </c>
      <c r="M2097" s="404"/>
    </row>
    <row r="2098" spans="2:13">
      <c r="B2098" s="314">
        <v>1</v>
      </c>
      <c r="C2098" s="271" t="s">
        <v>389</v>
      </c>
      <c r="D2098" s="291" t="s">
        <v>213</v>
      </c>
      <c r="E2098" s="302">
        <v>4.0209999999999999</v>
      </c>
      <c r="F2098" s="302">
        <v>5.14</v>
      </c>
      <c r="G2098" s="302">
        <v>4.01586</v>
      </c>
      <c r="H2098" s="364">
        <v>6.0187109999999997</v>
      </c>
      <c r="I2098" s="287">
        <v>0.1366</v>
      </c>
      <c r="J2098" s="287">
        <v>0.10920000000000001</v>
      </c>
      <c r="K2098" s="286">
        <v>47.069597000000002</v>
      </c>
      <c r="L2098" s="275"/>
      <c r="M2098" s="397"/>
    </row>
    <row r="2099" spans="2:13">
      <c r="B2099" s="315">
        <v>2</v>
      </c>
      <c r="C2099" s="316"/>
      <c r="D2099" s="299" t="s">
        <v>214</v>
      </c>
      <c r="E2099" s="304">
        <v>4.0250000000000004</v>
      </c>
      <c r="F2099" s="304">
        <v>5.1479999999999997</v>
      </c>
      <c r="G2099" s="304">
        <v>4.0181129999999996</v>
      </c>
      <c r="H2099" s="370">
        <v>6.0021800000000001</v>
      </c>
      <c r="I2099" s="301">
        <v>0.13639999999999999</v>
      </c>
      <c r="J2099" s="301">
        <v>0.1095</v>
      </c>
      <c r="K2099" s="300">
        <v>47.013699000000003</v>
      </c>
      <c r="L2099" s="319"/>
      <c r="M2099" s="398"/>
    </row>
    <row r="2100" spans="2:13">
      <c r="B2100" s="315">
        <v>3</v>
      </c>
      <c r="C2100" s="320"/>
      <c r="D2100" s="299" t="s">
        <v>217</v>
      </c>
      <c r="E2100" s="304">
        <v>4.024</v>
      </c>
      <c r="F2100" s="304">
        <v>5.1340000000000003</v>
      </c>
      <c r="G2100" s="304">
        <v>4.0081819999999997</v>
      </c>
      <c r="H2100" s="370">
        <v>5.9873339999999997</v>
      </c>
      <c r="I2100" s="301">
        <v>0.13639999999999999</v>
      </c>
      <c r="J2100" s="301">
        <v>0.1096</v>
      </c>
      <c r="K2100" s="300">
        <v>46.843066</v>
      </c>
      <c r="L2100" s="356"/>
      <c r="M2100" s="400"/>
    </row>
    <row r="2101" spans="2:13">
      <c r="B2101" s="315">
        <v>4</v>
      </c>
      <c r="C2101" s="320"/>
      <c r="D2101" s="299" t="s">
        <v>218</v>
      </c>
      <c r="E2101" s="304">
        <v>4.0250000000000004</v>
      </c>
      <c r="F2101" s="304">
        <v>5.1349999999999998</v>
      </c>
      <c r="G2101" s="304">
        <v>4.0079659999999997</v>
      </c>
      <c r="H2101" s="370">
        <v>5.987101</v>
      </c>
      <c r="I2101" s="301">
        <v>0.13639999999999999</v>
      </c>
      <c r="J2101" s="301">
        <v>0.1096</v>
      </c>
      <c r="K2101" s="300">
        <v>46.85219</v>
      </c>
      <c r="L2101" s="356"/>
      <c r="M2101" s="400"/>
    </row>
    <row r="2102" spans="2:13" ht="17.25" thickBot="1">
      <c r="B2102" s="322">
        <v>5</v>
      </c>
      <c r="C2102" s="323"/>
      <c r="D2102" s="293" t="s">
        <v>240</v>
      </c>
      <c r="E2102" s="371">
        <v>4.0220000000000002</v>
      </c>
      <c r="F2102" s="371">
        <v>5.1120000000000001</v>
      </c>
      <c r="G2102" s="371">
        <v>3.992991</v>
      </c>
      <c r="H2102" s="372">
        <v>5.9694450000000003</v>
      </c>
      <c r="I2102" s="289">
        <v>0.13650000000000001</v>
      </c>
      <c r="J2102" s="289">
        <v>0.10920000000000001</v>
      </c>
      <c r="K2102" s="288">
        <v>46.813186999999999</v>
      </c>
      <c r="L2102" s="324"/>
      <c r="M2102" s="399"/>
    </row>
    <row r="2103" spans="2:13" ht="17.25" thickBot="1">
      <c r="B2103" s="325"/>
      <c r="C2103" s="326"/>
      <c r="D2103" s="327" t="s">
        <v>463</v>
      </c>
      <c r="E2103" s="328">
        <f>AVERAGE(E2098:E2102)</f>
        <v>4.0233999999999996</v>
      </c>
      <c r="F2103" s="328">
        <f t="shared" ref="F2103:K2103" si="601">AVERAGE(F2098:F2102)</f>
        <v>5.1338000000000008</v>
      </c>
      <c r="G2103" s="328">
        <f t="shared" si="601"/>
        <v>4.0086223999999993</v>
      </c>
      <c r="H2103" s="373">
        <f t="shared" si="601"/>
        <v>5.9929541999999998</v>
      </c>
      <c r="I2103" s="329">
        <f t="shared" si="601"/>
        <v>0.13645999999999997</v>
      </c>
      <c r="J2103" s="329">
        <f t="shared" si="601"/>
        <v>0.10942</v>
      </c>
      <c r="K2103" s="330">
        <f t="shared" si="601"/>
        <v>46.918347800000006</v>
      </c>
      <c r="L2103" s="331"/>
      <c r="M2103" s="399"/>
    </row>
    <row r="2104" spans="2:13">
      <c r="B2104" s="314">
        <v>6</v>
      </c>
      <c r="C2104" s="271" t="s">
        <v>546</v>
      </c>
      <c r="D2104" s="291" t="s">
        <v>241</v>
      </c>
      <c r="E2104" s="302">
        <v>4.008</v>
      </c>
      <c r="F2104" s="302">
        <v>5.1369999999999996</v>
      </c>
      <c r="G2104" s="302">
        <v>4.0265339999999998</v>
      </c>
      <c r="H2104" s="364">
        <v>5.9520670000000004</v>
      </c>
      <c r="I2104" s="287">
        <v>0.13619999999999999</v>
      </c>
      <c r="J2104" s="287">
        <v>0.1109</v>
      </c>
      <c r="K2104" s="286">
        <v>46.321010000000001</v>
      </c>
      <c r="L2104" s="332"/>
      <c r="M2104" s="399"/>
    </row>
    <row r="2105" spans="2:13">
      <c r="B2105" s="315">
        <v>7</v>
      </c>
      <c r="C2105" s="320"/>
      <c r="D2105" s="299" t="s">
        <v>242</v>
      </c>
      <c r="E2105" s="304">
        <v>4.0140000000000002</v>
      </c>
      <c r="F2105" s="304">
        <v>5.1349999999999998</v>
      </c>
      <c r="G2105" s="304">
        <v>4.0189500000000002</v>
      </c>
      <c r="H2105" s="370">
        <v>5.9363330000000003</v>
      </c>
      <c r="I2105" s="301">
        <v>0.13600000000000001</v>
      </c>
      <c r="J2105" s="301">
        <v>0.11119999999999999</v>
      </c>
      <c r="K2105" s="300">
        <v>46.178058</v>
      </c>
      <c r="L2105" s="321"/>
      <c r="M2105" s="399"/>
    </row>
    <row r="2106" spans="2:13">
      <c r="B2106" s="315">
        <v>8</v>
      </c>
      <c r="C2106" s="320"/>
      <c r="D2106" s="299" t="s">
        <v>222</v>
      </c>
      <c r="E2106" s="304">
        <v>4.016</v>
      </c>
      <c r="F2106" s="304">
        <v>5.133</v>
      </c>
      <c r="G2106" s="304">
        <v>4.0153840000000001</v>
      </c>
      <c r="H2106" s="370">
        <v>5.9250420000000004</v>
      </c>
      <c r="I2106" s="301">
        <v>0.1361</v>
      </c>
      <c r="J2106" s="301">
        <v>0.1113</v>
      </c>
      <c r="K2106" s="300">
        <v>46.118597999999999</v>
      </c>
      <c r="L2106" s="321"/>
      <c r="M2106" s="399"/>
    </row>
    <row r="2107" spans="2:13">
      <c r="B2107" s="315">
        <v>9</v>
      </c>
      <c r="C2107" s="320"/>
      <c r="D2107" s="299" t="s">
        <v>223</v>
      </c>
      <c r="E2107" s="304">
        <v>4.0119999999999996</v>
      </c>
      <c r="F2107" s="304">
        <v>5.1189999999999998</v>
      </c>
      <c r="G2107" s="304">
        <v>4.0084249999999999</v>
      </c>
      <c r="H2107" s="370">
        <v>5.9136389999999999</v>
      </c>
      <c r="I2107" s="301">
        <v>0.13600000000000001</v>
      </c>
      <c r="J2107" s="301">
        <v>0.1111</v>
      </c>
      <c r="K2107" s="300">
        <v>46.075608000000003</v>
      </c>
      <c r="L2107" s="321"/>
      <c r="M2107" s="399"/>
    </row>
    <row r="2108" spans="2:13" ht="17.25" thickBot="1">
      <c r="B2108" s="322">
        <v>10</v>
      </c>
      <c r="C2108" s="323"/>
      <c r="D2108" s="293" t="s">
        <v>243</v>
      </c>
      <c r="E2108" s="371">
        <v>4.01</v>
      </c>
      <c r="F2108" s="371">
        <v>5.1029999999999998</v>
      </c>
      <c r="G2108" s="371">
        <v>3.9978889999999998</v>
      </c>
      <c r="H2108" s="372">
        <v>5.9104469999999996</v>
      </c>
      <c r="I2108" s="289">
        <v>0.13619999999999999</v>
      </c>
      <c r="J2108" s="289">
        <v>0.1109</v>
      </c>
      <c r="K2108" s="288">
        <v>46.014426999999998</v>
      </c>
      <c r="L2108" s="324"/>
      <c r="M2108" s="399"/>
    </row>
    <row r="2109" spans="2:13" ht="17.25" thickBot="1">
      <c r="B2109" s="325" t="s">
        <v>455</v>
      </c>
      <c r="C2109" s="326"/>
      <c r="D2109" s="327" t="s">
        <v>463</v>
      </c>
      <c r="E2109" s="328">
        <f t="shared" ref="E2109:K2109" si="602">AVERAGE(E2104:E2108)</f>
        <v>4.0120000000000005</v>
      </c>
      <c r="F2109" s="328">
        <f t="shared" si="602"/>
        <v>5.1253999999999991</v>
      </c>
      <c r="G2109" s="328">
        <f t="shared" si="602"/>
        <v>4.0134363999999998</v>
      </c>
      <c r="H2109" s="373">
        <f t="shared" si="602"/>
        <v>5.9275056000000008</v>
      </c>
      <c r="I2109" s="329">
        <f t="shared" si="602"/>
        <v>0.1361</v>
      </c>
      <c r="J2109" s="329">
        <f t="shared" si="602"/>
        <v>0.11108</v>
      </c>
      <c r="K2109" s="330">
        <f t="shared" si="602"/>
        <v>46.141540199999994</v>
      </c>
      <c r="L2109" s="331"/>
      <c r="M2109" s="399"/>
    </row>
    <row r="2110" spans="2:13">
      <c r="B2110" s="333">
        <v>11</v>
      </c>
      <c r="C2110" s="271" t="s">
        <v>389</v>
      </c>
      <c r="D2110" s="291" t="s">
        <v>244</v>
      </c>
      <c r="E2110" s="302">
        <v>4.0019999999999998</v>
      </c>
      <c r="F2110" s="302">
        <v>5.0919999999999996</v>
      </c>
      <c r="G2110" s="302">
        <v>3.9972449999999999</v>
      </c>
      <c r="H2110" s="302">
        <v>5.9358219999999999</v>
      </c>
      <c r="I2110" s="287">
        <v>0.13650000000000001</v>
      </c>
      <c r="J2110" s="287">
        <v>0.10970000000000001</v>
      </c>
      <c r="K2110" s="286">
        <v>46.417501999999999</v>
      </c>
      <c r="L2110" s="332"/>
      <c r="M2110" s="399"/>
    </row>
    <row r="2111" spans="2:13">
      <c r="B2111" s="335">
        <v>12</v>
      </c>
      <c r="C2111" s="316"/>
      <c r="D2111" s="299" t="s">
        <v>245</v>
      </c>
      <c r="E2111" s="304">
        <v>4.0129999999999999</v>
      </c>
      <c r="F2111" s="304">
        <v>5.1059999999999999</v>
      </c>
      <c r="G2111" s="304">
        <v>3.9972490000000001</v>
      </c>
      <c r="H2111" s="304">
        <v>5.9462070000000002</v>
      </c>
      <c r="I2111" s="301">
        <v>0.13639999999999999</v>
      </c>
      <c r="J2111" s="301">
        <v>0.1101</v>
      </c>
      <c r="K2111" s="300">
        <v>46.376021999999999</v>
      </c>
      <c r="L2111" s="321"/>
      <c r="M2111" s="399"/>
    </row>
    <row r="2112" spans="2:13">
      <c r="B2112" s="335">
        <v>13</v>
      </c>
      <c r="C2112" s="320"/>
      <c r="D2112" s="299" t="s">
        <v>227</v>
      </c>
      <c r="E2112" s="304">
        <v>4.0149999999999997</v>
      </c>
      <c r="F2112" s="304">
        <v>5.0960000000000001</v>
      </c>
      <c r="G2112" s="304">
        <v>3.9874329999999998</v>
      </c>
      <c r="H2112" s="304">
        <v>5.9168830000000003</v>
      </c>
      <c r="I2112" s="301">
        <v>0.1363</v>
      </c>
      <c r="J2112" s="301">
        <v>0.11020000000000001</v>
      </c>
      <c r="K2112" s="300">
        <v>46.243194000000003</v>
      </c>
      <c r="L2112" s="321"/>
      <c r="M2112" s="399"/>
    </row>
    <row r="2113" spans="2:13">
      <c r="B2113" s="335">
        <v>14</v>
      </c>
      <c r="C2113" s="320"/>
      <c r="D2113" s="299" t="s">
        <v>228</v>
      </c>
      <c r="E2113" s="304">
        <v>4.0129999999999999</v>
      </c>
      <c r="F2113" s="304">
        <v>5.09</v>
      </c>
      <c r="G2113" s="304">
        <v>3.9847229999999998</v>
      </c>
      <c r="H2113" s="304">
        <v>5.9214719999999996</v>
      </c>
      <c r="I2113" s="301">
        <v>0.13639999999999999</v>
      </c>
      <c r="J2113" s="301">
        <v>0.1101</v>
      </c>
      <c r="K2113" s="300">
        <v>46.230699000000001</v>
      </c>
      <c r="L2113" s="321"/>
      <c r="M2113" s="399"/>
    </row>
    <row r="2114" spans="2:13" ht="17.25" thickBot="1">
      <c r="B2114" s="336">
        <v>15</v>
      </c>
      <c r="C2114" s="323"/>
      <c r="D2114" s="293" t="s">
        <v>246</v>
      </c>
      <c r="E2114" s="371">
        <v>4.0069999999999997</v>
      </c>
      <c r="F2114" s="371">
        <v>5.0739999999999998</v>
      </c>
      <c r="G2114" s="371">
        <v>3.978145</v>
      </c>
      <c r="H2114" s="371">
        <v>5.9038089999999999</v>
      </c>
      <c r="I2114" s="289">
        <v>0.13650000000000001</v>
      </c>
      <c r="J2114" s="289">
        <v>0.10979999999999999</v>
      </c>
      <c r="K2114" s="288">
        <v>46.211292999999998</v>
      </c>
      <c r="L2114" s="324"/>
      <c r="M2114" s="399"/>
    </row>
    <row r="2115" spans="2:13" ht="17.25" thickBot="1">
      <c r="B2115" s="337"/>
      <c r="C2115" s="326"/>
      <c r="D2115" s="327" t="s">
        <v>463</v>
      </c>
      <c r="E2115" s="328">
        <f>AVERAGE(E2110:E2114)</f>
        <v>4.01</v>
      </c>
      <c r="F2115" s="328">
        <f t="shared" ref="F2115:K2115" si="603">AVERAGE(F2110:F2114)</f>
        <v>5.0915999999999997</v>
      </c>
      <c r="G2115" s="328">
        <f t="shared" si="603"/>
        <v>3.9889589999999999</v>
      </c>
      <c r="H2115" s="328">
        <f t="shared" si="603"/>
        <v>5.9248386000000002</v>
      </c>
      <c r="I2115" s="329">
        <f t="shared" si="603"/>
        <v>0.13641999999999999</v>
      </c>
      <c r="J2115" s="329">
        <f t="shared" si="603"/>
        <v>0.10998000000000001</v>
      </c>
      <c r="K2115" s="330">
        <f t="shared" si="603"/>
        <v>46.295742000000004</v>
      </c>
      <c r="L2115" s="331"/>
      <c r="M2115" s="399"/>
    </row>
    <row r="2116" spans="2:13">
      <c r="B2116" s="333">
        <v>16</v>
      </c>
      <c r="C2116" s="271" t="s">
        <v>546</v>
      </c>
      <c r="D2116" s="291" t="s">
        <v>247</v>
      </c>
      <c r="E2116" s="302">
        <v>4.0030000000000001</v>
      </c>
      <c r="F2116" s="302">
        <v>5.0919999999999996</v>
      </c>
      <c r="G2116" s="302">
        <v>3.9962469999999999</v>
      </c>
      <c r="H2116" s="302">
        <v>5.8849010000000002</v>
      </c>
      <c r="I2116" s="287">
        <v>0.13619999999999999</v>
      </c>
      <c r="J2116" s="287">
        <v>0.1109</v>
      </c>
      <c r="K2116" s="286">
        <v>45.915239</v>
      </c>
      <c r="L2116" s="359"/>
      <c r="M2116" s="401"/>
    </row>
    <row r="2117" spans="2:13">
      <c r="B2117" s="335">
        <v>17</v>
      </c>
      <c r="C2117" s="320"/>
      <c r="D2117" s="299" t="s">
        <v>248</v>
      </c>
      <c r="E2117" s="304">
        <v>4.0069999999999997</v>
      </c>
      <c r="F2117" s="304">
        <v>5.1180000000000003</v>
      </c>
      <c r="G2117" s="304">
        <v>4.0126419999999996</v>
      </c>
      <c r="H2117" s="304">
        <v>5.9003909999999999</v>
      </c>
      <c r="I2117" s="301">
        <v>0.1361</v>
      </c>
      <c r="J2117" s="301">
        <v>0.11119999999999999</v>
      </c>
      <c r="K2117" s="300">
        <v>46.025179999999999</v>
      </c>
      <c r="L2117" s="321"/>
      <c r="M2117" s="399"/>
    </row>
    <row r="2118" spans="2:13">
      <c r="B2118" s="335">
        <v>18</v>
      </c>
      <c r="C2118" s="320"/>
      <c r="D2118" s="299" t="s">
        <v>232</v>
      </c>
      <c r="E2118" s="304">
        <v>4.01</v>
      </c>
      <c r="F2118" s="304">
        <v>5.1029999999999998</v>
      </c>
      <c r="G2118" s="304">
        <v>3.9978889999999998</v>
      </c>
      <c r="H2118" s="304">
        <v>5.8996449999999996</v>
      </c>
      <c r="I2118" s="301">
        <v>0.13600000000000001</v>
      </c>
      <c r="J2118" s="301">
        <v>0.1113</v>
      </c>
      <c r="K2118" s="300">
        <v>45.849057000000002</v>
      </c>
      <c r="L2118" s="321"/>
      <c r="M2118" s="399"/>
    </row>
    <row r="2119" spans="2:13">
      <c r="B2119" s="335">
        <v>19</v>
      </c>
      <c r="C2119" s="320"/>
      <c r="D2119" s="299" t="s">
        <v>233</v>
      </c>
      <c r="E2119" s="304">
        <v>4.01</v>
      </c>
      <c r="F2119" s="304">
        <v>5.0789999999999997</v>
      </c>
      <c r="G2119" s="304">
        <v>3.9790860000000001</v>
      </c>
      <c r="H2119" s="304">
        <v>5.8779519999999996</v>
      </c>
      <c r="I2119" s="301">
        <v>0.1361</v>
      </c>
      <c r="J2119" s="301">
        <v>0.11119999999999999</v>
      </c>
      <c r="K2119" s="300">
        <v>45.674460000000003</v>
      </c>
      <c r="L2119" s="321"/>
      <c r="M2119" s="399"/>
    </row>
    <row r="2120" spans="2:13" ht="17.25" thickBot="1">
      <c r="B2120" s="336">
        <v>20</v>
      </c>
      <c r="C2120" s="323"/>
      <c r="D2120" s="293" t="s">
        <v>249</v>
      </c>
      <c r="E2120" s="371">
        <v>4.0039999999999996</v>
      </c>
      <c r="F2120" s="371">
        <v>5.0720000000000001</v>
      </c>
      <c r="G2120" s="371">
        <v>3.9795569999999998</v>
      </c>
      <c r="H2120" s="371">
        <v>5.8727289999999996</v>
      </c>
      <c r="I2120" s="289">
        <v>0.13619999999999999</v>
      </c>
      <c r="J2120" s="289">
        <v>0.1108</v>
      </c>
      <c r="K2120" s="288">
        <v>45.776173</v>
      </c>
      <c r="L2120" s="324"/>
      <c r="M2120" s="399"/>
    </row>
    <row r="2121" spans="2:13" ht="17.25" thickBot="1">
      <c r="B2121" s="337"/>
      <c r="C2121" s="326"/>
      <c r="D2121" s="327" t="s">
        <v>463</v>
      </c>
      <c r="E2121" s="328">
        <f>AVERAGE(E2116:E2120)</f>
        <v>4.0068000000000001</v>
      </c>
      <c r="F2121" s="328">
        <f t="shared" ref="F2121:K2121" si="604">AVERAGE(F2116:F2120)</f>
        <v>5.0927999999999995</v>
      </c>
      <c r="G2121" s="328">
        <f t="shared" si="604"/>
        <v>3.9930841999999998</v>
      </c>
      <c r="H2121" s="328">
        <f t="shared" si="604"/>
        <v>5.8871235999999998</v>
      </c>
      <c r="I2121" s="329">
        <f t="shared" si="604"/>
        <v>0.13611999999999999</v>
      </c>
      <c r="J2121" s="329">
        <f t="shared" si="604"/>
        <v>0.11108</v>
      </c>
      <c r="K2121" s="328">
        <f t="shared" si="604"/>
        <v>45.848021799999998</v>
      </c>
      <c r="L2121" s="331"/>
      <c r="M2121" s="399"/>
    </row>
    <row r="2122" spans="2:13">
      <c r="B2122" s="333">
        <v>21</v>
      </c>
      <c r="C2122" s="271" t="s">
        <v>547</v>
      </c>
      <c r="D2122" s="291" t="s">
        <v>250</v>
      </c>
      <c r="E2122" s="302">
        <v>4</v>
      </c>
      <c r="F2122" s="302">
        <v>5.0759999999999996</v>
      </c>
      <c r="G2122" s="302">
        <v>3.9866779999999999</v>
      </c>
      <c r="H2122" s="302">
        <v>5.9000729999999999</v>
      </c>
      <c r="I2122" s="287">
        <v>0.1363</v>
      </c>
      <c r="J2122" s="287">
        <v>0.1105</v>
      </c>
      <c r="K2122" s="286">
        <v>45.936652000000002</v>
      </c>
      <c r="L2122" s="332"/>
      <c r="M2122" s="399"/>
    </row>
    <row r="2123" spans="2:13">
      <c r="B2123" s="335">
        <v>22</v>
      </c>
      <c r="C2123" s="320"/>
      <c r="D2123" s="299" t="s">
        <v>251</v>
      </c>
      <c r="E2123" s="304">
        <v>4.0049999999999999</v>
      </c>
      <c r="F2123" s="304">
        <v>5.0970000000000004</v>
      </c>
      <c r="G2123" s="304">
        <v>3.998173</v>
      </c>
      <c r="H2123" s="304">
        <v>5.8955799999999998</v>
      </c>
      <c r="I2123" s="301">
        <v>0.13619999999999999</v>
      </c>
      <c r="J2123" s="301">
        <v>0.1109</v>
      </c>
      <c r="K2123" s="300">
        <v>45.960324999999997</v>
      </c>
      <c r="L2123" s="321"/>
      <c r="M2123" s="399"/>
    </row>
    <row r="2124" spans="2:13">
      <c r="B2124" s="335">
        <v>23</v>
      </c>
      <c r="C2124" s="320"/>
      <c r="D2124" s="299" t="s">
        <v>237</v>
      </c>
      <c r="E2124" s="304">
        <v>4.0060000000000002</v>
      </c>
      <c r="F2124" s="304">
        <v>5.0979999999999999</v>
      </c>
      <c r="G2124" s="304">
        <v>3.99796</v>
      </c>
      <c r="H2124" s="304">
        <v>5.8831730000000002</v>
      </c>
      <c r="I2124" s="301">
        <v>0.1361</v>
      </c>
      <c r="J2124" s="301">
        <v>0.111</v>
      </c>
      <c r="K2124" s="300">
        <v>45.927928000000001</v>
      </c>
      <c r="L2124" s="321"/>
      <c r="M2124" s="399"/>
    </row>
    <row r="2125" spans="2:13">
      <c r="B2125" s="335">
        <v>24</v>
      </c>
      <c r="C2125" s="320"/>
      <c r="D2125" s="299" t="s">
        <v>238</v>
      </c>
      <c r="E2125" s="304">
        <v>4.0039999999999996</v>
      </c>
      <c r="F2125" s="304">
        <v>5.09</v>
      </c>
      <c r="G2125" s="304">
        <v>3.9936799999999999</v>
      </c>
      <c r="H2125" s="304">
        <v>5.8892319999999998</v>
      </c>
      <c r="I2125" s="301">
        <v>0.1363</v>
      </c>
      <c r="J2125" s="301">
        <v>0.1109</v>
      </c>
      <c r="K2125" s="300">
        <v>45.897205</v>
      </c>
      <c r="L2125" s="321"/>
      <c r="M2125" s="399"/>
    </row>
    <row r="2126" spans="2:13" ht="17.25" thickBot="1">
      <c r="B2126" s="336">
        <v>25</v>
      </c>
      <c r="C2126" s="323"/>
      <c r="D2126" s="293" t="s">
        <v>252</v>
      </c>
      <c r="E2126" s="371">
        <v>3.9969999999999999</v>
      </c>
      <c r="F2126" s="371">
        <v>5.05</v>
      </c>
      <c r="G2126" s="371">
        <v>3.9692340000000002</v>
      </c>
      <c r="H2126" s="371">
        <v>5.8583129999999999</v>
      </c>
      <c r="I2126" s="289">
        <v>0.1363</v>
      </c>
      <c r="J2126" s="289">
        <v>0.1106</v>
      </c>
      <c r="K2126" s="288">
        <v>45.660035999999998</v>
      </c>
      <c r="L2126" s="324"/>
      <c r="M2126" s="399"/>
    </row>
    <row r="2127" spans="2:13" ht="17.25" thickBot="1">
      <c r="B2127" s="339" t="s">
        <v>455</v>
      </c>
      <c r="C2127" s="340"/>
      <c r="D2127" s="341" t="s">
        <v>465</v>
      </c>
      <c r="E2127" s="342">
        <f>AVERAGE(E2122:E2126)</f>
        <v>4.0023999999999997</v>
      </c>
      <c r="F2127" s="342">
        <f t="shared" ref="F2127:K2127" si="605">AVERAGE(F2122:F2126)</f>
        <v>5.0822000000000003</v>
      </c>
      <c r="G2127" s="342">
        <f t="shared" si="605"/>
        <v>3.9891449999999997</v>
      </c>
      <c r="H2127" s="342">
        <f t="shared" si="605"/>
        <v>5.8852741999999996</v>
      </c>
      <c r="I2127" s="343">
        <f t="shared" si="605"/>
        <v>0.13623999999999997</v>
      </c>
      <c r="J2127" s="343">
        <f t="shared" si="605"/>
        <v>0.11077999999999999</v>
      </c>
      <c r="K2127" s="342">
        <f t="shared" si="605"/>
        <v>45.876429199999997</v>
      </c>
      <c r="L2127" s="344"/>
      <c r="M2127" s="399"/>
    </row>
    <row r="2128" spans="2:13">
      <c r="B2128" s="333"/>
      <c r="C2128" s="345"/>
      <c r="D2128" s="291" t="s">
        <v>458</v>
      </c>
      <c r="E2128" s="346">
        <f>MEDIAN(E2098:E2102,E2104:E2108,E2110:E2114,E2116:E2120,E2122:E2126)</f>
        <v>4.01</v>
      </c>
      <c r="F2128" s="346">
        <f t="shared" ref="F2128:K2128" si="606">MEDIAN(F2098:F2102,F2104:F2108,F2110:F2114,F2116:F2120,F2122:F2126)</f>
        <v>5.1029999999999998</v>
      </c>
      <c r="G2128" s="346">
        <f t="shared" si="606"/>
        <v>3.9978889999999998</v>
      </c>
      <c r="H2128" s="346">
        <f t="shared" si="606"/>
        <v>5.9136389999999999</v>
      </c>
      <c r="I2128" s="347">
        <f t="shared" si="606"/>
        <v>0.1363</v>
      </c>
      <c r="J2128" s="347">
        <f t="shared" si="606"/>
        <v>0.1108</v>
      </c>
      <c r="K2128" s="348">
        <f t="shared" si="606"/>
        <v>46.118597999999999</v>
      </c>
      <c r="L2128" s="332"/>
      <c r="M2128" s="399"/>
    </row>
    <row r="2129" spans="2:13">
      <c r="B2129" s="335"/>
      <c r="C2129" s="320"/>
      <c r="D2129" s="299" t="s">
        <v>457</v>
      </c>
      <c r="E2129" s="349">
        <f>AVERAGE(E2098:E2102,E2104:E2108,E2110:E2114,E2116:E2120,E2122:E2126)</f>
        <v>4.0109200000000005</v>
      </c>
      <c r="F2129" s="349">
        <f t="shared" ref="F2129:K2129" si="607">AVERAGE(F2098:F2102,F2104:F2108,F2110:F2114,F2116:F2120,F2122:F2126)</f>
        <v>5.1051599999999988</v>
      </c>
      <c r="G2129" s="349">
        <f t="shared" si="607"/>
        <v>3.9986493999999997</v>
      </c>
      <c r="H2129" s="349">
        <f t="shared" si="607"/>
        <v>5.9235392399999993</v>
      </c>
      <c r="I2129" s="350">
        <f t="shared" si="607"/>
        <v>0.136268</v>
      </c>
      <c r="J2129" s="350">
        <f t="shared" si="607"/>
        <v>0.110468</v>
      </c>
      <c r="K2129" s="351">
        <f t="shared" si="607"/>
        <v>46.216016199999991</v>
      </c>
      <c r="L2129" s="321"/>
      <c r="M2129" s="399"/>
    </row>
    <row r="2130" spans="2:13">
      <c r="B2130" s="335"/>
      <c r="C2130" s="320"/>
      <c r="D2130" s="299" t="s">
        <v>199</v>
      </c>
      <c r="E2130" s="349">
        <f>MAX(E2098:E2102,E2104:E2108,E2110:E2114,E2116:E2120,E2122:E2126)</f>
        <v>4.0250000000000004</v>
      </c>
      <c r="F2130" s="349">
        <f t="shared" ref="F2130:K2130" si="608">MAX(F2098:F2102,F2104:F2108,F2110:F2114,F2116:F2120,F2122:F2126)</f>
        <v>5.1479999999999997</v>
      </c>
      <c r="G2130" s="349">
        <f t="shared" si="608"/>
        <v>4.0265339999999998</v>
      </c>
      <c r="H2130" s="349">
        <f t="shared" si="608"/>
        <v>6.0187109999999997</v>
      </c>
      <c r="I2130" s="350">
        <f t="shared" si="608"/>
        <v>0.1366</v>
      </c>
      <c r="J2130" s="350">
        <f t="shared" si="608"/>
        <v>0.1113</v>
      </c>
      <c r="K2130" s="351">
        <f t="shared" si="608"/>
        <v>47.069597000000002</v>
      </c>
      <c r="L2130" s="321"/>
      <c r="M2130" s="399"/>
    </row>
    <row r="2131" spans="2:13">
      <c r="B2131" s="335"/>
      <c r="C2131" s="320"/>
      <c r="D2131" s="299" t="s">
        <v>200</v>
      </c>
      <c r="E2131" s="349">
        <f>MIN(E2098:E2102,E2104:E2108,E2110:E2114,E2116:E2120,E2122:E2126)</f>
        <v>3.9969999999999999</v>
      </c>
      <c r="F2131" s="349">
        <f t="shared" ref="F2131:K2131" si="609">MIN(F2098:F2102,F2104:F2108,F2110:F2114,F2116:F2120,F2122:F2126)</f>
        <v>5.05</v>
      </c>
      <c r="G2131" s="349">
        <f t="shared" si="609"/>
        <v>3.9692340000000002</v>
      </c>
      <c r="H2131" s="349">
        <f t="shared" si="609"/>
        <v>5.8583129999999999</v>
      </c>
      <c r="I2131" s="350">
        <f t="shared" si="609"/>
        <v>0.13600000000000001</v>
      </c>
      <c r="J2131" s="350">
        <f t="shared" si="609"/>
        <v>0.10920000000000001</v>
      </c>
      <c r="K2131" s="351">
        <f t="shared" si="609"/>
        <v>45.660035999999998</v>
      </c>
      <c r="L2131" s="321"/>
      <c r="M2131" s="399"/>
    </row>
    <row r="2132" spans="2:13">
      <c r="B2132" s="335"/>
      <c r="C2132" s="320"/>
      <c r="D2132" s="299" t="s">
        <v>201</v>
      </c>
      <c r="E2132" s="349">
        <f>E2130-E2131</f>
        <v>2.8000000000000469E-2</v>
      </c>
      <c r="F2132" s="349">
        <f t="shared" ref="F2132:K2132" si="610">F2130-F2131</f>
        <v>9.7999999999999865E-2</v>
      </c>
      <c r="G2132" s="349">
        <f t="shared" si="610"/>
        <v>5.7299999999999685E-2</v>
      </c>
      <c r="H2132" s="349">
        <f t="shared" si="610"/>
        <v>0.16039799999999982</v>
      </c>
      <c r="I2132" s="350">
        <f t="shared" si="610"/>
        <v>5.9999999999998943E-4</v>
      </c>
      <c r="J2132" s="350">
        <f t="shared" si="610"/>
        <v>2.0999999999999908E-3</v>
      </c>
      <c r="K2132" s="349">
        <f t="shared" si="610"/>
        <v>1.4095610000000036</v>
      </c>
      <c r="L2132" s="321"/>
      <c r="M2132" s="399"/>
    </row>
    <row r="2133" spans="2:13" ht="17.25" thickBot="1">
      <c r="B2133" s="336"/>
      <c r="C2133" s="323"/>
      <c r="D2133" s="293" t="s">
        <v>202</v>
      </c>
      <c r="E2133" s="352">
        <f>STDEVA(E2098:E2102,E2104:E2108,E2110:E2114,E2116:E2120,E2122:E2126)</f>
        <v>7.9210689514316937E-3</v>
      </c>
      <c r="F2133" s="352">
        <f t="shared" ref="F2133:K2133" si="611">STDEVA(F2098:F2102,F2104:F2108,F2110:F2114,F2116:F2120,F2122:F2126)</f>
        <v>2.5429117169103618E-2</v>
      </c>
      <c r="G2133" s="352">
        <f t="shared" si="611"/>
        <v>1.4688513874226082E-2</v>
      </c>
      <c r="H2133" s="352">
        <f t="shared" si="611"/>
        <v>4.2555757968497504E-2</v>
      </c>
      <c r="I2133" s="353">
        <f t="shared" si="611"/>
        <v>1.7253019059476721E-4</v>
      </c>
      <c r="J2133" s="353">
        <f t="shared" si="611"/>
        <v>7.0042844031349564E-4</v>
      </c>
      <c r="K2133" s="352">
        <f t="shared" si="611"/>
        <v>0.41101314207709161</v>
      </c>
      <c r="L2133" s="324"/>
      <c r="M2133" s="399"/>
    </row>
    <row r="2135" spans="2:13">
      <c r="B2135" s="240" t="s">
        <v>549</v>
      </c>
      <c r="C2135" s="240"/>
      <c r="E2135" s="240"/>
      <c r="F2135" s="240"/>
      <c r="G2135" s="240"/>
      <c r="H2135" s="240"/>
      <c r="I2135" s="240"/>
      <c r="J2135" s="240"/>
      <c r="K2135" s="240"/>
    </row>
    <row r="2136" spans="2:13" ht="17.25" thickBot="1">
      <c r="B2136" s="240" t="s">
        <v>452</v>
      </c>
      <c r="C2136" s="240"/>
      <c r="E2136" s="240"/>
      <c r="F2136" s="240"/>
      <c r="G2136" s="240"/>
      <c r="H2136" s="240"/>
      <c r="I2136" s="240"/>
      <c r="J2136" s="240"/>
      <c r="K2136" s="240"/>
    </row>
    <row r="2137" spans="2:13" ht="17.25" thickBot="1">
      <c r="B2137" s="313" t="s">
        <v>11</v>
      </c>
      <c r="C2137" s="250" t="s">
        <v>0</v>
      </c>
      <c r="D2137" s="250" t="s">
        <v>1</v>
      </c>
      <c r="E2137" s="250" t="s">
        <v>2</v>
      </c>
      <c r="F2137" s="250" t="s">
        <v>3</v>
      </c>
      <c r="G2137" s="250" t="s">
        <v>192</v>
      </c>
      <c r="H2137" s="250" t="s">
        <v>16</v>
      </c>
      <c r="I2137" s="250" t="s">
        <v>6</v>
      </c>
      <c r="J2137" s="251" t="s">
        <v>7</v>
      </c>
      <c r="K2137" s="252" t="s">
        <v>8</v>
      </c>
      <c r="L2137" s="254" t="s">
        <v>439</v>
      </c>
      <c r="M2137" s="404"/>
    </row>
    <row r="2138" spans="2:13">
      <c r="B2138" s="314">
        <v>1</v>
      </c>
      <c r="C2138" s="271" t="s">
        <v>389</v>
      </c>
      <c r="D2138" s="291" t="s">
        <v>213</v>
      </c>
      <c r="E2138" s="302">
        <v>4.0179999999999998</v>
      </c>
      <c r="F2138" s="302">
        <v>4.9889999999999999</v>
      </c>
      <c r="G2138" s="302">
        <v>3.900795</v>
      </c>
      <c r="H2138" s="364">
        <v>5.8700729999999997</v>
      </c>
      <c r="I2138" s="287">
        <v>0.1384</v>
      </c>
      <c r="J2138" s="287">
        <v>0.10680000000000001</v>
      </c>
      <c r="K2138" s="286">
        <v>46.713482999999997</v>
      </c>
      <c r="L2138" s="275"/>
      <c r="M2138" s="397"/>
    </row>
    <row r="2139" spans="2:13">
      <c r="B2139" s="315">
        <v>2</v>
      </c>
      <c r="C2139" s="316"/>
      <c r="D2139" s="299" t="s">
        <v>214</v>
      </c>
      <c r="E2139" s="304">
        <v>4.0149999999999997</v>
      </c>
      <c r="F2139" s="304">
        <v>4.9489999999999998</v>
      </c>
      <c r="G2139" s="304">
        <v>3.872411</v>
      </c>
      <c r="H2139" s="370">
        <v>5.8191769999999998</v>
      </c>
      <c r="I2139" s="301">
        <v>0.13819999999999999</v>
      </c>
      <c r="J2139" s="301">
        <v>0.1067</v>
      </c>
      <c r="K2139" s="300">
        <v>46.382381000000002</v>
      </c>
      <c r="L2139" s="319"/>
      <c r="M2139" s="398"/>
    </row>
    <row r="2140" spans="2:13">
      <c r="B2140" s="315">
        <v>3</v>
      </c>
      <c r="C2140" s="320"/>
      <c r="D2140" s="299" t="s">
        <v>217</v>
      </c>
      <c r="E2140" s="304">
        <v>4.0199999999999996</v>
      </c>
      <c r="F2140" s="304">
        <v>4.9880000000000004</v>
      </c>
      <c r="G2140" s="304">
        <v>3.898072</v>
      </c>
      <c r="H2140" s="370">
        <v>5.8588209999999998</v>
      </c>
      <c r="I2140" s="301">
        <v>0.13819999999999999</v>
      </c>
      <c r="J2140" s="301">
        <v>0.10680000000000001</v>
      </c>
      <c r="K2140" s="300">
        <v>46.704120000000003</v>
      </c>
      <c r="L2140" s="356"/>
      <c r="M2140" s="400"/>
    </row>
    <row r="2141" spans="2:13">
      <c r="B2141" s="315">
        <v>4</v>
      </c>
      <c r="C2141" s="320"/>
      <c r="D2141" s="299" t="s">
        <v>218</v>
      </c>
      <c r="E2141" s="304">
        <v>4.0209999999999999</v>
      </c>
      <c r="F2141" s="304">
        <v>5.0110000000000001</v>
      </c>
      <c r="G2141" s="304">
        <v>3.915073</v>
      </c>
      <c r="H2141" s="370">
        <v>5.8978780000000004</v>
      </c>
      <c r="I2141" s="301">
        <v>0.13819999999999999</v>
      </c>
      <c r="J2141" s="301">
        <v>0.1067</v>
      </c>
      <c r="K2141" s="300">
        <v>46.963448999999997</v>
      </c>
      <c r="L2141" s="356"/>
      <c r="M2141" s="400"/>
    </row>
    <row r="2142" spans="2:13" ht="17.25" thickBot="1">
      <c r="B2142" s="322">
        <v>5</v>
      </c>
      <c r="C2142" s="323"/>
      <c r="D2142" s="293" t="s">
        <v>240</v>
      </c>
      <c r="E2142" s="371">
        <v>4.0170000000000003</v>
      </c>
      <c r="F2142" s="371">
        <v>5.0019999999999998</v>
      </c>
      <c r="G2142" s="371">
        <v>3.9119329999999999</v>
      </c>
      <c r="H2142" s="372">
        <v>5.8872730000000004</v>
      </c>
      <c r="I2142" s="289">
        <v>0.13830000000000001</v>
      </c>
      <c r="J2142" s="289">
        <v>0.1067</v>
      </c>
      <c r="K2142" s="288">
        <v>46.879100000000001</v>
      </c>
      <c r="L2142" s="324"/>
      <c r="M2142" s="399"/>
    </row>
    <row r="2143" spans="2:13" ht="17.25" thickBot="1">
      <c r="B2143" s="325"/>
      <c r="C2143" s="326"/>
      <c r="D2143" s="327" t="s">
        <v>463</v>
      </c>
      <c r="E2143" s="328">
        <f>AVERAGE(E2138:E2142)</f>
        <v>4.0181999999999993</v>
      </c>
      <c r="F2143" s="328">
        <f t="shared" ref="F2143:K2143" si="612">AVERAGE(F2138:F2142)</f>
        <v>4.9877999999999991</v>
      </c>
      <c r="G2143" s="328">
        <f t="shared" si="612"/>
        <v>3.8996568000000003</v>
      </c>
      <c r="H2143" s="373">
        <f t="shared" si="612"/>
        <v>5.8666444000000002</v>
      </c>
      <c r="I2143" s="329">
        <f t="shared" si="612"/>
        <v>0.13825999999999999</v>
      </c>
      <c r="J2143" s="329">
        <f t="shared" si="612"/>
        <v>0.10674000000000002</v>
      </c>
      <c r="K2143" s="330">
        <f t="shared" si="612"/>
        <v>46.728506599999996</v>
      </c>
      <c r="L2143" s="331"/>
      <c r="M2143" s="399"/>
    </row>
    <row r="2144" spans="2:13">
      <c r="B2144" s="314">
        <v>6</v>
      </c>
      <c r="C2144" s="271" t="s">
        <v>551</v>
      </c>
      <c r="D2144" s="291" t="s">
        <v>241</v>
      </c>
      <c r="E2144" s="302">
        <v>4.0199999999999996</v>
      </c>
      <c r="F2144" s="302">
        <v>4.8090000000000002</v>
      </c>
      <c r="G2144" s="302">
        <v>3.7581859999999998</v>
      </c>
      <c r="H2144" s="364">
        <v>5.6749429999999998</v>
      </c>
      <c r="I2144" s="287">
        <v>0.1381</v>
      </c>
      <c r="J2144" s="287">
        <v>0.1066</v>
      </c>
      <c r="K2144" s="286">
        <v>45.112569999999998</v>
      </c>
      <c r="L2144" s="332"/>
      <c r="M2144" s="399"/>
    </row>
    <row r="2145" spans="2:13">
      <c r="B2145" s="315">
        <v>7</v>
      </c>
      <c r="C2145" s="320"/>
      <c r="D2145" s="299" t="s">
        <v>242</v>
      </c>
      <c r="E2145" s="304">
        <v>4.008</v>
      </c>
      <c r="F2145" s="304">
        <v>5.008</v>
      </c>
      <c r="G2145" s="304">
        <v>3.9254199999999999</v>
      </c>
      <c r="H2145" s="370">
        <v>5.9032270000000002</v>
      </c>
      <c r="I2145" s="301">
        <v>0.1381</v>
      </c>
      <c r="J2145" s="301">
        <v>0.10680000000000001</v>
      </c>
      <c r="K2145" s="300">
        <v>46.891385999999997</v>
      </c>
      <c r="L2145" s="321"/>
      <c r="M2145" s="399"/>
    </row>
    <row r="2146" spans="2:13">
      <c r="B2146" s="315">
        <v>8</v>
      </c>
      <c r="C2146" s="320"/>
      <c r="D2146" s="299" t="s">
        <v>222</v>
      </c>
      <c r="E2146" s="304">
        <v>4.0069999999999997</v>
      </c>
      <c r="F2146" s="304">
        <v>4.9809999999999999</v>
      </c>
      <c r="G2146" s="304">
        <v>3.9052310000000001</v>
      </c>
      <c r="H2146" s="370">
        <v>5.8646479999999999</v>
      </c>
      <c r="I2146" s="301">
        <v>0.1381</v>
      </c>
      <c r="J2146" s="301">
        <v>0.10680000000000001</v>
      </c>
      <c r="K2146" s="300">
        <v>46.638576999999998</v>
      </c>
      <c r="L2146" s="321"/>
      <c r="M2146" s="399"/>
    </row>
    <row r="2147" spans="2:13">
      <c r="B2147" s="315">
        <v>9</v>
      </c>
      <c r="C2147" s="320"/>
      <c r="D2147" s="299" t="s">
        <v>223</v>
      </c>
      <c r="E2147" s="304">
        <v>4</v>
      </c>
      <c r="F2147" s="304">
        <v>4.9219999999999997</v>
      </c>
      <c r="G2147" s="304">
        <v>3.865726</v>
      </c>
      <c r="H2147" s="370">
        <v>5.7954929999999996</v>
      </c>
      <c r="I2147" s="301">
        <v>0.1381</v>
      </c>
      <c r="J2147" s="301">
        <v>0.10680000000000001</v>
      </c>
      <c r="K2147" s="300">
        <v>46.086142000000002</v>
      </c>
      <c r="L2147" s="321"/>
      <c r="M2147" s="399"/>
    </row>
    <row r="2148" spans="2:13" ht="17.25" thickBot="1">
      <c r="B2148" s="322">
        <v>10</v>
      </c>
      <c r="C2148" s="323"/>
      <c r="D2148" s="293" t="s">
        <v>243</v>
      </c>
      <c r="E2148" s="371">
        <v>4.0010000000000003</v>
      </c>
      <c r="F2148" s="371">
        <v>4.9829999999999997</v>
      </c>
      <c r="G2148" s="371">
        <v>3.912658</v>
      </c>
      <c r="H2148" s="372">
        <v>5.8678800000000004</v>
      </c>
      <c r="I2148" s="289">
        <v>0.1381</v>
      </c>
      <c r="J2148" s="289">
        <v>0.1067</v>
      </c>
      <c r="K2148" s="288">
        <v>46.701031</v>
      </c>
      <c r="L2148" s="324"/>
      <c r="M2148" s="399"/>
    </row>
    <row r="2149" spans="2:13" ht="17.25" thickBot="1">
      <c r="B2149" s="325" t="s">
        <v>455</v>
      </c>
      <c r="C2149" s="326"/>
      <c r="D2149" s="327" t="s">
        <v>463</v>
      </c>
      <c r="E2149" s="328">
        <f t="shared" ref="E2149:K2149" si="613">AVERAGE(E2144:E2148)</f>
        <v>4.0071999999999992</v>
      </c>
      <c r="F2149" s="328">
        <f t="shared" si="613"/>
        <v>4.9405999999999999</v>
      </c>
      <c r="G2149" s="328">
        <f t="shared" si="613"/>
        <v>3.8734442000000002</v>
      </c>
      <c r="H2149" s="373">
        <f t="shared" si="613"/>
        <v>5.8212381999999998</v>
      </c>
      <c r="I2149" s="329">
        <f t="shared" si="613"/>
        <v>0.1381</v>
      </c>
      <c r="J2149" s="329">
        <f t="shared" si="613"/>
        <v>0.10674000000000002</v>
      </c>
      <c r="K2149" s="330">
        <f t="shared" si="613"/>
        <v>46.285941199999996</v>
      </c>
      <c r="L2149" s="331"/>
      <c r="M2149" s="399"/>
    </row>
    <row r="2150" spans="2:13">
      <c r="B2150" s="333">
        <v>11</v>
      </c>
      <c r="C2150" s="271" t="s">
        <v>389</v>
      </c>
      <c r="D2150" s="291" t="s">
        <v>244</v>
      </c>
      <c r="E2150" s="302">
        <v>4.0090000000000003</v>
      </c>
      <c r="F2150" s="302">
        <v>4.9969999999999999</v>
      </c>
      <c r="G2150" s="302">
        <v>3.9158210000000002</v>
      </c>
      <c r="H2150" s="302">
        <v>5.8727200000000002</v>
      </c>
      <c r="I2150" s="287">
        <v>0.1384</v>
      </c>
      <c r="J2150" s="287">
        <v>0.10680000000000001</v>
      </c>
      <c r="K2150" s="286">
        <v>46.78839</v>
      </c>
      <c r="L2150" s="332"/>
      <c r="M2150" s="399"/>
    </row>
    <row r="2151" spans="2:13">
      <c r="B2151" s="335">
        <v>12</v>
      </c>
      <c r="C2151" s="316"/>
      <c r="D2151" s="299" t="s">
        <v>245</v>
      </c>
      <c r="E2151" s="304">
        <v>4.01</v>
      </c>
      <c r="F2151" s="304">
        <v>4.99</v>
      </c>
      <c r="G2151" s="304">
        <v>3.9093599999999999</v>
      </c>
      <c r="H2151" s="304">
        <v>5.8678819999999998</v>
      </c>
      <c r="I2151" s="301">
        <v>0.13830000000000001</v>
      </c>
      <c r="J2151" s="301">
        <v>0.1069</v>
      </c>
      <c r="K2151" s="300">
        <v>46.679138999999999</v>
      </c>
      <c r="L2151" s="321"/>
      <c r="M2151" s="399"/>
    </row>
    <row r="2152" spans="2:13">
      <c r="B2152" s="335">
        <v>13</v>
      </c>
      <c r="C2152" s="320"/>
      <c r="D2152" s="299" t="s">
        <v>227</v>
      </c>
      <c r="E2152" s="304">
        <v>4.01</v>
      </c>
      <c r="F2152" s="304">
        <v>4.9710000000000001</v>
      </c>
      <c r="G2152" s="304">
        <v>3.8944749999999999</v>
      </c>
      <c r="H2152" s="304">
        <v>5.8423119999999997</v>
      </c>
      <c r="I2152" s="301">
        <v>0.13830000000000001</v>
      </c>
      <c r="J2152" s="301">
        <v>0.10680000000000001</v>
      </c>
      <c r="K2152" s="300">
        <v>46.544944000000001</v>
      </c>
      <c r="L2152" s="321"/>
      <c r="M2152" s="399"/>
    </row>
    <row r="2153" spans="2:13">
      <c r="B2153" s="335">
        <v>14</v>
      </c>
      <c r="C2153" s="320"/>
      <c r="D2153" s="299" t="s">
        <v>228</v>
      </c>
      <c r="E2153" s="304">
        <v>4.0069999999999997</v>
      </c>
      <c r="F2153" s="304">
        <v>4.9690000000000003</v>
      </c>
      <c r="G2153" s="304">
        <v>3.8958219999999999</v>
      </c>
      <c r="H2153" s="304">
        <v>5.8493240000000002</v>
      </c>
      <c r="I2153" s="301">
        <v>0.13819999999999999</v>
      </c>
      <c r="J2153" s="301">
        <v>0.10680000000000001</v>
      </c>
      <c r="K2153" s="300">
        <v>46.526217000000003</v>
      </c>
      <c r="L2153" s="321"/>
      <c r="M2153" s="399"/>
    </row>
    <row r="2154" spans="2:13" ht="17.25" thickBot="1">
      <c r="B2154" s="336">
        <v>15</v>
      </c>
      <c r="C2154" s="323"/>
      <c r="D2154" s="293" t="s">
        <v>246</v>
      </c>
      <c r="E2154" s="371">
        <v>3.9980000000000002</v>
      </c>
      <c r="F2154" s="371">
        <v>4.91</v>
      </c>
      <c r="G2154" s="371">
        <v>3.858231</v>
      </c>
      <c r="H2154" s="371">
        <v>5.7878420000000004</v>
      </c>
      <c r="I2154" s="289">
        <v>0.13830000000000001</v>
      </c>
      <c r="J2154" s="289">
        <v>0.1067</v>
      </c>
      <c r="K2154" s="288">
        <v>46.016869999999997</v>
      </c>
      <c r="L2154" s="324"/>
      <c r="M2154" s="399"/>
    </row>
    <row r="2155" spans="2:13" ht="17.25" thickBot="1">
      <c r="B2155" s="337"/>
      <c r="C2155" s="326"/>
      <c r="D2155" s="327" t="s">
        <v>463</v>
      </c>
      <c r="E2155" s="328">
        <f>AVERAGE(E2150:E2154)</f>
        <v>4.0068000000000001</v>
      </c>
      <c r="F2155" s="328">
        <f t="shared" ref="F2155:K2155" si="614">AVERAGE(F2150:F2154)</f>
        <v>4.9673999999999996</v>
      </c>
      <c r="G2155" s="328">
        <f t="shared" si="614"/>
        <v>3.8947417999999998</v>
      </c>
      <c r="H2155" s="328">
        <f t="shared" si="614"/>
        <v>5.8440159999999999</v>
      </c>
      <c r="I2155" s="329">
        <f t="shared" si="614"/>
        <v>0.13830000000000001</v>
      </c>
      <c r="J2155" s="329">
        <f t="shared" si="614"/>
        <v>0.10680000000000001</v>
      </c>
      <c r="K2155" s="330">
        <f t="shared" si="614"/>
        <v>46.511112000000004</v>
      </c>
      <c r="L2155" s="331"/>
      <c r="M2155" s="399"/>
    </row>
    <row r="2156" spans="2:13">
      <c r="B2156" s="333">
        <v>16</v>
      </c>
      <c r="C2156" s="271" t="s">
        <v>550</v>
      </c>
      <c r="D2156" s="291" t="s">
        <v>247</v>
      </c>
      <c r="E2156" s="302">
        <v>4.0030000000000001</v>
      </c>
      <c r="F2156" s="302">
        <v>5.0190000000000001</v>
      </c>
      <c r="G2156" s="302">
        <v>3.9389560000000001</v>
      </c>
      <c r="H2156" s="302">
        <v>5.9162460000000001</v>
      </c>
      <c r="I2156" s="287">
        <v>0.13819999999999999</v>
      </c>
      <c r="J2156" s="287">
        <v>0.10680000000000001</v>
      </c>
      <c r="K2156" s="286">
        <v>46.994382000000002</v>
      </c>
      <c r="L2156" s="359"/>
      <c r="M2156" s="401"/>
    </row>
    <row r="2157" spans="2:13">
      <c r="B2157" s="335">
        <v>17</v>
      </c>
      <c r="C2157" s="320"/>
      <c r="D2157" s="299" t="s">
        <v>248</v>
      </c>
      <c r="E2157" s="304">
        <v>4.0049999999999999</v>
      </c>
      <c r="F2157" s="304">
        <v>5.0209999999999999</v>
      </c>
      <c r="G2157" s="304">
        <v>3.938558</v>
      </c>
      <c r="H2157" s="304">
        <v>5.9148100000000001</v>
      </c>
      <c r="I2157" s="301">
        <v>0.1381</v>
      </c>
      <c r="J2157" s="301">
        <v>0.10680000000000001</v>
      </c>
      <c r="K2157" s="300">
        <v>47.013109</v>
      </c>
      <c r="L2157" s="321"/>
      <c r="M2157" s="399"/>
    </row>
    <row r="2158" spans="2:13">
      <c r="B2158" s="335">
        <v>18</v>
      </c>
      <c r="C2158" s="320"/>
      <c r="D2158" s="299" t="s">
        <v>232</v>
      </c>
      <c r="E2158" s="304">
        <v>3.9980000000000002</v>
      </c>
      <c r="F2158" s="304">
        <v>4.9340000000000002</v>
      </c>
      <c r="G2158" s="304">
        <v>3.8770899999999999</v>
      </c>
      <c r="H2158" s="304">
        <v>5.8061920000000002</v>
      </c>
      <c r="I2158" s="301">
        <v>0.13819999999999999</v>
      </c>
      <c r="J2158" s="301">
        <v>0.1069</v>
      </c>
      <c r="K2158" s="300">
        <v>46.155284999999999</v>
      </c>
      <c r="L2158" s="321"/>
      <c r="M2158" s="399"/>
    </row>
    <row r="2159" spans="2:13">
      <c r="B2159" s="335">
        <v>19</v>
      </c>
      <c r="C2159" s="320"/>
      <c r="D2159" s="299" t="s">
        <v>233</v>
      </c>
      <c r="E2159" s="304">
        <v>4.0010000000000003</v>
      </c>
      <c r="F2159" s="304">
        <v>4.976</v>
      </c>
      <c r="G2159" s="304">
        <v>3.9071609999999999</v>
      </c>
      <c r="H2159" s="304">
        <v>5.856452</v>
      </c>
      <c r="I2159" s="301">
        <v>0.1381</v>
      </c>
      <c r="J2159" s="301">
        <v>0.10680000000000001</v>
      </c>
      <c r="K2159" s="300">
        <v>46.591760000000001</v>
      </c>
      <c r="L2159" s="321"/>
      <c r="M2159" s="399"/>
    </row>
    <row r="2160" spans="2:13" ht="17.25" thickBot="1">
      <c r="B2160" s="336">
        <v>20</v>
      </c>
      <c r="C2160" s="323"/>
      <c r="D2160" s="293" t="s">
        <v>249</v>
      </c>
      <c r="E2160" s="371">
        <v>3.9950000000000001</v>
      </c>
      <c r="F2160" s="371">
        <v>4.968</v>
      </c>
      <c r="G2160" s="371">
        <v>3.9067379999999998</v>
      </c>
      <c r="H2160" s="371">
        <v>5.860239</v>
      </c>
      <c r="I2160" s="289">
        <v>0.1381</v>
      </c>
      <c r="J2160" s="289">
        <v>0.1067</v>
      </c>
      <c r="K2160" s="288">
        <v>46.560450000000003</v>
      </c>
      <c r="L2160" s="324"/>
      <c r="M2160" s="399"/>
    </row>
    <row r="2161" spans="2:13" ht="17.25" thickBot="1">
      <c r="B2161" s="337"/>
      <c r="C2161" s="326"/>
      <c r="D2161" s="327" t="s">
        <v>463</v>
      </c>
      <c r="E2161" s="328">
        <f>AVERAGE(E2156:E2160)</f>
        <v>4.0004000000000008</v>
      </c>
      <c r="F2161" s="328">
        <f t="shared" ref="F2161:K2161" si="615">AVERAGE(F2156:F2160)</f>
        <v>4.9836</v>
      </c>
      <c r="G2161" s="328">
        <f t="shared" si="615"/>
        <v>3.9137005999999999</v>
      </c>
      <c r="H2161" s="328">
        <f t="shared" si="615"/>
        <v>5.8707878000000004</v>
      </c>
      <c r="I2161" s="329">
        <f t="shared" si="615"/>
        <v>0.13813999999999999</v>
      </c>
      <c r="J2161" s="329">
        <f t="shared" si="615"/>
        <v>0.10680000000000001</v>
      </c>
      <c r="K2161" s="328">
        <f t="shared" si="615"/>
        <v>46.6629972</v>
      </c>
      <c r="L2161" s="331"/>
      <c r="M2161" s="399"/>
    </row>
    <row r="2162" spans="2:13">
      <c r="B2162" s="333">
        <v>21</v>
      </c>
      <c r="C2162" s="271" t="s">
        <v>550</v>
      </c>
      <c r="D2162" s="291" t="s">
        <v>250</v>
      </c>
      <c r="E2162" s="302">
        <v>3.9980000000000002</v>
      </c>
      <c r="F2162" s="302">
        <v>5.0129999999999999</v>
      </c>
      <c r="G2162" s="302">
        <v>3.9391669999999999</v>
      </c>
      <c r="H2162" s="302">
        <v>5.9080269999999997</v>
      </c>
      <c r="I2162" s="287">
        <v>0.13819999999999999</v>
      </c>
      <c r="J2162" s="287">
        <v>0.1067</v>
      </c>
      <c r="K2162" s="286">
        <v>46.982193000000002</v>
      </c>
      <c r="L2162" s="332"/>
      <c r="M2162" s="399"/>
    </row>
    <row r="2163" spans="2:13">
      <c r="B2163" s="335">
        <v>22</v>
      </c>
      <c r="C2163" s="320"/>
      <c r="D2163" s="299" t="s">
        <v>251</v>
      </c>
      <c r="E2163" s="304">
        <v>3.9969999999999999</v>
      </c>
      <c r="F2163" s="304">
        <v>4.9690000000000003</v>
      </c>
      <c r="G2163" s="304">
        <v>3.9055689999999998</v>
      </c>
      <c r="H2163" s="304">
        <v>5.85025</v>
      </c>
      <c r="I2163" s="301">
        <v>0.13819999999999999</v>
      </c>
      <c r="J2163" s="301">
        <v>0.10680000000000001</v>
      </c>
      <c r="K2163" s="300">
        <v>46.526217000000003</v>
      </c>
      <c r="L2163" s="321"/>
      <c r="M2163" s="399"/>
    </row>
    <row r="2164" spans="2:13">
      <c r="B2164" s="335">
        <v>23</v>
      </c>
      <c r="C2164" s="320"/>
      <c r="D2164" s="299" t="s">
        <v>237</v>
      </c>
      <c r="E2164" s="304">
        <v>3.9990000000000001</v>
      </c>
      <c r="F2164" s="304">
        <v>4.9850000000000003</v>
      </c>
      <c r="G2164" s="304">
        <v>3.9161860000000002</v>
      </c>
      <c r="H2164" s="304">
        <v>5.8730349999999998</v>
      </c>
      <c r="I2164" s="301">
        <v>0.1381</v>
      </c>
      <c r="J2164" s="301">
        <v>0.1067</v>
      </c>
      <c r="K2164" s="300">
        <v>46.719774999999998</v>
      </c>
      <c r="L2164" s="321"/>
      <c r="M2164" s="399"/>
    </row>
    <row r="2165" spans="2:13">
      <c r="B2165" s="335">
        <v>24</v>
      </c>
      <c r="C2165" s="320"/>
      <c r="D2165" s="299" t="s">
        <v>238</v>
      </c>
      <c r="E2165" s="304">
        <v>3.9980000000000002</v>
      </c>
      <c r="F2165" s="304">
        <v>4.99</v>
      </c>
      <c r="G2165" s="304">
        <v>3.9210940000000001</v>
      </c>
      <c r="H2165" s="304">
        <v>5.8794149999999998</v>
      </c>
      <c r="I2165" s="301">
        <v>0.13819999999999999</v>
      </c>
      <c r="J2165" s="301">
        <v>0.1067</v>
      </c>
      <c r="K2165" s="300">
        <v>46.766635000000001</v>
      </c>
      <c r="L2165" s="321"/>
      <c r="M2165" s="399"/>
    </row>
    <row r="2166" spans="2:13" ht="17.25" thickBot="1">
      <c r="B2166" s="336">
        <v>25</v>
      </c>
      <c r="C2166" s="323"/>
      <c r="D2166" s="293" t="s">
        <v>252</v>
      </c>
      <c r="E2166" s="371">
        <v>3.9950000000000001</v>
      </c>
      <c r="F2166" s="371">
        <v>4.9630000000000001</v>
      </c>
      <c r="G2166" s="371">
        <v>3.902806</v>
      </c>
      <c r="H2166" s="371">
        <v>5.8534249999999997</v>
      </c>
      <c r="I2166" s="289">
        <v>0.13819999999999999</v>
      </c>
      <c r="J2166" s="289">
        <v>0.1067</v>
      </c>
      <c r="K2166" s="288">
        <v>46.513590000000001</v>
      </c>
      <c r="L2166" s="324"/>
      <c r="M2166" s="399"/>
    </row>
    <row r="2167" spans="2:13" ht="17.25" thickBot="1">
      <c r="B2167" s="339" t="s">
        <v>455</v>
      </c>
      <c r="C2167" s="340"/>
      <c r="D2167" s="341" t="s">
        <v>465</v>
      </c>
      <c r="E2167" s="342">
        <f>AVERAGE(E2162:E2166)</f>
        <v>3.9974000000000003</v>
      </c>
      <c r="F2167" s="342">
        <f t="shared" ref="F2167:K2167" si="616">AVERAGE(F2162:F2166)</f>
        <v>4.984</v>
      </c>
      <c r="G2167" s="342">
        <f t="shared" si="616"/>
        <v>3.9169643999999999</v>
      </c>
      <c r="H2167" s="342">
        <f t="shared" si="616"/>
        <v>5.8728304000000007</v>
      </c>
      <c r="I2167" s="343">
        <f t="shared" si="616"/>
        <v>0.13818</v>
      </c>
      <c r="J2167" s="343">
        <f t="shared" si="616"/>
        <v>0.10672000000000001</v>
      </c>
      <c r="K2167" s="342">
        <f t="shared" si="616"/>
        <v>46.701681999999998</v>
      </c>
      <c r="L2167" s="344"/>
      <c r="M2167" s="399"/>
    </row>
    <row r="2168" spans="2:13">
      <c r="B2168" s="333"/>
      <c r="C2168" s="345"/>
      <c r="D2168" s="291" t="s">
        <v>458</v>
      </c>
      <c r="E2168" s="346">
        <f>MEDIAN(E2138:E2142,E2144:E2148,E2150:E2154,E2156:E2160,E2162:E2166)</f>
        <v>4.0049999999999999</v>
      </c>
      <c r="F2168" s="346">
        <f t="shared" ref="F2168:K2168" si="617">MEDIAN(F2138:F2142,F2144:F2148,F2150:F2154,F2156:F2160,F2162:F2166)</f>
        <v>4.9829999999999997</v>
      </c>
      <c r="G2168" s="346">
        <f t="shared" si="617"/>
        <v>3.9067379999999998</v>
      </c>
      <c r="H2168" s="346">
        <f t="shared" si="617"/>
        <v>5.8646479999999999</v>
      </c>
      <c r="I2168" s="347">
        <f t="shared" si="617"/>
        <v>0.13819999999999999</v>
      </c>
      <c r="J2168" s="347">
        <f t="shared" si="617"/>
        <v>0.10680000000000001</v>
      </c>
      <c r="K2168" s="348">
        <f t="shared" si="617"/>
        <v>46.679138999999999</v>
      </c>
      <c r="L2168" s="332"/>
      <c r="M2168" s="399"/>
    </row>
    <row r="2169" spans="2:13">
      <c r="B2169" s="335"/>
      <c r="C2169" s="320"/>
      <c r="D2169" s="299" t="s">
        <v>457</v>
      </c>
      <c r="E2169" s="349">
        <f>AVERAGE(E2138:E2142,E2144:E2148,E2150:E2154,E2156:E2160,E2162:E2166)</f>
        <v>4.0060000000000002</v>
      </c>
      <c r="F2169" s="349">
        <f t="shared" ref="F2169:K2169" si="618">AVERAGE(F2138:F2142,F2144:F2148,F2150:F2154,F2156:F2160,F2162:F2166)</f>
        <v>4.9726799999999995</v>
      </c>
      <c r="G2169" s="349">
        <f t="shared" si="618"/>
        <v>3.8997015599999991</v>
      </c>
      <c r="H2169" s="349">
        <f t="shared" si="618"/>
        <v>5.8551033599999984</v>
      </c>
      <c r="I2169" s="350">
        <f t="shared" si="618"/>
        <v>0.13819600000000001</v>
      </c>
      <c r="J2169" s="350">
        <f t="shared" si="618"/>
        <v>0.10676000000000002</v>
      </c>
      <c r="K2169" s="351">
        <f t="shared" si="618"/>
        <v>46.578047800000007</v>
      </c>
      <c r="L2169" s="321"/>
      <c r="M2169" s="399"/>
    </row>
    <row r="2170" spans="2:13">
      <c r="B2170" s="335"/>
      <c r="C2170" s="320"/>
      <c r="D2170" s="299" t="s">
        <v>199</v>
      </c>
      <c r="E2170" s="349">
        <f>MAX(E2138:E2142,E2144:E2148,E2150:E2154,E2156:E2160,E2162:E2166)</f>
        <v>4.0209999999999999</v>
      </c>
      <c r="F2170" s="349">
        <f t="shared" ref="F2170:K2170" si="619">MAX(F2138:F2142,F2144:F2148,F2150:F2154,F2156:F2160,F2162:F2166)</f>
        <v>5.0209999999999999</v>
      </c>
      <c r="G2170" s="349">
        <f t="shared" si="619"/>
        <v>3.9391669999999999</v>
      </c>
      <c r="H2170" s="349">
        <f t="shared" si="619"/>
        <v>5.9162460000000001</v>
      </c>
      <c r="I2170" s="350">
        <f t="shared" si="619"/>
        <v>0.1384</v>
      </c>
      <c r="J2170" s="350">
        <f t="shared" si="619"/>
        <v>0.1069</v>
      </c>
      <c r="K2170" s="351">
        <f t="shared" si="619"/>
        <v>47.013109</v>
      </c>
      <c r="L2170" s="321"/>
      <c r="M2170" s="399"/>
    </row>
    <row r="2171" spans="2:13">
      <c r="B2171" s="335"/>
      <c r="C2171" s="320"/>
      <c r="D2171" s="299" t="s">
        <v>200</v>
      </c>
      <c r="E2171" s="349">
        <f>MIN(E2138:E2142,E2144:E2148,E2150:E2154,E2156:E2160,E2162:E2166)</f>
        <v>3.9950000000000001</v>
      </c>
      <c r="F2171" s="349">
        <f t="shared" ref="F2171:K2171" si="620">MIN(F2138:F2142,F2144:F2148,F2150:F2154,F2156:F2160,F2162:F2166)</f>
        <v>4.8090000000000002</v>
      </c>
      <c r="G2171" s="349">
        <f t="shared" si="620"/>
        <v>3.7581859999999998</v>
      </c>
      <c r="H2171" s="349">
        <f t="shared" si="620"/>
        <v>5.6749429999999998</v>
      </c>
      <c r="I2171" s="350">
        <f t="shared" si="620"/>
        <v>0.1381</v>
      </c>
      <c r="J2171" s="350">
        <f t="shared" si="620"/>
        <v>0.1066</v>
      </c>
      <c r="K2171" s="351">
        <f t="shared" si="620"/>
        <v>45.112569999999998</v>
      </c>
      <c r="L2171" s="321"/>
      <c r="M2171" s="399"/>
    </row>
    <row r="2172" spans="2:13">
      <c r="B2172" s="335"/>
      <c r="C2172" s="320"/>
      <c r="D2172" s="299" t="s">
        <v>201</v>
      </c>
      <c r="E2172" s="349">
        <f>E2170-E2171</f>
        <v>2.5999999999999801E-2</v>
      </c>
      <c r="F2172" s="349">
        <f t="shared" ref="F2172:K2172" si="621">F2170-F2171</f>
        <v>0.21199999999999974</v>
      </c>
      <c r="G2172" s="349">
        <f t="shared" si="621"/>
        <v>0.18098100000000006</v>
      </c>
      <c r="H2172" s="349">
        <f t="shared" si="621"/>
        <v>0.24130300000000027</v>
      </c>
      <c r="I2172" s="350">
        <f t="shared" si="621"/>
        <v>2.9999999999999472E-4</v>
      </c>
      <c r="J2172" s="350">
        <f t="shared" si="621"/>
        <v>2.9999999999999472E-4</v>
      </c>
      <c r="K2172" s="349">
        <f t="shared" si="621"/>
        <v>1.900539000000002</v>
      </c>
      <c r="L2172" s="321"/>
      <c r="M2172" s="399"/>
    </row>
    <row r="2173" spans="2:13" ht="17.25" thickBot="1">
      <c r="B2173" s="336"/>
      <c r="C2173" s="323"/>
      <c r="D2173" s="293" t="s">
        <v>202</v>
      </c>
      <c r="E2173" s="352">
        <f>STDEVA(E2138:E2142,E2144:E2148,E2150:E2154,E2156:E2160,E2162:E2166)</f>
        <v>8.4999999999998584E-3</v>
      </c>
      <c r="F2173" s="352">
        <f t="shared" ref="F2173:K2173" si="622">STDEVA(F2138:F2142,F2144:F2148,F2150:F2154,F2156:F2160,F2162:F2166)</f>
        <v>4.4348731661683384E-2</v>
      </c>
      <c r="G2173" s="352">
        <f t="shared" si="622"/>
        <v>3.610679568894664E-2</v>
      </c>
      <c r="H2173" s="352">
        <f t="shared" si="622"/>
        <v>5.067584935061939E-2</v>
      </c>
      <c r="I2173" s="353">
        <f t="shared" si="622"/>
        <v>9.3452305125841151E-5</v>
      </c>
      <c r="J2173" s="353">
        <f t="shared" si="622"/>
        <v>7.0710678118654483E-5</v>
      </c>
      <c r="K2173" s="352">
        <f t="shared" si="622"/>
        <v>0.4061550292706389</v>
      </c>
      <c r="L2173" s="324"/>
      <c r="M2173" s="399"/>
    </row>
    <row r="2175" spans="2:13">
      <c r="B2175" s="240" t="s">
        <v>554</v>
      </c>
      <c r="C2175" s="240"/>
      <c r="E2175" s="240"/>
      <c r="F2175" s="240"/>
      <c r="G2175" s="240"/>
      <c r="H2175" s="240"/>
      <c r="I2175" s="240"/>
      <c r="J2175" s="240"/>
      <c r="K2175" s="240"/>
    </row>
    <row r="2176" spans="2:13" ht="17.25" thickBot="1">
      <c r="B2176" s="240" t="s">
        <v>452</v>
      </c>
      <c r="C2176" s="240"/>
      <c r="E2176" s="240"/>
      <c r="F2176" s="240"/>
      <c r="G2176" s="240"/>
      <c r="H2176" s="240"/>
      <c r="I2176" s="240"/>
      <c r="J2176" s="240"/>
      <c r="K2176" s="240"/>
    </row>
    <row r="2177" spans="2:13" ht="17.25" thickBot="1">
      <c r="B2177" s="313" t="s">
        <v>11</v>
      </c>
      <c r="C2177" s="250" t="s">
        <v>0</v>
      </c>
      <c r="D2177" s="250" t="s">
        <v>1</v>
      </c>
      <c r="E2177" s="250" t="s">
        <v>2</v>
      </c>
      <c r="F2177" s="250" t="s">
        <v>3</v>
      </c>
      <c r="G2177" s="250" t="s">
        <v>192</v>
      </c>
      <c r="H2177" s="250" t="s">
        <v>16</v>
      </c>
      <c r="I2177" s="250" t="s">
        <v>6</v>
      </c>
      <c r="J2177" s="251" t="s">
        <v>7</v>
      </c>
      <c r="K2177" s="252" t="s">
        <v>8</v>
      </c>
      <c r="L2177" s="254" t="s">
        <v>439</v>
      </c>
      <c r="M2177" s="404"/>
    </row>
    <row r="2178" spans="2:13">
      <c r="B2178" s="314">
        <v>1</v>
      </c>
      <c r="C2178" s="271" t="s">
        <v>389</v>
      </c>
      <c r="D2178" s="291" t="s">
        <v>213</v>
      </c>
      <c r="E2178" s="302">
        <v>4.1559999999999997</v>
      </c>
      <c r="F2178" s="302">
        <v>4.8040000000000003</v>
      </c>
      <c r="G2178" s="302">
        <v>3.631424</v>
      </c>
      <c r="H2178" s="364">
        <v>5.5746289999999998</v>
      </c>
      <c r="I2178" s="287">
        <v>0.13850000000000001</v>
      </c>
      <c r="J2178" s="287">
        <v>0.1086</v>
      </c>
      <c r="K2178" s="286">
        <v>44.235726999999997</v>
      </c>
      <c r="L2178" s="275"/>
      <c r="M2178" s="397"/>
    </row>
    <row r="2179" spans="2:13">
      <c r="B2179" s="315">
        <v>2</v>
      </c>
      <c r="C2179" s="316"/>
      <c r="D2179" s="299" t="s">
        <v>214</v>
      </c>
      <c r="E2179" s="304">
        <v>4.1550000000000002</v>
      </c>
      <c r="F2179" s="304">
        <v>4.7750000000000004</v>
      </c>
      <c r="G2179" s="304">
        <v>3.6103710000000002</v>
      </c>
      <c r="H2179" s="370">
        <v>5.5397420000000004</v>
      </c>
      <c r="I2179" s="301">
        <v>0.13850000000000001</v>
      </c>
      <c r="J2179" s="301">
        <v>0.1084</v>
      </c>
      <c r="K2179" s="300">
        <v>44.049815000000002</v>
      </c>
      <c r="L2179" s="319"/>
      <c r="M2179" s="398"/>
    </row>
    <row r="2180" spans="2:13">
      <c r="B2180" s="315">
        <v>3</v>
      </c>
      <c r="C2180" s="320"/>
      <c r="D2180" s="299" t="s">
        <v>217</v>
      </c>
      <c r="E2180" s="304">
        <v>4.1529999999999996</v>
      </c>
      <c r="F2180" s="304">
        <v>4.7720000000000002</v>
      </c>
      <c r="G2180" s="304">
        <v>3.6098400000000002</v>
      </c>
      <c r="H2180" s="370">
        <v>5.5344769999999999</v>
      </c>
      <c r="I2180" s="301">
        <v>0.1386</v>
      </c>
      <c r="J2180" s="301">
        <v>0.1085</v>
      </c>
      <c r="K2180" s="300">
        <v>43.981566999999998</v>
      </c>
      <c r="L2180" s="356"/>
      <c r="M2180" s="400"/>
    </row>
    <row r="2181" spans="2:13">
      <c r="B2181" s="315">
        <v>4</v>
      </c>
      <c r="C2181" s="320"/>
      <c r="D2181" s="299" t="s">
        <v>218</v>
      </c>
      <c r="E2181" s="304">
        <v>4.1559999999999997</v>
      </c>
      <c r="F2181" s="304">
        <v>4.8</v>
      </c>
      <c r="G2181" s="304">
        <v>3.6284000000000001</v>
      </c>
      <c r="H2181" s="370">
        <v>5.5751359999999996</v>
      </c>
      <c r="I2181" s="301">
        <v>0.13850000000000001</v>
      </c>
      <c r="J2181" s="301">
        <v>0.1084</v>
      </c>
      <c r="K2181" s="300">
        <v>44.280442999999998</v>
      </c>
      <c r="L2181" s="356"/>
      <c r="M2181" s="400"/>
    </row>
    <row r="2182" spans="2:13" ht="17.25" thickBot="1">
      <c r="B2182" s="322">
        <v>5</v>
      </c>
      <c r="C2182" s="323"/>
      <c r="D2182" s="293" t="s">
        <v>240</v>
      </c>
      <c r="E2182" s="371">
        <v>4.1520000000000001</v>
      </c>
      <c r="F2182" s="371">
        <v>4.8129999999999997</v>
      </c>
      <c r="G2182" s="371">
        <v>3.6417320000000002</v>
      </c>
      <c r="H2182" s="372">
        <v>5.5991330000000001</v>
      </c>
      <c r="I2182" s="289">
        <v>0.13850000000000001</v>
      </c>
      <c r="J2182" s="289">
        <v>0.10829999999999999</v>
      </c>
      <c r="K2182" s="288">
        <v>44.441367</v>
      </c>
      <c r="L2182" s="324"/>
      <c r="M2182" s="399"/>
    </row>
    <row r="2183" spans="2:13" ht="17.25" thickBot="1">
      <c r="B2183" s="325"/>
      <c r="C2183" s="326"/>
      <c r="D2183" s="327" t="s">
        <v>463</v>
      </c>
      <c r="E2183" s="328">
        <f>AVERAGE(E2178:E2182)</f>
        <v>4.1543999999999999</v>
      </c>
      <c r="F2183" s="328">
        <f t="shared" ref="F2183:K2183" si="623">AVERAGE(F2178:F2182)</f>
        <v>4.7927999999999997</v>
      </c>
      <c r="G2183" s="328">
        <f t="shared" si="623"/>
        <v>3.6243534000000004</v>
      </c>
      <c r="H2183" s="373">
        <f t="shared" si="623"/>
        <v>5.5646234000000003</v>
      </c>
      <c r="I2183" s="329">
        <f t="shared" si="623"/>
        <v>0.13852000000000003</v>
      </c>
      <c r="J2183" s="329">
        <f t="shared" si="623"/>
        <v>0.10844000000000001</v>
      </c>
      <c r="K2183" s="330">
        <f t="shared" si="623"/>
        <v>44.197783800000003</v>
      </c>
      <c r="L2183" s="331"/>
      <c r="M2183" s="399"/>
    </row>
    <row r="2184" spans="2:13">
      <c r="B2184" s="314">
        <v>6</v>
      </c>
      <c r="C2184" s="271" t="s">
        <v>556</v>
      </c>
      <c r="D2184" s="291" t="s">
        <v>241</v>
      </c>
      <c r="E2184" s="302">
        <v>4.141</v>
      </c>
      <c r="F2184" s="302">
        <v>4.67</v>
      </c>
      <c r="G2184" s="302">
        <v>3.5429179999999998</v>
      </c>
      <c r="H2184" s="364">
        <v>5.3583439999999998</v>
      </c>
      <c r="I2184" s="287">
        <v>0.13880000000000001</v>
      </c>
      <c r="J2184" s="287">
        <v>0.10970000000000001</v>
      </c>
      <c r="K2184" s="286">
        <v>42.570647000000001</v>
      </c>
      <c r="L2184" s="332"/>
      <c r="M2184" s="399"/>
    </row>
    <row r="2185" spans="2:13">
      <c r="B2185" s="315">
        <v>7</v>
      </c>
      <c r="C2185" s="320"/>
      <c r="D2185" s="299" t="s">
        <v>242</v>
      </c>
      <c r="E2185" s="304">
        <v>4.1440000000000001</v>
      </c>
      <c r="F2185" s="304">
        <v>4.6749999999999998</v>
      </c>
      <c r="G2185" s="304">
        <v>3.5441440000000002</v>
      </c>
      <c r="H2185" s="370">
        <v>5.3721629999999996</v>
      </c>
      <c r="I2185" s="301">
        <v>0.1389</v>
      </c>
      <c r="J2185" s="301">
        <v>0.1095</v>
      </c>
      <c r="K2185" s="300">
        <v>42.694063999999997</v>
      </c>
      <c r="L2185" s="321"/>
      <c r="M2185" s="399"/>
    </row>
    <row r="2186" spans="2:13">
      <c r="B2186" s="315">
        <v>8</v>
      </c>
      <c r="C2186" s="320"/>
      <c r="D2186" s="299" t="s">
        <v>222</v>
      </c>
      <c r="E2186" s="304">
        <v>4.1479999999999997</v>
      </c>
      <c r="F2186" s="304">
        <v>4.681</v>
      </c>
      <c r="G2186" s="304">
        <v>3.5452710000000001</v>
      </c>
      <c r="H2186" s="370">
        <v>5.377821</v>
      </c>
      <c r="I2186" s="301">
        <v>0.13880000000000001</v>
      </c>
      <c r="J2186" s="301">
        <v>0.1094</v>
      </c>
      <c r="K2186" s="300">
        <v>42.787934</v>
      </c>
      <c r="L2186" s="321"/>
      <c r="M2186" s="399"/>
    </row>
    <row r="2187" spans="2:13">
      <c r="B2187" s="315">
        <v>9</v>
      </c>
      <c r="C2187" s="320"/>
      <c r="D2187" s="299" t="s">
        <v>223</v>
      </c>
      <c r="E2187" s="304">
        <v>4.1470000000000002</v>
      </c>
      <c r="F2187" s="304">
        <v>4.6849999999999996</v>
      </c>
      <c r="G2187" s="304">
        <v>3.549156</v>
      </c>
      <c r="H2187" s="370">
        <v>5.397945</v>
      </c>
      <c r="I2187" s="301">
        <v>0.13880000000000001</v>
      </c>
      <c r="J2187" s="301">
        <v>0.10929999999999999</v>
      </c>
      <c r="K2187" s="300">
        <v>42.863678</v>
      </c>
      <c r="L2187" s="321"/>
      <c r="M2187" s="399"/>
    </row>
    <row r="2188" spans="2:13" ht="17.25" thickBot="1">
      <c r="B2188" s="322">
        <v>10</v>
      </c>
      <c r="C2188" s="323"/>
      <c r="D2188" s="293" t="s">
        <v>243</v>
      </c>
      <c r="E2188" s="371">
        <v>4.1449999999999996</v>
      </c>
      <c r="F2188" s="371">
        <v>4.6870000000000003</v>
      </c>
      <c r="G2188" s="371">
        <v>3.552384</v>
      </c>
      <c r="H2188" s="372">
        <v>5.4043039999999998</v>
      </c>
      <c r="I2188" s="289">
        <v>0.13880000000000001</v>
      </c>
      <c r="J2188" s="289">
        <v>0.10920000000000001</v>
      </c>
      <c r="K2188" s="288">
        <v>42.921244999999999</v>
      </c>
      <c r="L2188" s="324"/>
      <c r="M2188" s="399"/>
    </row>
    <row r="2189" spans="2:13" ht="17.25" thickBot="1">
      <c r="B2189" s="325" t="s">
        <v>455</v>
      </c>
      <c r="C2189" s="326"/>
      <c r="D2189" s="327" t="s">
        <v>463</v>
      </c>
      <c r="E2189" s="328">
        <f t="shared" ref="E2189:K2189" si="624">AVERAGE(E2184:E2188)</f>
        <v>4.1449999999999996</v>
      </c>
      <c r="F2189" s="328">
        <f t="shared" si="624"/>
        <v>4.6795999999999998</v>
      </c>
      <c r="G2189" s="328">
        <f t="shared" si="624"/>
        <v>3.5467746</v>
      </c>
      <c r="H2189" s="373">
        <f t="shared" si="624"/>
        <v>5.3821154</v>
      </c>
      <c r="I2189" s="329">
        <f t="shared" si="624"/>
        <v>0.13882</v>
      </c>
      <c r="J2189" s="329">
        <f t="shared" si="624"/>
        <v>0.10942</v>
      </c>
      <c r="K2189" s="330">
        <f t="shared" si="624"/>
        <v>42.767513600000001</v>
      </c>
      <c r="L2189" s="331"/>
      <c r="M2189" s="399"/>
    </row>
    <row r="2190" spans="2:13">
      <c r="B2190" s="333">
        <v>11</v>
      </c>
      <c r="C2190" s="271" t="s">
        <v>389</v>
      </c>
      <c r="D2190" s="291" t="s">
        <v>244</v>
      </c>
      <c r="E2190" s="302">
        <v>4.1420000000000003</v>
      </c>
      <c r="F2190" s="302">
        <v>4.7409999999999997</v>
      </c>
      <c r="G2190" s="302">
        <v>3.5959150000000002</v>
      </c>
      <c r="H2190" s="302">
        <v>5.49472</v>
      </c>
      <c r="I2190" s="287">
        <v>0.1386</v>
      </c>
      <c r="J2190" s="287">
        <v>0.1086</v>
      </c>
      <c r="K2190" s="286">
        <v>43.655616999999999</v>
      </c>
      <c r="L2190" s="332"/>
      <c r="M2190" s="399"/>
    </row>
    <row r="2191" spans="2:13">
      <c r="B2191" s="335">
        <v>12</v>
      </c>
      <c r="C2191" s="316"/>
      <c r="D2191" s="299" t="s">
        <v>245</v>
      </c>
      <c r="E2191" s="304">
        <v>4.1449999999999996</v>
      </c>
      <c r="F2191" s="304">
        <v>4.7359999999999998</v>
      </c>
      <c r="G2191" s="304">
        <v>3.5895220000000001</v>
      </c>
      <c r="H2191" s="304">
        <v>5.4925750000000004</v>
      </c>
      <c r="I2191" s="301">
        <v>0.13850000000000001</v>
      </c>
      <c r="J2191" s="301">
        <v>0.1084</v>
      </c>
      <c r="K2191" s="300">
        <v>43.690036999999997</v>
      </c>
      <c r="L2191" s="321"/>
      <c r="M2191" s="399"/>
    </row>
    <row r="2192" spans="2:13">
      <c r="B2192" s="335">
        <v>13</v>
      </c>
      <c r="C2192" s="320"/>
      <c r="D2192" s="299" t="s">
        <v>227</v>
      </c>
      <c r="E2192" s="304">
        <v>4.1479999999999997</v>
      </c>
      <c r="F2192" s="304">
        <v>4.7450000000000001</v>
      </c>
      <c r="G2192" s="304">
        <v>3.5937429999999999</v>
      </c>
      <c r="H2192" s="304">
        <v>5.5122080000000002</v>
      </c>
      <c r="I2192" s="301">
        <v>0.13850000000000001</v>
      </c>
      <c r="J2192" s="301">
        <v>0.1085</v>
      </c>
      <c r="K2192" s="300">
        <v>43.732719000000003</v>
      </c>
      <c r="L2192" s="321"/>
      <c r="M2192" s="399"/>
    </row>
    <row r="2193" spans="2:13">
      <c r="B2193" s="335">
        <v>14</v>
      </c>
      <c r="C2193" s="320"/>
      <c r="D2193" s="299" t="s">
        <v>228</v>
      </c>
      <c r="E2193" s="304">
        <v>4.1470000000000002</v>
      </c>
      <c r="F2193" s="304">
        <v>4.7450000000000001</v>
      </c>
      <c r="G2193" s="304">
        <v>3.5946090000000002</v>
      </c>
      <c r="H2193" s="304">
        <v>5.5158839999999998</v>
      </c>
      <c r="I2193" s="301">
        <v>0.13850000000000001</v>
      </c>
      <c r="J2193" s="301">
        <v>0.1084</v>
      </c>
      <c r="K2193" s="300">
        <v>43.773063</v>
      </c>
      <c r="L2193" s="321"/>
      <c r="M2193" s="399"/>
    </row>
    <row r="2194" spans="2:13" ht="17.25" thickBot="1">
      <c r="B2194" s="336">
        <v>15</v>
      </c>
      <c r="C2194" s="323"/>
      <c r="D2194" s="293" t="s">
        <v>246</v>
      </c>
      <c r="E2194" s="371">
        <v>4.1449999999999996</v>
      </c>
      <c r="F2194" s="371">
        <v>4.75</v>
      </c>
      <c r="G2194" s="371">
        <v>3.600133</v>
      </c>
      <c r="H2194" s="371">
        <v>5.5211069999999998</v>
      </c>
      <c r="I2194" s="289">
        <v>0.13850000000000001</v>
      </c>
      <c r="J2194" s="289">
        <v>0.10829999999999999</v>
      </c>
      <c r="K2194" s="288">
        <v>43.859648999999997</v>
      </c>
      <c r="L2194" s="324"/>
      <c r="M2194" s="399"/>
    </row>
    <row r="2195" spans="2:13" ht="17.25" thickBot="1">
      <c r="B2195" s="337"/>
      <c r="C2195" s="326"/>
      <c r="D2195" s="327" t="s">
        <v>463</v>
      </c>
      <c r="E2195" s="328">
        <f>AVERAGE(E2190:E2194)</f>
        <v>4.1454000000000004</v>
      </c>
      <c r="F2195" s="328">
        <f t="shared" ref="F2195:K2195" si="625">AVERAGE(F2190:F2194)</f>
        <v>4.7434000000000003</v>
      </c>
      <c r="G2195" s="328">
        <f t="shared" si="625"/>
        <v>3.5947844000000004</v>
      </c>
      <c r="H2195" s="328">
        <f t="shared" si="625"/>
        <v>5.5072988</v>
      </c>
      <c r="I2195" s="329">
        <f t="shared" si="625"/>
        <v>0.13852000000000003</v>
      </c>
      <c r="J2195" s="329">
        <f t="shared" si="625"/>
        <v>0.10844000000000001</v>
      </c>
      <c r="K2195" s="330">
        <f t="shared" si="625"/>
        <v>43.742216999999997</v>
      </c>
      <c r="L2195" s="331"/>
      <c r="M2195" s="399"/>
    </row>
    <row r="2196" spans="2:13">
      <c r="B2196" s="333">
        <v>16</v>
      </c>
      <c r="C2196" s="271" t="s">
        <v>555</v>
      </c>
      <c r="D2196" s="291" t="s">
        <v>247</v>
      </c>
      <c r="E2196" s="302">
        <v>4.141</v>
      </c>
      <c r="F2196" s="302">
        <v>4.657</v>
      </c>
      <c r="G2196" s="302">
        <v>3.5330560000000002</v>
      </c>
      <c r="H2196" s="302">
        <v>5.3416100000000002</v>
      </c>
      <c r="I2196" s="287">
        <v>0.1389</v>
      </c>
      <c r="J2196" s="287">
        <v>0.10979999999999999</v>
      </c>
      <c r="K2196" s="286">
        <v>42.413479000000002</v>
      </c>
      <c r="L2196" s="359"/>
      <c r="M2196" s="401"/>
    </row>
    <row r="2197" spans="2:13">
      <c r="B2197" s="335">
        <v>17</v>
      </c>
      <c r="C2197" s="320"/>
      <c r="D2197" s="299" t="s">
        <v>248</v>
      </c>
      <c r="E2197" s="304">
        <v>4.1429999999999998</v>
      </c>
      <c r="F2197" s="304">
        <v>4.6429999999999998</v>
      </c>
      <c r="G2197" s="304">
        <v>3.520734</v>
      </c>
      <c r="H2197" s="304">
        <v>5.3309610000000003</v>
      </c>
      <c r="I2197" s="301">
        <v>0.13900000000000001</v>
      </c>
      <c r="J2197" s="301">
        <v>0.1096</v>
      </c>
      <c r="K2197" s="300">
        <v>42.363138999999997</v>
      </c>
      <c r="L2197" s="321"/>
      <c r="M2197" s="399"/>
    </row>
    <row r="2198" spans="2:13">
      <c r="B2198" s="335">
        <v>18</v>
      </c>
      <c r="C2198" s="320"/>
      <c r="D2198" s="299" t="s">
        <v>232</v>
      </c>
      <c r="E2198" s="304">
        <v>4.1470000000000002</v>
      </c>
      <c r="F2198" s="304">
        <v>4.6550000000000002</v>
      </c>
      <c r="G2198" s="304">
        <v>3.5264289999999998</v>
      </c>
      <c r="H2198" s="304">
        <v>5.3549519999999999</v>
      </c>
      <c r="I2198" s="301">
        <v>0.1389</v>
      </c>
      <c r="J2198" s="301">
        <v>0.1095</v>
      </c>
      <c r="K2198" s="300">
        <v>42.511415999999997</v>
      </c>
      <c r="L2198" s="321"/>
      <c r="M2198" s="399"/>
    </row>
    <row r="2199" spans="2:13">
      <c r="B2199" s="335">
        <v>19</v>
      </c>
      <c r="C2199" s="320"/>
      <c r="D2199" s="299" t="s">
        <v>233</v>
      </c>
      <c r="E2199" s="304">
        <v>4.1449999999999996</v>
      </c>
      <c r="F2199" s="304">
        <v>4.6509999999999998</v>
      </c>
      <c r="G2199" s="304">
        <v>3.525099</v>
      </c>
      <c r="H2199" s="304">
        <v>5.3540660000000004</v>
      </c>
      <c r="I2199" s="301">
        <v>0.13880000000000001</v>
      </c>
      <c r="J2199" s="301">
        <v>0.10929999999999999</v>
      </c>
      <c r="K2199" s="300">
        <v>42.552607999999999</v>
      </c>
      <c r="L2199" s="321"/>
      <c r="M2199" s="399"/>
    </row>
    <row r="2200" spans="2:13" ht="17.25" thickBot="1">
      <c r="B2200" s="336">
        <v>20</v>
      </c>
      <c r="C2200" s="323"/>
      <c r="D2200" s="293" t="s">
        <v>249</v>
      </c>
      <c r="E2200" s="371">
        <v>4.1420000000000003</v>
      </c>
      <c r="F2200" s="371">
        <v>4.6609999999999996</v>
      </c>
      <c r="G2200" s="371">
        <v>3.535237</v>
      </c>
      <c r="H2200" s="371">
        <v>5.3680580000000004</v>
      </c>
      <c r="I2200" s="289">
        <v>0.1389</v>
      </c>
      <c r="J2200" s="289">
        <v>0.1094</v>
      </c>
      <c r="K2200" s="288">
        <v>42.605119000000002</v>
      </c>
      <c r="L2200" s="324"/>
      <c r="M2200" s="399"/>
    </row>
    <row r="2201" spans="2:13" ht="17.25" thickBot="1">
      <c r="B2201" s="337"/>
      <c r="C2201" s="326"/>
      <c r="D2201" s="327" t="s">
        <v>463</v>
      </c>
      <c r="E2201" s="328">
        <f>AVERAGE(E2196:E2200)</f>
        <v>4.1436000000000002</v>
      </c>
      <c r="F2201" s="328">
        <f t="shared" ref="F2201:K2201" si="626">AVERAGE(F2196:F2200)</f>
        <v>4.6534000000000004</v>
      </c>
      <c r="G2201" s="328">
        <f t="shared" si="626"/>
        <v>3.528111</v>
      </c>
      <c r="H2201" s="328">
        <f t="shared" si="626"/>
        <v>5.3499294000000006</v>
      </c>
      <c r="I2201" s="329">
        <f t="shared" si="626"/>
        <v>0.13890000000000002</v>
      </c>
      <c r="J2201" s="329">
        <f t="shared" si="626"/>
        <v>0.10951999999999999</v>
      </c>
      <c r="K2201" s="328">
        <f t="shared" si="626"/>
        <v>42.489152199999999</v>
      </c>
      <c r="L2201" s="331"/>
      <c r="M2201" s="399"/>
    </row>
    <row r="2202" spans="2:13">
      <c r="B2202" s="333">
        <v>21</v>
      </c>
      <c r="C2202" s="271" t="s">
        <v>555</v>
      </c>
      <c r="D2202" s="291" t="s">
        <v>250</v>
      </c>
      <c r="E2202" s="302">
        <v>4.1349999999999998</v>
      </c>
      <c r="F2202" s="302">
        <v>4.6609999999999996</v>
      </c>
      <c r="G2202" s="302">
        <v>3.5412219999999999</v>
      </c>
      <c r="H2202" s="302">
        <v>5.3455149999999998</v>
      </c>
      <c r="I2202" s="287">
        <v>0.13900000000000001</v>
      </c>
      <c r="J2202" s="287">
        <v>0.1099</v>
      </c>
      <c r="K2202" s="286">
        <v>42.411282999999997</v>
      </c>
      <c r="L2202" s="332"/>
      <c r="M2202" s="399"/>
    </row>
    <row r="2203" spans="2:13">
      <c r="B2203" s="335">
        <v>22</v>
      </c>
      <c r="C2203" s="320"/>
      <c r="D2203" s="299" t="s">
        <v>251</v>
      </c>
      <c r="E2203" s="304">
        <v>4.141</v>
      </c>
      <c r="F2203" s="304">
        <v>4.6500000000000004</v>
      </c>
      <c r="G2203" s="304">
        <v>3.5277449999999999</v>
      </c>
      <c r="H2203" s="304">
        <v>5.3367000000000004</v>
      </c>
      <c r="I2203" s="301">
        <v>0.1389</v>
      </c>
      <c r="J2203" s="301">
        <v>0.1096</v>
      </c>
      <c r="K2203" s="300">
        <v>42.427007000000003</v>
      </c>
      <c r="L2203" s="321"/>
      <c r="M2203" s="399"/>
    </row>
    <row r="2204" spans="2:13">
      <c r="B2204" s="335">
        <v>23</v>
      </c>
      <c r="C2204" s="320"/>
      <c r="D2204" s="299" t="s">
        <v>237</v>
      </c>
      <c r="E2204" s="304">
        <v>4.1440000000000001</v>
      </c>
      <c r="F2204" s="304">
        <v>4.6479999999999997</v>
      </c>
      <c r="G2204" s="304">
        <v>3.5236749999999999</v>
      </c>
      <c r="H2204" s="304">
        <v>5.3434559999999998</v>
      </c>
      <c r="I2204" s="301">
        <v>0.1389</v>
      </c>
      <c r="J2204" s="301">
        <v>0.1095</v>
      </c>
      <c r="K2204" s="300">
        <v>42.447488999999997</v>
      </c>
      <c r="L2204" s="321"/>
      <c r="M2204" s="399"/>
    </row>
    <row r="2205" spans="2:13">
      <c r="B2205" s="335">
        <v>24</v>
      </c>
      <c r="C2205" s="320"/>
      <c r="D2205" s="299" t="s">
        <v>238</v>
      </c>
      <c r="E2205" s="304">
        <v>4.1429999999999998</v>
      </c>
      <c r="F2205" s="304">
        <v>4.6459999999999999</v>
      </c>
      <c r="G2205" s="304">
        <v>3.5230090000000001</v>
      </c>
      <c r="H2205" s="304">
        <v>5.3498780000000004</v>
      </c>
      <c r="I2205" s="301">
        <v>0.1389</v>
      </c>
      <c r="J2205" s="301">
        <v>0.1094</v>
      </c>
      <c r="K2205" s="300">
        <v>42.468007</v>
      </c>
      <c r="L2205" s="321"/>
      <c r="M2205" s="399"/>
    </row>
    <row r="2206" spans="2:13" ht="17.25" thickBot="1">
      <c r="B2206" s="336">
        <v>25</v>
      </c>
      <c r="C2206" s="323"/>
      <c r="D2206" s="293" t="s">
        <v>252</v>
      </c>
      <c r="E2206" s="371">
        <v>4.141</v>
      </c>
      <c r="F2206" s="371">
        <v>4.657</v>
      </c>
      <c r="G2206" s="371">
        <v>3.5330560000000002</v>
      </c>
      <c r="H2206" s="371">
        <v>5.3522629999999998</v>
      </c>
      <c r="I2206" s="289">
        <v>0.1389</v>
      </c>
      <c r="J2206" s="289">
        <v>0.1095</v>
      </c>
      <c r="K2206" s="288">
        <v>42.529679999999999</v>
      </c>
      <c r="L2206" s="324"/>
      <c r="M2206" s="399"/>
    </row>
    <row r="2207" spans="2:13" ht="17.25" thickBot="1">
      <c r="B2207" s="339" t="s">
        <v>455</v>
      </c>
      <c r="C2207" s="340"/>
      <c r="D2207" s="341" t="s">
        <v>465</v>
      </c>
      <c r="E2207" s="342">
        <f>AVERAGE(E2202:E2206)</f>
        <v>4.1408000000000005</v>
      </c>
      <c r="F2207" s="342">
        <f t="shared" ref="F2207:K2207" si="627">AVERAGE(F2202:F2206)</f>
        <v>4.6524000000000001</v>
      </c>
      <c r="G2207" s="342">
        <f t="shared" si="627"/>
        <v>3.5297414000000003</v>
      </c>
      <c r="H2207" s="342">
        <f t="shared" si="627"/>
        <v>5.3455624000000004</v>
      </c>
      <c r="I2207" s="343">
        <f t="shared" si="627"/>
        <v>0.13892000000000002</v>
      </c>
      <c r="J2207" s="343">
        <f t="shared" si="627"/>
        <v>0.10958000000000001</v>
      </c>
      <c r="K2207" s="342">
        <f t="shared" si="627"/>
        <v>42.456693199999997</v>
      </c>
      <c r="L2207" s="344"/>
      <c r="M2207" s="399"/>
    </row>
    <row r="2208" spans="2:13">
      <c r="B2208" s="333"/>
      <c r="C2208" s="345"/>
      <c r="D2208" s="291" t="s">
        <v>458</v>
      </c>
      <c r="E2208" s="346">
        <f>MEDIAN(E2178:E2182,E2184:E2188,E2190:E2194,E2196:E2200,E2202:E2206)</f>
        <v>4.1449999999999996</v>
      </c>
      <c r="F2208" s="346">
        <f t="shared" ref="F2208:K2208" si="628">MEDIAN(F2178:F2182,F2184:F2188,F2190:F2194,F2196:F2200,F2202:F2206)</f>
        <v>4.681</v>
      </c>
      <c r="G2208" s="346">
        <f t="shared" si="628"/>
        <v>3.5452710000000001</v>
      </c>
      <c r="H2208" s="346">
        <f t="shared" si="628"/>
        <v>5.377821</v>
      </c>
      <c r="I2208" s="347">
        <f t="shared" si="628"/>
        <v>0.13880000000000001</v>
      </c>
      <c r="J2208" s="347">
        <f t="shared" si="628"/>
        <v>0.10929999999999999</v>
      </c>
      <c r="K2208" s="348">
        <f t="shared" si="628"/>
        <v>42.787934</v>
      </c>
      <c r="L2208" s="332"/>
      <c r="M2208" s="399"/>
    </row>
    <row r="2209" spans="2:13">
      <c r="B2209" s="335"/>
      <c r="C2209" s="320"/>
      <c r="D2209" s="299" t="s">
        <v>457</v>
      </c>
      <c r="E2209" s="349">
        <f>AVERAGE(E2178:E2182,E2184:E2188,E2190:E2194,E2196:E2200,E2202:E2206)</f>
        <v>4.1458400000000015</v>
      </c>
      <c r="F2209" s="349">
        <f t="shared" ref="F2209:K2209" si="629">AVERAGE(F2178:F2182,F2184:F2188,F2190:F2194,F2196:F2200,F2202:F2206)</f>
        <v>4.7043199999999992</v>
      </c>
      <c r="G2209" s="349">
        <f t="shared" si="629"/>
        <v>3.5647529599999994</v>
      </c>
      <c r="H2209" s="349">
        <f t="shared" si="629"/>
        <v>5.4299058799999997</v>
      </c>
      <c r="I2209" s="350">
        <f t="shared" si="629"/>
        <v>0.13873600000000003</v>
      </c>
      <c r="J2209" s="350">
        <f t="shared" si="629"/>
        <v>0.10908000000000001</v>
      </c>
      <c r="K2209" s="351">
        <f t="shared" si="629"/>
        <v>43.130671960000008</v>
      </c>
      <c r="L2209" s="321"/>
      <c r="M2209" s="399"/>
    </row>
    <row r="2210" spans="2:13">
      <c r="B2210" s="335"/>
      <c r="C2210" s="320"/>
      <c r="D2210" s="299" t="s">
        <v>199</v>
      </c>
      <c r="E2210" s="349">
        <f>MAX(E2178:E2182,E2184:E2188,E2190:E2194,E2196:E2200,E2202:E2206)</f>
        <v>4.1559999999999997</v>
      </c>
      <c r="F2210" s="349">
        <f t="shared" ref="F2210:K2210" si="630">MAX(F2178:F2182,F2184:F2188,F2190:F2194,F2196:F2200,F2202:F2206)</f>
        <v>4.8129999999999997</v>
      </c>
      <c r="G2210" s="349">
        <f t="shared" si="630"/>
        <v>3.6417320000000002</v>
      </c>
      <c r="H2210" s="349">
        <f t="shared" si="630"/>
        <v>5.5991330000000001</v>
      </c>
      <c r="I2210" s="350">
        <f t="shared" si="630"/>
        <v>0.13900000000000001</v>
      </c>
      <c r="J2210" s="350">
        <f t="shared" si="630"/>
        <v>0.1099</v>
      </c>
      <c r="K2210" s="351">
        <f t="shared" si="630"/>
        <v>44.441367</v>
      </c>
      <c r="L2210" s="321"/>
      <c r="M2210" s="399"/>
    </row>
    <row r="2211" spans="2:13">
      <c r="B2211" s="335"/>
      <c r="C2211" s="320"/>
      <c r="D2211" s="299" t="s">
        <v>200</v>
      </c>
      <c r="E2211" s="349">
        <f>MIN(E2178:E2182,E2184:E2188,E2190:E2194,E2196:E2200,E2202:E2206)</f>
        <v>4.1349999999999998</v>
      </c>
      <c r="F2211" s="349">
        <f t="shared" ref="F2211:K2211" si="631">MIN(F2178:F2182,F2184:F2188,F2190:F2194,F2196:F2200,F2202:F2206)</f>
        <v>4.6429999999999998</v>
      </c>
      <c r="G2211" s="349">
        <f t="shared" si="631"/>
        <v>3.520734</v>
      </c>
      <c r="H2211" s="349">
        <f t="shared" si="631"/>
        <v>5.3309610000000003</v>
      </c>
      <c r="I2211" s="350">
        <f t="shared" si="631"/>
        <v>0.13850000000000001</v>
      </c>
      <c r="J2211" s="350">
        <f t="shared" si="631"/>
        <v>0.10829999999999999</v>
      </c>
      <c r="K2211" s="351">
        <f t="shared" si="631"/>
        <v>42.363138999999997</v>
      </c>
      <c r="L2211" s="321"/>
      <c r="M2211" s="399"/>
    </row>
    <row r="2212" spans="2:13">
      <c r="B2212" s="335"/>
      <c r="C2212" s="320"/>
      <c r="D2212" s="299" t="s">
        <v>201</v>
      </c>
      <c r="E2212" s="349">
        <f>E2210-E2211</f>
        <v>2.0999999999999908E-2</v>
      </c>
      <c r="F2212" s="349">
        <f t="shared" ref="F2212:K2212" si="632">F2210-F2211</f>
        <v>0.16999999999999993</v>
      </c>
      <c r="G2212" s="349">
        <f t="shared" si="632"/>
        <v>0.12099800000000016</v>
      </c>
      <c r="H2212" s="349">
        <f t="shared" si="632"/>
        <v>0.26817199999999985</v>
      </c>
      <c r="I2212" s="350">
        <f t="shared" si="632"/>
        <v>5.0000000000000044E-4</v>
      </c>
      <c r="J2212" s="350">
        <f t="shared" si="632"/>
        <v>1.6000000000000042E-3</v>
      </c>
      <c r="K2212" s="349">
        <f t="shared" si="632"/>
        <v>2.0782280000000029</v>
      </c>
      <c r="L2212" s="321"/>
      <c r="M2212" s="399"/>
    </row>
    <row r="2213" spans="2:13" ht="17.25" thickBot="1">
      <c r="B2213" s="336"/>
      <c r="C2213" s="323"/>
      <c r="D2213" s="293" t="s">
        <v>202</v>
      </c>
      <c r="E2213" s="352">
        <f>STDEVA(E2178:E2182,E2184:E2188,E2190:E2194,E2196:E2200,E2202:E2206)</f>
        <v>5.2415010572671753E-3</v>
      </c>
      <c r="F2213" s="352">
        <f t="shared" ref="F2213:K2213" si="633">STDEVA(F2178:F2182,F2184:F2188,F2190:F2194,F2196:F2200,F2202:F2206)</f>
        <v>5.710715074897952E-2</v>
      </c>
      <c r="G2213" s="352">
        <f t="shared" si="633"/>
        <v>3.9787818067091897E-2</v>
      </c>
      <c r="H2213" s="352">
        <f t="shared" si="633"/>
        <v>9.256241608023201E-2</v>
      </c>
      <c r="I2213" s="353">
        <f t="shared" si="633"/>
        <v>1.8903262505009995E-4</v>
      </c>
      <c r="J2213" s="353">
        <f t="shared" si="633"/>
        <v>5.5677643628300336E-4</v>
      </c>
      <c r="K2213" s="352">
        <f t="shared" si="633"/>
        <v>0.73140226070755565</v>
      </c>
      <c r="L2213" s="324"/>
      <c r="M2213" s="399"/>
    </row>
    <row r="2215" spans="2:13">
      <c r="B2215" s="240" t="s">
        <v>563</v>
      </c>
      <c r="C2215" s="240"/>
      <c r="E2215" s="240"/>
      <c r="F2215" s="240"/>
      <c r="G2215" s="240"/>
      <c r="H2215" s="240"/>
      <c r="I2215" s="240"/>
      <c r="J2215" s="240"/>
      <c r="K2215" s="240"/>
    </row>
    <row r="2216" spans="2:13" ht="17.25" thickBot="1">
      <c r="B2216" s="240" t="s">
        <v>452</v>
      </c>
      <c r="C2216" s="240"/>
      <c r="E2216" s="240"/>
      <c r="F2216" s="240"/>
      <c r="G2216" s="240"/>
      <c r="H2216" s="240"/>
      <c r="I2216" s="240"/>
      <c r="J2216" s="240"/>
      <c r="K2216" s="240"/>
    </row>
    <row r="2217" spans="2:13" ht="17.25" thickBot="1">
      <c r="B2217" s="313" t="s">
        <v>11</v>
      </c>
      <c r="C2217" s="250" t="s">
        <v>0</v>
      </c>
      <c r="D2217" s="250" t="s">
        <v>1</v>
      </c>
      <c r="E2217" s="250" t="s">
        <v>2</v>
      </c>
      <c r="F2217" s="250" t="s">
        <v>3</v>
      </c>
      <c r="G2217" s="250" t="s">
        <v>192</v>
      </c>
      <c r="H2217" s="250" t="s">
        <v>16</v>
      </c>
      <c r="I2217" s="250" t="s">
        <v>6</v>
      </c>
      <c r="J2217" s="251" t="s">
        <v>7</v>
      </c>
      <c r="K2217" s="252" t="s">
        <v>8</v>
      </c>
      <c r="L2217" s="254" t="s">
        <v>439</v>
      </c>
      <c r="M2217" s="404"/>
    </row>
    <row r="2218" spans="2:13">
      <c r="B2218" s="314">
        <v>1</v>
      </c>
      <c r="C2218" s="271" t="s">
        <v>389</v>
      </c>
      <c r="D2218" s="291" t="s">
        <v>213</v>
      </c>
      <c r="E2218" s="302">
        <v>4.2380000000000004</v>
      </c>
      <c r="F2218" s="302">
        <v>4.4619999999999997</v>
      </c>
      <c r="G2218" s="302">
        <v>3.307639</v>
      </c>
      <c r="H2218" s="364">
        <v>5.1327689999999997</v>
      </c>
      <c r="I2218" s="287">
        <v>0.13850000000000001</v>
      </c>
      <c r="J2218" s="287">
        <v>0.11020000000000001</v>
      </c>
      <c r="K2218" s="286">
        <v>40.490017999999999</v>
      </c>
      <c r="L2218" s="275"/>
      <c r="M2218" s="397"/>
    </row>
    <row r="2219" spans="2:13">
      <c r="B2219" s="315">
        <v>2</v>
      </c>
      <c r="C2219" s="316"/>
      <c r="D2219" s="299" t="s">
        <v>214</v>
      </c>
      <c r="E2219" s="304">
        <v>4.2439999999999998</v>
      </c>
      <c r="F2219" s="304">
        <v>4.4720000000000004</v>
      </c>
      <c r="G2219" s="304">
        <v>3.310365</v>
      </c>
      <c r="H2219" s="370">
        <v>5.1161159999999999</v>
      </c>
      <c r="I2219" s="301">
        <v>0.13850000000000001</v>
      </c>
      <c r="J2219" s="301">
        <v>0.1103</v>
      </c>
      <c r="K2219" s="300">
        <v>40.543970999999999</v>
      </c>
      <c r="L2219" s="319"/>
      <c r="M2219" s="398"/>
    </row>
    <row r="2220" spans="2:13">
      <c r="B2220" s="315">
        <v>3</v>
      </c>
      <c r="C2220" s="320"/>
      <c r="D2220" s="299" t="s">
        <v>217</v>
      </c>
      <c r="E2220" s="304">
        <v>4.2469999999999999</v>
      </c>
      <c r="F2220" s="304">
        <v>4.4669999999999996</v>
      </c>
      <c r="G2220" s="304">
        <v>3.3043279999999999</v>
      </c>
      <c r="H2220" s="370">
        <v>5.110195</v>
      </c>
      <c r="I2220" s="301">
        <v>0.13850000000000001</v>
      </c>
      <c r="J2220" s="301">
        <v>0.1104</v>
      </c>
      <c r="K2220" s="300">
        <v>40.461956999999998</v>
      </c>
      <c r="L2220" s="356"/>
      <c r="M2220" s="400"/>
    </row>
    <row r="2221" spans="2:13">
      <c r="B2221" s="315">
        <v>4</v>
      </c>
      <c r="C2221" s="320"/>
      <c r="D2221" s="299" t="s">
        <v>218</v>
      </c>
      <c r="E2221" s="304">
        <v>4.2489999999999997</v>
      </c>
      <c r="F2221" s="304">
        <v>4.4649999999999999</v>
      </c>
      <c r="G2221" s="304">
        <v>3.301294</v>
      </c>
      <c r="H2221" s="370">
        <v>5.1120549999999998</v>
      </c>
      <c r="I2221" s="301">
        <v>0.13850000000000001</v>
      </c>
      <c r="J2221" s="301">
        <v>0.1103</v>
      </c>
      <c r="K2221" s="300">
        <v>40.480508</v>
      </c>
      <c r="L2221" s="356"/>
      <c r="M2221" s="400"/>
    </row>
    <row r="2222" spans="2:13" ht="17.25" thickBot="1">
      <c r="B2222" s="322">
        <v>5</v>
      </c>
      <c r="C2222" s="323"/>
      <c r="D2222" s="293" t="s">
        <v>240</v>
      </c>
      <c r="E2222" s="371">
        <v>4.2469999999999999</v>
      </c>
      <c r="F2222" s="371">
        <v>4.4580000000000002</v>
      </c>
      <c r="G2222" s="371">
        <v>3.2976709999999998</v>
      </c>
      <c r="H2222" s="372">
        <v>5.1138089999999998</v>
      </c>
      <c r="I2222" s="289">
        <v>0.13850000000000001</v>
      </c>
      <c r="J2222" s="289">
        <v>0.1103</v>
      </c>
      <c r="K2222" s="288">
        <v>40.417043999999997</v>
      </c>
      <c r="L2222" s="324"/>
      <c r="M2222" s="399"/>
    </row>
    <row r="2223" spans="2:13" ht="17.25" thickBot="1">
      <c r="B2223" s="325"/>
      <c r="C2223" s="326"/>
      <c r="D2223" s="327" t="s">
        <v>463</v>
      </c>
      <c r="E2223" s="328">
        <f>AVERAGE(E2218:E2222)</f>
        <v>4.2449999999999992</v>
      </c>
      <c r="F2223" s="328">
        <f t="shared" ref="F2223:K2223" si="634">AVERAGE(F2218:F2222)</f>
        <v>4.4647999999999994</v>
      </c>
      <c r="G2223" s="328">
        <f t="shared" si="634"/>
        <v>3.3042594000000003</v>
      </c>
      <c r="H2223" s="373">
        <f t="shared" si="634"/>
        <v>5.1169887999999997</v>
      </c>
      <c r="I2223" s="329">
        <f t="shared" si="634"/>
        <v>0.13850000000000001</v>
      </c>
      <c r="J2223" s="329">
        <f t="shared" si="634"/>
        <v>0.1103</v>
      </c>
      <c r="K2223" s="330">
        <f t="shared" si="634"/>
        <v>40.478699599999999</v>
      </c>
      <c r="L2223" s="331"/>
      <c r="M2223" s="399"/>
    </row>
    <row r="2224" spans="2:13">
      <c r="B2224" s="314">
        <v>6</v>
      </c>
      <c r="C2224" s="271" t="s">
        <v>562</v>
      </c>
      <c r="D2224" s="291" t="s">
        <v>241</v>
      </c>
      <c r="E2224" s="302">
        <v>4.2370000000000001</v>
      </c>
      <c r="F2224" s="302">
        <v>4.5620000000000003</v>
      </c>
      <c r="G2224" s="302">
        <v>3.3825660000000002</v>
      </c>
      <c r="H2224" s="364">
        <v>5.2532620000000003</v>
      </c>
      <c r="I2224" s="287">
        <v>0.13750000000000001</v>
      </c>
      <c r="J2224" s="287">
        <v>0.1104</v>
      </c>
      <c r="K2224" s="286">
        <v>41.322463999999997</v>
      </c>
      <c r="L2224" s="332"/>
      <c r="M2224" s="399"/>
    </row>
    <row r="2225" spans="2:13">
      <c r="B2225" s="315">
        <v>7</v>
      </c>
      <c r="C2225" s="320"/>
      <c r="D2225" s="299" t="s">
        <v>242</v>
      </c>
      <c r="E2225" s="304">
        <v>4.2430000000000003</v>
      </c>
      <c r="F2225" s="304">
        <v>4.5679999999999996</v>
      </c>
      <c r="G2225" s="304">
        <v>3.3822260000000002</v>
      </c>
      <c r="H2225" s="370">
        <v>5.2573889999999999</v>
      </c>
      <c r="I2225" s="301">
        <v>0.13750000000000001</v>
      </c>
      <c r="J2225" s="301">
        <v>0.1106</v>
      </c>
      <c r="K2225" s="300">
        <v>41.301988999999999</v>
      </c>
      <c r="L2225" s="321"/>
      <c r="M2225" s="399"/>
    </row>
    <row r="2226" spans="2:13">
      <c r="B2226" s="315">
        <v>8</v>
      </c>
      <c r="C2226" s="320"/>
      <c r="D2226" s="299" t="s">
        <v>222</v>
      </c>
      <c r="E2226" s="304">
        <v>4.2460000000000004</v>
      </c>
      <c r="F2226" s="304">
        <v>4.5650000000000004</v>
      </c>
      <c r="G2226" s="304">
        <v>3.3776160000000002</v>
      </c>
      <c r="H2226" s="370">
        <v>5.2477520000000002</v>
      </c>
      <c r="I2226" s="301">
        <v>0.13750000000000001</v>
      </c>
      <c r="J2226" s="301">
        <v>0.11070000000000001</v>
      </c>
      <c r="K2226" s="300">
        <v>41.237578999999997</v>
      </c>
      <c r="L2226" s="321"/>
      <c r="M2226" s="399"/>
    </row>
    <row r="2227" spans="2:13">
      <c r="B2227" s="315">
        <v>9</v>
      </c>
      <c r="C2227" s="320"/>
      <c r="D2227" s="299" t="s">
        <v>223</v>
      </c>
      <c r="E2227" s="304">
        <v>4.2460000000000004</v>
      </c>
      <c r="F2227" s="304">
        <v>4.5609999999999999</v>
      </c>
      <c r="G2227" s="304">
        <v>3.374657</v>
      </c>
      <c r="H2227" s="370">
        <v>5.2440920000000002</v>
      </c>
      <c r="I2227" s="301">
        <v>0.13750000000000001</v>
      </c>
      <c r="J2227" s="301">
        <v>0.11070000000000001</v>
      </c>
      <c r="K2227" s="300">
        <v>41.201445</v>
      </c>
      <c r="L2227" s="321"/>
      <c r="M2227" s="399"/>
    </row>
    <row r="2228" spans="2:13" ht="17.25" thickBot="1">
      <c r="B2228" s="322">
        <v>10</v>
      </c>
      <c r="C2228" s="323"/>
      <c r="D2228" s="293" t="s">
        <v>243</v>
      </c>
      <c r="E2228" s="371">
        <v>4.2460000000000004</v>
      </c>
      <c r="F2228" s="371">
        <v>4.5430000000000001</v>
      </c>
      <c r="G2228" s="371">
        <v>3.3613390000000001</v>
      </c>
      <c r="H2228" s="372">
        <v>5.2255419999999999</v>
      </c>
      <c r="I2228" s="289">
        <v>0.13750000000000001</v>
      </c>
      <c r="J2228" s="289">
        <v>0.1105</v>
      </c>
      <c r="K2228" s="288">
        <v>41.113121999999997</v>
      </c>
      <c r="L2228" s="324"/>
      <c r="M2228" s="399"/>
    </row>
    <row r="2229" spans="2:13" ht="17.25" thickBot="1">
      <c r="B2229" s="325" t="s">
        <v>455</v>
      </c>
      <c r="C2229" s="326"/>
      <c r="D2229" s="327" t="s">
        <v>463</v>
      </c>
      <c r="E2229" s="328">
        <f t="shared" ref="E2229:K2229" si="635">AVERAGE(E2224:E2228)</f>
        <v>4.2436000000000007</v>
      </c>
      <c r="F2229" s="328">
        <f t="shared" si="635"/>
        <v>4.5598000000000001</v>
      </c>
      <c r="G2229" s="328">
        <f t="shared" si="635"/>
        <v>3.3756808</v>
      </c>
      <c r="H2229" s="373">
        <f t="shared" si="635"/>
        <v>5.2456073999999999</v>
      </c>
      <c r="I2229" s="329">
        <f t="shared" si="635"/>
        <v>0.13750000000000001</v>
      </c>
      <c r="J2229" s="329">
        <f t="shared" si="635"/>
        <v>0.11058000000000001</v>
      </c>
      <c r="K2229" s="330">
        <f t="shared" si="635"/>
        <v>41.235319799999999</v>
      </c>
      <c r="L2229" s="331"/>
      <c r="M2229" s="399"/>
    </row>
    <row r="2230" spans="2:13">
      <c r="B2230" s="333">
        <v>11</v>
      </c>
      <c r="C2230" s="271" t="s">
        <v>389</v>
      </c>
      <c r="D2230" s="291" t="s">
        <v>244</v>
      </c>
      <c r="E2230" s="302">
        <v>4.2389999999999999</v>
      </c>
      <c r="F2230" s="302">
        <v>4.45</v>
      </c>
      <c r="G2230" s="302">
        <v>3.297965</v>
      </c>
      <c r="H2230" s="302">
        <v>5.0899590000000003</v>
      </c>
      <c r="I2230" s="287">
        <v>0.1386</v>
      </c>
      <c r="J2230" s="287">
        <v>0.1104</v>
      </c>
      <c r="K2230" s="286">
        <v>40.307971000000002</v>
      </c>
      <c r="L2230" s="332"/>
      <c r="M2230" s="399"/>
    </row>
    <row r="2231" spans="2:13">
      <c r="B2231" s="335">
        <v>12</v>
      </c>
      <c r="C2231" s="316"/>
      <c r="D2231" s="299" t="s">
        <v>245</v>
      </c>
      <c r="E2231" s="304">
        <v>4.2439999999999998</v>
      </c>
      <c r="F2231" s="304">
        <v>4.4400000000000004</v>
      </c>
      <c r="G2231" s="304">
        <v>3.2866780000000002</v>
      </c>
      <c r="H2231" s="304">
        <v>5.086538</v>
      </c>
      <c r="I2231" s="301">
        <v>0.13850000000000001</v>
      </c>
      <c r="J2231" s="301">
        <v>0.1104</v>
      </c>
      <c r="K2231" s="300">
        <v>40.217390999999999</v>
      </c>
      <c r="L2231" s="321"/>
      <c r="M2231" s="399"/>
    </row>
    <row r="2232" spans="2:13">
      <c r="B2232" s="335">
        <v>13</v>
      </c>
      <c r="C2232" s="320"/>
      <c r="D2232" s="299" t="s">
        <v>227</v>
      </c>
      <c r="E2232" s="304">
        <v>4.2480000000000002</v>
      </c>
      <c r="F2232" s="304">
        <v>4.4470000000000001</v>
      </c>
      <c r="G2232" s="304">
        <v>3.2887599999999999</v>
      </c>
      <c r="H2232" s="304">
        <v>5.0872409999999997</v>
      </c>
      <c r="I2232" s="301">
        <v>0.13850000000000001</v>
      </c>
      <c r="J2232" s="301">
        <v>0.1105</v>
      </c>
      <c r="K2232" s="300">
        <v>40.244343999999998</v>
      </c>
      <c r="L2232" s="321"/>
      <c r="M2232" s="399"/>
    </row>
    <row r="2233" spans="2:13">
      <c r="B2233" s="335">
        <v>14</v>
      </c>
      <c r="C2233" s="320"/>
      <c r="D2233" s="299" t="s">
        <v>228</v>
      </c>
      <c r="E2233" s="304">
        <v>4.2489999999999997</v>
      </c>
      <c r="F2233" s="304">
        <v>4.4390000000000001</v>
      </c>
      <c r="G2233" s="304">
        <v>3.2820710000000002</v>
      </c>
      <c r="H2233" s="304">
        <v>5.0922879999999999</v>
      </c>
      <c r="I2233" s="301">
        <v>0.13850000000000001</v>
      </c>
      <c r="J2233" s="301">
        <v>0.1105</v>
      </c>
      <c r="K2233" s="300">
        <v>40.171945999999998</v>
      </c>
      <c r="L2233" s="321"/>
      <c r="M2233" s="399"/>
    </row>
    <row r="2234" spans="2:13" ht="17.25" thickBot="1">
      <c r="B2234" s="336">
        <v>15</v>
      </c>
      <c r="C2234" s="323"/>
      <c r="D2234" s="293" t="s">
        <v>246</v>
      </c>
      <c r="E2234" s="371">
        <v>4.2460000000000004</v>
      </c>
      <c r="F2234" s="371">
        <v>4.4320000000000004</v>
      </c>
      <c r="G2234" s="371">
        <v>3.27921</v>
      </c>
      <c r="H2234" s="371">
        <v>5.0723960000000003</v>
      </c>
      <c r="I2234" s="289">
        <v>0.13850000000000001</v>
      </c>
      <c r="J2234" s="289">
        <v>0.1104</v>
      </c>
      <c r="K2234" s="288">
        <v>40.144928</v>
      </c>
      <c r="L2234" s="324"/>
      <c r="M2234" s="399"/>
    </row>
    <row r="2235" spans="2:13" ht="17.25" thickBot="1">
      <c r="B2235" s="337"/>
      <c r="C2235" s="326"/>
      <c r="D2235" s="327" t="s">
        <v>463</v>
      </c>
      <c r="E2235" s="328">
        <f>AVERAGE(E2230:E2234)</f>
        <v>4.2451999999999996</v>
      </c>
      <c r="F2235" s="328">
        <f t="shared" ref="F2235:K2235" si="636">AVERAGE(F2230:F2234)</f>
        <v>4.4415999999999993</v>
      </c>
      <c r="G2235" s="328">
        <f t="shared" si="636"/>
        <v>3.2869368000000003</v>
      </c>
      <c r="H2235" s="328">
        <f t="shared" si="636"/>
        <v>5.0856843999999999</v>
      </c>
      <c r="I2235" s="329">
        <f t="shared" si="636"/>
        <v>0.13852000000000003</v>
      </c>
      <c r="J2235" s="329">
        <f t="shared" si="636"/>
        <v>0.11044000000000001</v>
      </c>
      <c r="K2235" s="330">
        <f t="shared" si="636"/>
        <v>40.217315999999997</v>
      </c>
      <c r="L2235" s="331"/>
      <c r="M2235" s="399"/>
    </row>
    <row r="2236" spans="2:13">
      <c r="B2236" s="333">
        <v>16</v>
      </c>
      <c r="C2236" s="271" t="s">
        <v>559</v>
      </c>
      <c r="D2236" s="291" t="s">
        <v>247</v>
      </c>
      <c r="E2236" s="302">
        <v>4.2320000000000002</v>
      </c>
      <c r="F2236" s="302">
        <v>4.5460000000000003</v>
      </c>
      <c r="G2236" s="302">
        <v>3.3746849999999999</v>
      </c>
      <c r="H2236" s="302">
        <v>5.2396039999999999</v>
      </c>
      <c r="I2236" s="287">
        <v>0.1376</v>
      </c>
      <c r="J2236" s="287">
        <v>0.1103</v>
      </c>
      <c r="K2236" s="286">
        <v>41.214869</v>
      </c>
      <c r="L2236" s="359"/>
      <c r="M2236" s="401"/>
    </row>
    <row r="2237" spans="2:13">
      <c r="B2237" s="335">
        <v>17</v>
      </c>
      <c r="C2237" s="320"/>
      <c r="D2237" s="299" t="s">
        <v>248</v>
      </c>
      <c r="E2237" s="304">
        <v>4.2380000000000004</v>
      </c>
      <c r="F2237" s="304">
        <v>4.5469999999999997</v>
      </c>
      <c r="G2237" s="304">
        <v>3.3706489999999998</v>
      </c>
      <c r="H2237" s="304">
        <v>5.237724</v>
      </c>
      <c r="I2237" s="301">
        <v>0.1376</v>
      </c>
      <c r="J2237" s="301">
        <v>0.1105</v>
      </c>
      <c r="K2237" s="300">
        <v>41.149321</v>
      </c>
      <c r="L2237" s="321"/>
      <c r="M2237" s="399"/>
    </row>
    <row r="2238" spans="2:13">
      <c r="B2238" s="335">
        <v>18</v>
      </c>
      <c r="C2238" s="320"/>
      <c r="D2238" s="299" t="s">
        <v>232</v>
      </c>
      <c r="E2238" s="304">
        <v>4.2430000000000003</v>
      </c>
      <c r="F2238" s="304">
        <v>4.5439999999999996</v>
      </c>
      <c r="G2238" s="304">
        <v>3.3644560000000001</v>
      </c>
      <c r="H2238" s="304">
        <v>5.236224</v>
      </c>
      <c r="I2238" s="301">
        <v>0.13750000000000001</v>
      </c>
      <c r="J2238" s="301">
        <v>0.1105</v>
      </c>
      <c r="K2238" s="300">
        <v>41.122171999999999</v>
      </c>
      <c r="L2238" s="321"/>
      <c r="M2238" s="399"/>
    </row>
    <row r="2239" spans="2:13">
      <c r="B2239" s="335">
        <v>19</v>
      </c>
      <c r="C2239" s="320"/>
      <c r="D2239" s="299" t="s">
        <v>233</v>
      </c>
      <c r="E2239" s="304">
        <v>4.2439999999999998</v>
      </c>
      <c r="F2239" s="304">
        <v>4.54</v>
      </c>
      <c r="G2239" s="304">
        <v>3.3607019999999999</v>
      </c>
      <c r="H2239" s="304">
        <v>5.2169359999999996</v>
      </c>
      <c r="I2239" s="301">
        <v>0.13750000000000001</v>
      </c>
      <c r="J2239" s="301">
        <v>0.1105</v>
      </c>
      <c r="K2239" s="300">
        <v>41.085973000000003</v>
      </c>
      <c r="L2239" s="321"/>
      <c r="M2239" s="399"/>
    </row>
    <row r="2240" spans="2:13" ht="17.25" thickBot="1">
      <c r="B2240" s="336">
        <v>20</v>
      </c>
      <c r="C2240" s="323"/>
      <c r="D2240" s="293" t="s">
        <v>249</v>
      </c>
      <c r="E2240" s="371">
        <v>4.2409999999999997</v>
      </c>
      <c r="F2240" s="371">
        <v>4.532</v>
      </c>
      <c r="G2240" s="371">
        <v>3.3571529999999998</v>
      </c>
      <c r="H2240" s="371">
        <v>5.2151719999999999</v>
      </c>
      <c r="I2240" s="289">
        <v>0.13750000000000001</v>
      </c>
      <c r="J2240" s="289">
        <v>0.1104</v>
      </c>
      <c r="K2240" s="288">
        <v>41.050725</v>
      </c>
      <c r="L2240" s="324"/>
      <c r="M2240" s="399"/>
    </row>
    <row r="2241" spans="2:13" ht="17.25" thickBot="1">
      <c r="B2241" s="337"/>
      <c r="C2241" s="326"/>
      <c r="D2241" s="327" t="s">
        <v>463</v>
      </c>
      <c r="E2241" s="328">
        <f>AVERAGE(E2236:E2240)</f>
        <v>4.2396000000000003</v>
      </c>
      <c r="F2241" s="328">
        <f t="shared" ref="F2241:K2241" si="637">AVERAGE(F2236:F2240)</f>
        <v>4.5418000000000003</v>
      </c>
      <c r="G2241" s="328">
        <f t="shared" si="637"/>
        <v>3.365529</v>
      </c>
      <c r="H2241" s="328">
        <f t="shared" si="637"/>
        <v>5.2291319999999999</v>
      </c>
      <c r="I2241" s="329">
        <f t="shared" si="637"/>
        <v>0.13754</v>
      </c>
      <c r="J2241" s="329">
        <f t="shared" si="637"/>
        <v>0.11044000000000001</v>
      </c>
      <c r="K2241" s="328">
        <f t="shared" si="637"/>
        <v>41.124611999999999</v>
      </c>
      <c r="L2241" s="331"/>
      <c r="M2241" s="399"/>
    </row>
    <row r="2242" spans="2:13">
      <c r="B2242" s="333">
        <v>21</v>
      </c>
      <c r="C2242" s="271" t="s">
        <v>559</v>
      </c>
      <c r="D2242" s="291" t="s">
        <v>250</v>
      </c>
      <c r="E2242" s="302">
        <v>4.2270000000000003</v>
      </c>
      <c r="F2242" s="302">
        <v>4.5350000000000001</v>
      </c>
      <c r="G2242" s="302">
        <v>3.3705020000000001</v>
      </c>
      <c r="H2242" s="302">
        <v>5.2335900000000004</v>
      </c>
      <c r="I2242" s="287">
        <v>0.1376</v>
      </c>
      <c r="J2242" s="287">
        <v>0.11020000000000001</v>
      </c>
      <c r="K2242" s="286">
        <v>41.152450000000002</v>
      </c>
      <c r="L2242" s="332"/>
      <c r="M2242" s="399"/>
    </row>
    <row r="2243" spans="2:13">
      <c r="B2243" s="335">
        <v>22</v>
      </c>
      <c r="C2243" s="320"/>
      <c r="D2243" s="299" t="s">
        <v>251</v>
      </c>
      <c r="E2243" s="304">
        <v>4.2329999999999997</v>
      </c>
      <c r="F2243" s="304">
        <v>4.5350000000000001</v>
      </c>
      <c r="G2243" s="304">
        <v>3.3657240000000002</v>
      </c>
      <c r="H2243" s="304">
        <v>5.2291090000000002</v>
      </c>
      <c r="I2243" s="301">
        <v>0.1376</v>
      </c>
      <c r="J2243" s="301">
        <v>0.11020000000000001</v>
      </c>
      <c r="K2243" s="300">
        <v>41.152450000000002</v>
      </c>
      <c r="L2243" s="321"/>
      <c r="M2243" s="399"/>
    </row>
    <row r="2244" spans="2:13">
      <c r="B2244" s="335">
        <v>23</v>
      </c>
      <c r="C2244" s="320"/>
      <c r="D2244" s="299" t="s">
        <v>237</v>
      </c>
      <c r="E2244" s="304">
        <v>4.2370000000000001</v>
      </c>
      <c r="F2244" s="304">
        <v>4.5350000000000001</v>
      </c>
      <c r="G2244" s="304">
        <v>3.3625470000000002</v>
      </c>
      <c r="H2244" s="304">
        <v>5.225581</v>
      </c>
      <c r="I2244" s="301">
        <v>0.13750000000000001</v>
      </c>
      <c r="J2244" s="301">
        <v>0.1103</v>
      </c>
      <c r="K2244" s="300">
        <v>41.115141000000001</v>
      </c>
      <c r="L2244" s="321"/>
      <c r="M2244" s="399"/>
    </row>
    <row r="2245" spans="2:13">
      <c r="B2245" s="335">
        <v>24</v>
      </c>
      <c r="C2245" s="320"/>
      <c r="D2245" s="299" t="s">
        <v>238</v>
      </c>
      <c r="E2245" s="304">
        <v>4.2380000000000004</v>
      </c>
      <c r="F2245" s="304">
        <v>4.5309999999999997</v>
      </c>
      <c r="G2245" s="304">
        <v>3.3587880000000001</v>
      </c>
      <c r="H2245" s="304">
        <v>5.2109899999999998</v>
      </c>
      <c r="I2245" s="301">
        <v>0.1376</v>
      </c>
      <c r="J2245" s="301">
        <v>0.1104</v>
      </c>
      <c r="K2245" s="300">
        <v>41.041666999999997</v>
      </c>
      <c r="L2245" s="321"/>
      <c r="M2245" s="399"/>
    </row>
    <row r="2246" spans="2:13" ht="17.25" thickBot="1">
      <c r="B2246" s="336">
        <v>25</v>
      </c>
      <c r="C2246" s="323"/>
      <c r="D2246" s="293" t="s">
        <v>252</v>
      </c>
      <c r="E2246" s="371">
        <v>4.2359999999999998</v>
      </c>
      <c r="F2246" s="371">
        <v>4.524</v>
      </c>
      <c r="G2246" s="371">
        <v>3.3551829999999998</v>
      </c>
      <c r="H2246" s="371">
        <v>5.2261040000000003</v>
      </c>
      <c r="I2246" s="289">
        <v>0.13750000000000001</v>
      </c>
      <c r="J2246" s="289">
        <v>0.11020000000000001</v>
      </c>
      <c r="K2246" s="288">
        <v>41.052632000000003</v>
      </c>
      <c r="L2246" s="324"/>
      <c r="M2246" s="399"/>
    </row>
    <row r="2247" spans="2:13" ht="17.25" thickBot="1">
      <c r="B2247" s="339" t="s">
        <v>455</v>
      </c>
      <c r="C2247" s="340"/>
      <c r="D2247" s="341" t="s">
        <v>465</v>
      </c>
      <c r="E2247" s="342">
        <f>AVERAGE(E2242:E2246)</f>
        <v>4.2342000000000004</v>
      </c>
      <c r="F2247" s="342">
        <f t="shared" ref="F2247:K2247" si="638">AVERAGE(F2242:F2246)</f>
        <v>4.532</v>
      </c>
      <c r="G2247" s="342">
        <f t="shared" si="638"/>
        <v>3.3625488000000003</v>
      </c>
      <c r="H2247" s="342">
        <f t="shared" si="638"/>
        <v>5.2250747999999998</v>
      </c>
      <c r="I2247" s="343">
        <f t="shared" si="638"/>
        <v>0.13755999999999999</v>
      </c>
      <c r="J2247" s="343">
        <f t="shared" si="638"/>
        <v>0.11026</v>
      </c>
      <c r="K2247" s="342">
        <f t="shared" si="638"/>
        <v>41.102868000000001</v>
      </c>
      <c r="L2247" s="344"/>
      <c r="M2247" s="399"/>
    </row>
    <row r="2248" spans="2:13">
      <c r="B2248" s="333"/>
      <c r="C2248" s="345"/>
      <c r="D2248" s="291" t="s">
        <v>458</v>
      </c>
      <c r="E2248" s="346">
        <f>MEDIAN(E2218:E2222,E2224:E2228,E2230:E2234,E2236:E2240,E2242:E2246)</f>
        <v>4.2430000000000003</v>
      </c>
      <c r="F2248" s="346">
        <f t="shared" ref="F2248:K2248" si="639">MEDIAN(F2218:F2222,F2224:F2228,F2230:F2234,F2236:F2240,F2242:F2246)</f>
        <v>4.532</v>
      </c>
      <c r="G2248" s="346">
        <f t="shared" si="639"/>
        <v>3.3587880000000001</v>
      </c>
      <c r="H2248" s="346">
        <f t="shared" si="639"/>
        <v>5.2169359999999996</v>
      </c>
      <c r="I2248" s="347">
        <f t="shared" si="639"/>
        <v>0.1376</v>
      </c>
      <c r="J2248" s="347">
        <f t="shared" si="639"/>
        <v>0.1104</v>
      </c>
      <c r="K2248" s="348">
        <f t="shared" si="639"/>
        <v>41.052632000000003</v>
      </c>
      <c r="L2248" s="332"/>
      <c r="M2248" s="399"/>
    </row>
    <row r="2249" spans="2:13">
      <c r="B2249" s="335"/>
      <c r="C2249" s="320"/>
      <c r="D2249" s="299" t="s">
        <v>457</v>
      </c>
      <c r="E2249" s="349">
        <f>AVERAGE(E2218:E2222,E2224:E2228,E2230:E2234,E2236:E2240,E2242:E2246)</f>
        <v>4.2415200000000004</v>
      </c>
      <c r="F2249" s="349">
        <f t="shared" ref="F2249:K2249" si="640">AVERAGE(F2218:F2222,F2224:F2228,F2230:F2234,F2236:F2240,F2242:F2246)</f>
        <v>4.508</v>
      </c>
      <c r="G2249" s="349">
        <f t="shared" si="640"/>
        <v>3.3389909600000003</v>
      </c>
      <c r="H2249" s="349">
        <f t="shared" si="640"/>
        <v>5.1804974799999988</v>
      </c>
      <c r="I2249" s="350">
        <f t="shared" si="640"/>
        <v>0.13792400000000002</v>
      </c>
      <c r="J2249" s="350">
        <f t="shared" si="640"/>
        <v>0.11040399999999999</v>
      </c>
      <c r="K2249" s="351">
        <f t="shared" si="640"/>
        <v>40.831763080000002</v>
      </c>
      <c r="L2249" s="321"/>
      <c r="M2249" s="399"/>
    </row>
    <row r="2250" spans="2:13">
      <c r="B2250" s="335"/>
      <c r="C2250" s="320"/>
      <c r="D2250" s="299" t="s">
        <v>199</v>
      </c>
      <c r="E2250" s="349">
        <f>MAX(E2218:E2222,E2224:E2228,E2230:E2234,E2236:E2240,E2242:E2246)</f>
        <v>4.2489999999999997</v>
      </c>
      <c r="F2250" s="349">
        <f t="shared" ref="F2250:K2250" si="641">MAX(F2218:F2222,F2224:F2228,F2230:F2234,F2236:F2240,F2242:F2246)</f>
        <v>4.5679999999999996</v>
      </c>
      <c r="G2250" s="349">
        <f t="shared" si="641"/>
        <v>3.3825660000000002</v>
      </c>
      <c r="H2250" s="349">
        <f t="shared" si="641"/>
        <v>5.2573889999999999</v>
      </c>
      <c r="I2250" s="350">
        <f t="shared" si="641"/>
        <v>0.1386</v>
      </c>
      <c r="J2250" s="350">
        <f t="shared" si="641"/>
        <v>0.11070000000000001</v>
      </c>
      <c r="K2250" s="351">
        <f t="shared" si="641"/>
        <v>41.322463999999997</v>
      </c>
      <c r="L2250" s="321"/>
      <c r="M2250" s="399"/>
    </row>
    <row r="2251" spans="2:13">
      <c r="B2251" s="335"/>
      <c r="C2251" s="320"/>
      <c r="D2251" s="299" t="s">
        <v>200</v>
      </c>
      <c r="E2251" s="349">
        <f>MIN(E2218:E2222,E2224:E2228,E2230:E2234,E2236:E2240,E2242:E2246)</f>
        <v>4.2270000000000003</v>
      </c>
      <c r="F2251" s="349">
        <f t="shared" ref="F2251:K2251" si="642">MIN(F2218:F2222,F2224:F2228,F2230:F2234,F2236:F2240,F2242:F2246)</f>
        <v>4.4320000000000004</v>
      </c>
      <c r="G2251" s="349">
        <f t="shared" si="642"/>
        <v>3.27921</v>
      </c>
      <c r="H2251" s="349">
        <f t="shared" si="642"/>
        <v>5.0723960000000003</v>
      </c>
      <c r="I2251" s="350">
        <f t="shared" si="642"/>
        <v>0.13750000000000001</v>
      </c>
      <c r="J2251" s="350">
        <f t="shared" si="642"/>
        <v>0.11020000000000001</v>
      </c>
      <c r="K2251" s="351">
        <f t="shared" si="642"/>
        <v>40.144928</v>
      </c>
      <c r="L2251" s="321"/>
      <c r="M2251" s="399"/>
    </row>
    <row r="2252" spans="2:13">
      <c r="B2252" s="335"/>
      <c r="C2252" s="320"/>
      <c r="D2252" s="299" t="s">
        <v>201</v>
      </c>
      <c r="E2252" s="349">
        <f>E2250-E2251</f>
        <v>2.1999999999999353E-2</v>
      </c>
      <c r="F2252" s="349">
        <f t="shared" ref="F2252:K2252" si="643">F2250-F2251</f>
        <v>0.13599999999999923</v>
      </c>
      <c r="G2252" s="349">
        <f t="shared" si="643"/>
        <v>0.10335600000000023</v>
      </c>
      <c r="H2252" s="349">
        <f t="shared" si="643"/>
        <v>0.18499299999999952</v>
      </c>
      <c r="I2252" s="350">
        <f t="shared" si="643"/>
        <v>1.0999999999999899E-3</v>
      </c>
      <c r="J2252" s="350">
        <f t="shared" si="643"/>
        <v>5.0000000000000044E-4</v>
      </c>
      <c r="K2252" s="349">
        <f t="shared" si="643"/>
        <v>1.1775359999999964</v>
      </c>
      <c r="L2252" s="321"/>
      <c r="M2252" s="399"/>
    </row>
    <row r="2253" spans="2:13" ht="17.25" thickBot="1">
      <c r="B2253" s="336"/>
      <c r="C2253" s="323"/>
      <c r="D2253" s="293" t="s">
        <v>202</v>
      </c>
      <c r="E2253" s="352">
        <f>STDEVA(E2218:E2222,E2224:E2228,E2230:E2234,E2236:E2240,E2242:E2246)</f>
        <v>5.7959756153155894E-3</v>
      </c>
      <c r="F2253" s="352">
        <f t="shared" ref="F2253:K2253" si="644">STDEVA(F2218:F2222,F2224:F2228,F2230:F2234,F2236:F2240,F2242:F2246)</f>
        <v>4.7574502975158119E-2</v>
      </c>
      <c r="G2253" s="352">
        <f t="shared" si="644"/>
        <v>3.7395919601920943E-2</v>
      </c>
      <c r="H2253" s="352">
        <f t="shared" si="644"/>
        <v>6.7736604197878164E-2</v>
      </c>
      <c r="I2253" s="353">
        <f t="shared" si="644"/>
        <v>4.9013603553843554E-4</v>
      </c>
      <c r="J2253" s="353">
        <f t="shared" si="644"/>
        <v>1.428285685708578E-4</v>
      </c>
      <c r="K2253" s="352">
        <f t="shared" si="644"/>
        <v>0.41840338305255942</v>
      </c>
      <c r="L2253" s="324"/>
      <c r="M2253" s="399"/>
    </row>
    <row r="2255" spans="2:13">
      <c r="B2255" s="240" t="s">
        <v>570</v>
      </c>
      <c r="C2255" s="240"/>
      <c r="E2255" s="240"/>
      <c r="F2255" s="240"/>
      <c r="G2255" s="240"/>
      <c r="H2255" s="240"/>
      <c r="I2255" s="240"/>
      <c r="J2255" s="240"/>
      <c r="K2255" s="240"/>
    </row>
    <row r="2256" spans="2:13" ht="17.25" thickBot="1">
      <c r="B2256" s="240" t="s">
        <v>452</v>
      </c>
      <c r="C2256" s="240"/>
      <c r="E2256" s="240"/>
      <c r="F2256" s="240"/>
      <c r="G2256" s="240"/>
      <c r="H2256" s="240"/>
      <c r="I2256" s="240"/>
      <c r="J2256" s="240"/>
      <c r="K2256" s="240"/>
    </row>
    <row r="2257" spans="2:13" ht="17.25" thickBot="1">
      <c r="B2257" s="313" t="s">
        <v>11</v>
      </c>
      <c r="C2257" s="250" t="s">
        <v>0</v>
      </c>
      <c r="D2257" s="250" t="s">
        <v>1</v>
      </c>
      <c r="E2257" s="250" t="s">
        <v>2</v>
      </c>
      <c r="F2257" s="250" t="s">
        <v>3</v>
      </c>
      <c r="G2257" s="250" t="s">
        <v>192</v>
      </c>
      <c r="H2257" s="250" t="s">
        <v>16</v>
      </c>
      <c r="I2257" s="250" t="s">
        <v>6</v>
      </c>
      <c r="J2257" s="251" t="s">
        <v>7</v>
      </c>
      <c r="K2257" s="252" t="s">
        <v>8</v>
      </c>
      <c r="L2257" s="254" t="s">
        <v>439</v>
      </c>
      <c r="M2257" s="404"/>
    </row>
    <row r="2258" spans="2:13">
      <c r="B2258" s="314">
        <v>1</v>
      </c>
      <c r="C2258" s="271" t="s">
        <v>389</v>
      </c>
      <c r="D2258" s="291" t="s">
        <v>213</v>
      </c>
      <c r="E2258" s="302">
        <v>4.0979999999999999</v>
      </c>
      <c r="F2258" s="302">
        <v>4.7629999999999999</v>
      </c>
      <c r="G2258" s="302">
        <v>3.651389</v>
      </c>
      <c r="H2258" s="364">
        <v>5.5836449999999997</v>
      </c>
      <c r="I2258" s="287">
        <v>0.13880000000000001</v>
      </c>
      <c r="J2258" s="287">
        <v>0.1069</v>
      </c>
      <c r="K2258" s="286">
        <v>44.555658999999999</v>
      </c>
      <c r="L2258" s="275"/>
      <c r="M2258" s="397"/>
    </row>
    <row r="2259" spans="2:13">
      <c r="B2259" s="315">
        <v>2</v>
      </c>
      <c r="C2259" s="316"/>
      <c r="D2259" s="299" t="s">
        <v>214</v>
      </c>
      <c r="E2259" s="304">
        <v>4.1029999999999998</v>
      </c>
      <c r="F2259" s="304">
        <v>4.7690000000000001</v>
      </c>
      <c r="G2259" s="304">
        <v>3.6515339999999998</v>
      </c>
      <c r="H2259" s="370">
        <v>5.5942090000000002</v>
      </c>
      <c r="I2259" s="301">
        <v>0.13880000000000001</v>
      </c>
      <c r="J2259" s="301">
        <v>0.10680000000000001</v>
      </c>
      <c r="K2259" s="300">
        <v>44.653557999999997</v>
      </c>
      <c r="L2259" s="319"/>
      <c r="M2259" s="398"/>
    </row>
    <row r="2260" spans="2:13">
      <c r="B2260" s="315">
        <v>3</v>
      </c>
      <c r="C2260" s="320"/>
      <c r="D2260" s="299" t="s">
        <v>217</v>
      </c>
      <c r="E2260" s="304">
        <v>4.1070000000000002</v>
      </c>
      <c r="F2260" s="304">
        <v>4.7679999999999998</v>
      </c>
      <c r="G2260" s="304">
        <v>3.6472120000000001</v>
      </c>
      <c r="H2260" s="370">
        <v>5.5901459999999998</v>
      </c>
      <c r="I2260" s="301">
        <v>0.13880000000000001</v>
      </c>
      <c r="J2260" s="301">
        <v>0.1069</v>
      </c>
      <c r="K2260" s="300">
        <v>44.602432</v>
      </c>
      <c r="L2260" s="356"/>
      <c r="M2260" s="400"/>
    </row>
    <row r="2261" spans="2:13">
      <c r="B2261" s="315">
        <v>4</v>
      </c>
      <c r="C2261" s="320"/>
      <c r="D2261" s="299" t="s">
        <v>218</v>
      </c>
      <c r="E2261" s="304">
        <v>4.1050000000000004</v>
      </c>
      <c r="F2261" s="304">
        <v>4.7770000000000001</v>
      </c>
      <c r="G2261" s="304">
        <v>3.6558769999999998</v>
      </c>
      <c r="H2261" s="370">
        <v>5.5996129999999997</v>
      </c>
      <c r="I2261" s="301">
        <v>0.13880000000000001</v>
      </c>
      <c r="J2261" s="301">
        <v>0.107</v>
      </c>
      <c r="K2261" s="300">
        <v>44.644860000000001</v>
      </c>
      <c r="L2261" s="356"/>
      <c r="M2261" s="400"/>
    </row>
    <row r="2262" spans="2:13" ht="17.25" thickBot="1">
      <c r="B2262" s="322">
        <v>5</v>
      </c>
      <c r="C2262" s="323"/>
      <c r="D2262" s="293" t="s">
        <v>240</v>
      </c>
      <c r="E2262" s="371">
        <v>4.1020000000000003</v>
      </c>
      <c r="F2262" s="371">
        <v>4.774</v>
      </c>
      <c r="G2262" s="371">
        <v>3.656253</v>
      </c>
      <c r="H2262" s="372">
        <v>5.5940820000000002</v>
      </c>
      <c r="I2262" s="289">
        <v>0.13880000000000001</v>
      </c>
      <c r="J2262" s="289">
        <v>0.1069</v>
      </c>
      <c r="K2262" s="288">
        <v>44.658558999999997</v>
      </c>
      <c r="L2262" s="324"/>
      <c r="M2262" s="399"/>
    </row>
    <row r="2263" spans="2:13" ht="17.25" thickBot="1">
      <c r="B2263" s="325"/>
      <c r="C2263" s="326"/>
      <c r="D2263" s="327" t="s">
        <v>463</v>
      </c>
      <c r="E2263" s="328">
        <f>AVERAGE(E2258:E2262)</f>
        <v>4.1029999999999998</v>
      </c>
      <c r="F2263" s="328">
        <f t="shared" ref="F2263:K2263" si="645">AVERAGE(F2258:F2262)</f>
        <v>4.7702000000000009</v>
      </c>
      <c r="G2263" s="328">
        <f t="shared" si="645"/>
        <v>3.6524529999999999</v>
      </c>
      <c r="H2263" s="373">
        <f t="shared" si="645"/>
        <v>5.5923389999999999</v>
      </c>
      <c r="I2263" s="329">
        <f t="shared" si="645"/>
        <v>0.13880000000000001</v>
      </c>
      <c r="J2263" s="329">
        <f t="shared" si="645"/>
        <v>0.1069</v>
      </c>
      <c r="K2263" s="330">
        <f t="shared" si="645"/>
        <v>44.623013599999993</v>
      </c>
      <c r="L2263" s="331"/>
      <c r="M2263" s="399"/>
    </row>
    <row r="2264" spans="2:13">
      <c r="B2264" s="314">
        <v>6</v>
      </c>
      <c r="C2264" s="271" t="s">
        <v>568</v>
      </c>
      <c r="D2264" s="291" t="s">
        <v>241</v>
      </c>
      <c r="E2264" s="302">
        <v>4.0970000000000004</v>
      </c>
      <c r="F2264" s="302">
        <v>4.827</v>
      </c>
      <c r="G2264" s="302">
        <v>3.7013560000000001</v>
      </c>
      <c r="H2264" s="364">
        <v>5.7209810000000001</v>
      </c>
      <c r="I2264" s="287">
        <v>0.13819999999999999</v>
      </c>
      <c r="J2264" s="287">
        <v>0.106</v>
      </c>
      <c r="K2264" s="286">
        <v>45.537736000000002</v>
      </c>
      <c r="L2264" s="332"/>
      <c r="M2264" s="399"/>
    </row>
    <row r="2265" spans="2:13">
      <c r="B2265" s="315">
        <v>7</v>
      </c>
      <c r="C2265" s="320"/>
      <c r="D2265" s="299" t="s">
        <v>242</v>
      </c>
      <c r="E2265" s="304">
        <v>4.1020000000000003</v>
      </c>
      <c r="F2265" s="304">
        <v>4.8410000000000002</v>
      </c>
      <c r="G2265" s="304">
        <v>3.7075659999999999</v>
      </c>
      <c r="H2265" s="370">
        <v>5.7342259999999996</v>
      </c>
      <c r="I2265" s="301">
        <v>0.13819999999999999</v>
      </c>
      <c r="J2265" s="301">
        <v>0.1062</v>
      </c>
      <c r="K2265" s="300">
        <v>45.583804000000001</v>
      </c>
      <c r="L2265" s="321"/>
      <c r="M2265" s="399"/>
    </row>
    <row r="2266" spans="2:13">
      <c r="B2266" s="315">
        <v>8</v>
      </c>
      <c r="C2266" s="320"/>
      <c r="D2266" s="299" t="s">
        <v>222</v>
      </c>
      <c r="E2266" s="304">
        <v>4.1050000000000004</v>
      </c>
      <c r="F2266" s="304">
        <v>4.8449999999999998</v>
      </c>
      <c r="G2266" s="304">
        <v>3.7079179999999998</v>
      </c>
      <c r="H2266" s="370">
        <v>5.7297260000000003</v>
      </c>
      <c r="I2266" s="301">
        <v>0.13800000000000001</v>
      </c>
      <c r="J2266" s="301">
        <v>0.1062</v>
      </c>
      <c r="K2266" s="300">
        <v>45.621468999999998</v>
      </c>
      <c r="L2266" s="321"/>
      <c r="M2266" s="399"/>
    </row>
    <row r="2267" spans="2:13">
      <c r="B2267" s="315">
        <v>9</v>
      </c>
      <c r="C2267" s="320"/>
      <c r="D2267" s="299" t="s">
        <v>223</v>
      </c>
      <c r="E2267" s="304">
        <v>4.1029999999999998</v>
      </c>
      <c r="F2267" s="304">
        <v>4.8520000000000003</v>
      </c>
      <c r="G2267" s="304">
        <v>3.7150850000000002</v>
      </c>
      <c r="H2267" s="370">
        <v>5.7451420000000004</v>
      </c>
      <c r="I2267" s="301">
        <v>0.1381</v>
      </c>
      <c r="J2267" s="301">
        <v>0.1062</v>
      </c>
      <c r="K2267" s="300">
        <v>45.687381999999999</v>
      </c>
      <c r="L2267" s="321"/>
      <c r="M2267" s="399"/>
    </row>
    <row r="2268" spans="2:13" ht="17.25" thickBot="1">
      <c r="B2268" s="322">
        <v>10</v>
      </c>
      <c r="C2268" s="323"/>
      <c r="D2268" s="293" t="s">
        <v>243</v>
      </c>
      <c r="E2268" s="371">
        <v>4.0990000000000002</v>
      </c>
      <c r="F2268" s="371">
        <v>4.8410000000000002</v>
      </c>
      <c r="G2268" s="371">
        <v>3.71028</v>
      </c>
      <c r="H2268" s="372">
        <v>5.721241</v>
      </c>
      <c r="I2268" s="289">
        <v>0.1381</v>
      </c>
      <c r="J2268" s="289">
        <v>0.1061</v>
      </c>
      <c r="K2268" s="288">
        <v>45.626767000000001</v>
      </c>
      <c r="L2268" s="324"/>
      <c r="M2268" s="399"/>
    </row>
    <row r="2269" spans="2:13" ht="17.25" thickBot="1">
      <c r="B2269" s="325" t="s">
        <v>455</v>
      </c>
      <c r="C2269" s="326"/>
      <c r="D2269" s="327" t="s">
        <v>463</v>
      </c>
      <c r="E2269" s="328">
        <f t="shared" ref="E2269:K2269" si="646">AVERAGE(E2264:E2268)</f>
        <v>4.1012000000000004</v>
      </c>
      <c r="F2269" s="328">
        <f t="shared" si="646"/>
        <v>4.8411999999999997</v>
      </c>
      <c r="G2269" s="328">
        <f t="shared" si="646"/>
        <v>3.7084409999999997</v>
      </c>
      <c r="H2269" s="373">
        <f t="shared" si="646"/>
        <v>5.7302632000000004</v>
      </c>
      <c r="I2269" s="329">
        <f t="shared" si="646"/>
        <v>0.13811999999999999</v>
      </c>
      <c r="J2269" s="329">
        <f t="shared" si="646"/>
        <v>0.10614000000000001</v>
      </c>
      <c r="K2269" s="330">
        <f t="shared" si="646"/>
        <v>45.611431599999996</v>
      </c>
      <c r="L2269" s="331"/>
      <c r="M2269" s="399"/>
    </row>
    <row r="2270" spans="2:13">
      <c r="B2270" s="333">
        <v>11</v>
      </c>
      <c r="C2270" s="271" t="s">
        <v>389</v>
      </c>
      <c r="D2270" s="291" t="s">
        <v>244</v>
      </c>
      <c r="E2270" s="302">
        <v>4.1059999999999999</v>
      </c>
      <c r="F2270" s="302">
        <v>4.7489999999999997</v>
      </c>
      <c r="G2270" s="302">
        <v>3.6335630000000001</v>
      </c>
      <c r="H2270" s="302">
        <v>5.564203</v>
      </c>
      <c r="I2270" s="287">
        <v>0.1389</v>
      </c>
      <c r="J2270" s="287">
        <v>0.107</v>
      </c>
      <c r="K2270" s="286">
        <v>44.383178000000001</v>
      </c>
      <c r="L2270" s="332"/>
      <c r="M2270" s="399"/>
    </row>
    <row r="2271" spans="2:13">
      <c r="B2271" s="335">
        <v>12</v>
      </c>
      <c r="C2271" s="316"/>
      <c r="D2271" s="299" t="s">
        <v>245</v>
      </c>
      <c r="E2271" s="304">
        <v>4.1109999999999998</v>
      </c>
      <c r="F2271" s="304">
        <v>4.7549999999999999</v>
      </c>
      <c r="G2271" s="304">
        <v>3.6337290000000002</v>
      </c>
      <c r="H2271" s="304">
        <v>5.568479</v>
      </c>
      <c r="I2271" s="301">
        <v>0.13880000000000001</v>
      </c>
      <c r="J2271" s="301">
        <v>0.107</v>
      </c>
      <c r="K2271" s="300">
        <v>44.439252000000003</v>
      </c>
      <c r="L2271" s="321"/>
      <c r="M2271" s="399"/>
    </row>
    <row r="2272" spans="2:13">
      <c r="B2272" s="335">
        <v>13</v>
      </c>
      <c r="C2272" s="320"/>
      <c r="D2272" s="299" t="s">
        <v>227</v>
      </c>
      <c r="E2272" s="304">
        <v>4.1130000000000004</v>
      </c>
      <c r="F2272" s="304">
        <v>4.7510000000000003</v>
      </c>
      <c r="G2272" s="304">
        <v>3.6289069999999999</v>
      </c>
      <c r="H2272" s="304">
        <v>5.5601529999999997</v>
      </c>
      <c r="I2272" s="301">
        <v>0.1389</v>
      </c>
      <c r="J2272" s="301">
        <v>0.107</v>
      </c>
      <c r="K2272" s="300">
        <v>44.401868999999998</v>
      </c>
      <c r="L2272" s="321"/>
      <c r="M2272" s="399"/>
    </row>
    <row r="2273" spans="2:13">
      <c r="B2273" s="335">
        <v>14</v>
      </c>
      <c r="C2273" s="320"/>
      <c r="D2273" s="299" t="s">
        <v>228</v>
      </c>
      <c r="E2273" s="304">
        <v>4.1120000000000001</v>
      </c>
      <c r="F2273" s="304">
        <v>4.7539999999999996</v>
      </c>
      <c r="G2273" s="304">
        <v>3.6320809999999999</v>
      </c>
      <c r="H2273" s="304">
        <v>5.5755249999999998</v>
      </c>
      <c r="I2273" s="301">
        <v>0.13880000000000001</v>
      </c>
      <c r="J2273" s="301">
        <v>0.107</v>
      </c>
      <c r="K2273" s="300">
        <v>44.429907</v>
      </c>
      <c r="L2273" s="321"/>
      <c r="M2273" s="399"/>
    </row>
    <row r="2274" spans="2:13" ht="17.25" thickBot="1">
      <c r="B2274" s="336">
        <v>15</v>
      </c>
      <c r="C2274" s="323"/>
      <c r="D2274" s="293" t="s">
        <v>246</v>
      </c>
      <c r="E2274" s="371">
        <v>4.109</v>
      </c>
      <c r="F2274" s="371">
        <v>4.75</v>
      </c>
      <c r="G2274" s="371">
        <v>3.631675</v>
      </c>
      <c r="H2274" s="371">
        <v>5.5650240000000002</v>
      </c>
      <c r="I2274" s="289">
        <v>0.1389</v>
      </c>
      <c r="J2274" s="289">
        <v>0.1069</v>
      </c>
      <c r="K2274" s="288">
        <v>44.434050999999997</v>
      </c>
      <c r="L2274" s="324"/>
      <c r="M2274" s="399"/>
    </row>
    <row r="2275" spans="2:13" ht="17.25" thickBot="1">
      <c r="B2275" s="337"/>
      <c r="C2275" s="326"/>
      <c r="D2275" s="327" t="s">
        <v>463</v>
      </c>
      <c r="E2275" s="328">
        <f>AVERAGE(E2270:E2274)</f>
        <v>4.1102000000000007</v>
      </c>
      <c r="F2275" s="328">
        <f t="shared" ref="F2275:K2275" si="647">AVERAGE(F2270:F2274)</f>
        <v>4.7518000000000002</v>
      </c>
      <c r="G2275" s="328">
        <f t="shared" si="647"/>
        <v>3.6319910000000002</v>
      </c>
      <c r="H2275" s="328">
        <f t="shared" si="647"/>
        <v>5.5666767999999998</v>
      </c>
      <c r="I2275" s="329">
        <f t="shared" si="647"/>
        <v>0.13886000000000001</v>
      </c>
      <c r="J2275" s="329">
        <f t="shared" si="647"/>
        <v>0.10697999999999999</v>
      </c>
      <c r="K2275" s="330">
        <f t="shared" si="647"/>
        <v>44.417651399999997</v>
      </c>
      <c r="L2275" s="331"/>
      <c r="M2275" s="399"/>
    </row>
    <row r="2276" spans="2:13">
      <c r="B2276" s="333">
        <v>16</v>
      </c>
      <c r="C2276" s="271" t="s">
        <v>567</v>
      </c>
      <c r="D2276" s="291" t="s">
        <v>247</v>
      </c>
      <c r="E2276" s="302">
        <v>4.0990000000000002</v>
      </c>
      <c r="F2276" s="302">
        <v>4.8170000000000002</v>
      </c>
      <c r="G2276" s="302">
        <v>3.6918859999999998</v>
      </c>
      <c r="H2276" s="302">
        <v>5.6998540000000002</v>
      </c>
      <c r="I2276" s="287">
        <v>0.13819999999999999</v>
      </c>
      <c r="J2276" s="287">
        <v>0.1061</v>
      </c>
      <c r="K2276" s="286">
        <v>45.400565999999998</v>
      </c>
      <c r="L2276" s="359"/>
      <c r="M2276" s="401"/>
    </row>
    <row r="2277" spans="2:13">
      <c r="B2277" s="335">
        <v>17</v>
      </c>
      <c r="C2277" s="320"/>
      <c r="D2277" s="299" t="s">
        <v>248</v>
      </c>
      <c r="E2277" s="304">
        <v>4.1050000000000004</v>
      </c>
      <c r="F2277" s="304">
        <v>4.8220000000000001</v>
      </c>
      <c r="G2277" s="304">
        <v>3.6903160000000002</v>
      </c>
      <c r="H2277" s="304">
        <v>5.7036540000000002</v>
      </c>
      <c r="I2277" s="301">
        <v>0.1381</v>
      </c>
      <c r="J2277" s="301">
        <v>0.1061</v>
      </c>
      <c r="K2277" s="300">
        <v>45.447690999999999</v>
      </c>
      <c r="L2277" s="321"/>
      <c r="M2277" s="399"/>
    </row>
    <row r="2278" spans="2:13">
      <c r="B2278" s="335">
        <v>18</v>
      </c>
      <c r="C2278" s="320"/>
      <c r="D2278" s="299" t="s">
        <v>232</v>
      </c>
      <c r="E2278" s="304">
        <v>4.1070000000000002</v>
      </c>
      <c r="F2278" s="304">
        <v>4.827</v>
      </c>
      <c r="G2278" s="304">
        <v>3.6923439999999998</v>
      </c>
      <c r="H2278" s="304">
        <v>5.6986059999999998</v>
      </c>
      <c r="I2278" s="301">
        <v>0.1381</v>
      </c>
      <c r="J2278" s="301">
        <v>0.1062</v>
      </c>
      <c r="K2278" s="300">
        <v>45.451976999999999</v>
      </c>
      <c r="L2278" s="321"/>
      <c r="M2278" s="399"/>
    </row>
    <row r="2279" spans="2:13">
      <c r="B2279" s="335">
        <v>19</v>
      </c>
      <c r="C2279" s="320"/>
      <c r="D2279" s="299" t="s">
        <v>233</v>
      </c>
      <c r="E2279" s="304">
        <v>4.1100000000000003</v>
      </c>
      <c r="F2279" s="304">
        <v>4.8650000000000002</v>
      </c>
      <c r="G2279" s="304">
        <v>3.7186949999999999</v>
      </c>
      <c r="H2279" s="304">
        <v>5.7606080000000004</v>
      </c>
      <c r="I2279" s="301">
        <v>0.1381</v>
      </c>
      <c r="J2279" s="301">
        <v>0.1062</v>
      </c>
      <c r="K2279" s="300">
        <v>45.809792999999999</v>
      </c>
      <c r="L2279" s="321"/>
      <c r="M2279" s="399"/>
    </row>
    <row r="2280" spans="2:13" ht="17.25" thickBot="1">
      <c r="B2280" s="336">
        <v>20</v>
      </c>
      <c r="C2280" s="323"/>
      <c r="D2280" s="293" t="s">
        <v>249</v>
      </c>
      <c r="E2280" s="371">
        <v>4.1040000000000001</v>
      </c>
      <c r="F2280" s="371">
        <v>4.8150000000000004</v>
      </c>
      <c r="G2280" s="371">
        <v>3.6858569999999999</v>
      </c>
      <c r="H2280" s="371">
        <v>5.7030859999999999</v>
      </c>
      <c r="I2280" s="289">
        <v>0.13819999999999999</v>
      </c>
      <c r="J2280" s="289">
        <v>0.1061</v>
      </c>
      <c r="K2280" s="288">
        <v>45.381715</v>
      </c>
      <c r="L2280" s="324"/>
      <c r="M2280" s="399"/>
    </row>
    <row r="2281" spans="2:13" ht="17.25" thickBot="1">
      <c r="B2281" s="337"/>
      <c r="C2281" s="326"/>
      <c r="D2281" s="327" t="s">
        <v>463</v>
      </c>
      <c r="E2281" s="328">
        <f>AVERAGE(E2276:E2280)</f>
        <v>4.1049999999999995</v>
      </c>
      <c r="F2281" s="328">
        <f t="shared" ref="F2281:K2281" si="648">AVERAGE(F2276:F2280)</f>
        <v>4.8292000000000002</v>
      </c>
      <c r="G2281" s="328">
        <f t="shared" si="648"/>
        <v>3.6958196000000001</v>
      </c>
      <c r="H2281" s="328">
        <f t="shared" si="648"/>
        <v>5.7131616000000003</v>
      </c>
      <c r="I2281" s="329">
        <f t="shared" si="648"/>
        <v>0.13813999999999999</v>
      </c>
      <c r="J2281" s="329">
        <f t="shared" si="648"/>
        <v>0.10614000000000001</v>
      </c>
      <c r="K2281" s="328">
        <f t="shared" si="648"/>
        <v>45.498348399999998</v>
      </c>
      <c r="L2281" s="331"/>
      <c r="M2281" s="399"/>
    </row>
    <row r="2282" spans="2:13">
      <c r="B2282" s="333">
        <v>21</v>
      </c>
      <c r="C2282" s="271" t="s">
        <v>567</v>
      </c>
      <c r="D2282" s="291" t="s">
        <v>250</v>
      </c>
      <c r="E2282" s="302">
        <v>4.0979999999999999</v>
      </c>
      <c r="F2282" s="302">
        <v>4.8019999999999996</v>
      </c>
      <c r="G2282" s="302">
        <v>3.6812870000000002</v>
      </c>
      <c r="H2282" s="302">
        <v>5.6934699999999996</v>
      </c>
      <c r="I2282" s="287">
        <v>0.13830000000000001</v>
      </c>
      <c r="J2282" s="287">
        <v>0.10589999999999999</v>
      </c>
      <c r="K2282" s="286">
        <v>45.344664999999999</v>
      </c>
      <c r="L2282" s="332"/>
      <c r="M2282" s="399"/>
    </row>
    <row r="2283" spans="2:13">
      <c r="B2283" s="335">
        <v>22</v>
      </c>
      <c r="C2283" s="320"/>
      <c r="D2283" s="299" t="s">
        <v>251</v>
      </c>
      <c r="E2283" s="304">
        <v>4.1029999999999998</v>
      </c>
      <c r="F2283" s="304">
        <v>4.8090000000000002</v>
      </c>
      <c r="G2283" s="304">
        <v>3.6821609999999998</v>
      </c>
      <c r="H2283" s="304">
        <v>5.6958380000000002</v>
      </c>
      <c r="I2283" s="301">
        <v>0.13819999999999999</v>
      </c>
      <c r="J2283" s="301">
        <v>0.106</v>
      </c>
      <c r="K2283" s="300">
        <v>45.367925</v>
      </c>
      <c r="L2283" s="321"/>
      <c r="M2283" s="399"/>
    </row>
    <row r="2284" spans="2:13">
      <c r="B2284" s="335">
        <v>23</v>
      </c>
      <c r="C2284" s="320"/>
      <c r="D2284" s="299" t="s">
        <v>237</v>
      </c>
      <c r="E2284" s="304">
        <v>4.1040000000000001</v>
      </c>
      <c r="F2284" s="304">
        <v>4.8099999999999996</v>
      </c>
      <c r="G2284" s="304">
        <v>3.682029</v>
      </c>
      <c r="H2284" s="304">
        <v>5.6896069999999996</v>
      </c>
      <c r="I2284" s="301">
        <v>0.13830000000000001</v>
      </c>
      <c r="J2284" s="301">
        <v>0.1062</v>
      </c>
      <c r="K2284" s="300">
        <v>45.291902</v>
      </c>
      <c r="L2284" s="321"/>
      <c r="M2284" s="399"/>
    </row>
    <row r="2285" spans="2:13">
      <c r="B2285" s="335">
        <v>24</v>
      </c>
      <c r="C2285" s="320"/>
      <c r="D2285" s="299" t="s">
        <v>238</v>
      </c>
      <c r="E2285" s="304">
        <v>4.1029999999999998</v>
      </c>
      <c r="F2285" s="304">
        <v>4.8090000000000002</v>
      </c>
      <c r="G2285" s="304">
        <v>3.6821609999999998</v>
      </c>
      <c r="H2285" s="304">
        <v>5.6887080000000001</v>
      </c>
      <c r="I2285" s="301">
        <v>0.13819999999999999</v>
      </c>
      <c r="J2285" s="301">
        <v>0.1061</v>
      </c>
      <c r="K2285" s="300">
        <v>45.325164999999998</v>
      </c>
      <c r="L2285" s="321"/>
      <c r="M2285" s="399"/>
    </row>
    <row r="2286" spans="2:13" ht="17.25" thickBot="1">
      <c r="B2286" s="336">
        <v>25</v>
      </c>
      <c r="C2286" s="323"/>
      <c r="D2286" s="293" t="s">
        <v>252</v>
      </c>
      <c r="E2286" s="371">
        <v>4.1020000000000003</v>
      </c>
      <c r="F2286" s="371">
        <v>4.8079999999999998</v>
      </c>
      <c r="G2286" s="371">
        <v>3.682293</v>
      </c>
      <c r="H2286" s="371">
        <v>5.6887470000000002</v>
      </c>
      <c r="I2286" s="289">
        <v>0.13819999999999999</v>
      </c>
      <c r="J2286" s="289">
        <v>0.10589999999999999</v>
      </c>
      <c r="K2286" s="288">
        <v>45.401322</v>
      </c>
      <c r="L2286" s="324"/>
      <c r="M2286" s="399"/>
    </row>
    <row r="2287" spans="2:13" ht="17.25" thickBot="1">
      <c r="B2287" s="339" t="s">
        <v>455</v>
      </c>
      <c r="C2287" s="340"/>
      <c r="D2287" s="341" t="s">
        <v>465</v>
      </c>
      <c r="E2287" s="342">
        <f>AVERAGE(E2282:E2286)</f>
        <v>4.1020000000000003</v>
      </c>
      <c r="F2287" s="342">
        <f t="shared" ref="F2287:K2287" si="649">AVERAGE(F2282:F2286)</f>
        <v>4.8075999999999999</v>
      </c>
      <c r="G2287" s="342">
        <f t="shared" si="649"/>
        <v>3.6819861999999999</v>
      </c>
      <c r="H2287" s="342">
        <f t="shared" si="649"/>
        <v>5.6912739999999999</v>
      </c>
      <c r="I2287" s="343">
        <f t="shared" si="649"/>
        <v>0.13823999999999997</v>
      </c>
      <c r="J2287" s="343">
        <f t="shared" si="649"/>
        <v>0.10602</v>
      </c>
      <c r="K2287" s="342">
        <f t="shared" si="649"/>
        <v>45.346195799999997</v>
      </c>
      <c r="L2287" s="344"/>
      <c r="M2287" s="399"/>
    </row>
    <row r="2288" spans="2:13">
      <c r="B2288" s="333"/>
      <c r="C2288" s="345"/>
      <c r="D2288" s="291" t="s">
        <v>458</v>
      </c>
      <c r="E2288" s="346">
        <f>MEDIAN(E2258:E2262,E2264:E2268,E2270:E2274,E2276:E2280,E2282:E2286)</f>
        <v>4.1040000000000001</v>
      </c>
      <c r="F2288" s="346">
        <f t="shared" ref="F2288:K2288" si="650">MEDIAN(F2258:F2262,F2264:F2268,F2270:F2274,F2276:F2280,F2282:F2286)</f>
        <v>4.8090000000000002</v>
      </c>
      <c r="G2288" s="346">
        <f t="shared" si="650"/>
        <v>3.6821609999999998</v>
      </c>
      <c r="H2288" s="346">
        <f t="shared" si="650"/>
        <v>5.6896069999999996</v>
      </c>
      <c r="I2288" s="347">
        <f t="shared" si="650"/>
        <v>0.13819999999999999</v>
      </c>
      <c r="J2288" s="347">
        <f t="shared" si="650"/>
        <v>0.1062</v>
      </c>
      <c r="K2288" s="348">
        <f t="shared" si="650"/>
        <v>45.344664999999999</v>
      </c>
      <c r="L2288" s="332"/>
      <c r="M2288" s="399"/>
    </row>
    <row r="2289" spans="2:13">
      <c r="B2289" s="335"/>
      <c r="C2289" s="320"/>
      <c r="D2289" s="299" t="s">
        <v>457</v>
      </c>
      <c r="E2289" s="349">
        <f>AVERAGE(E2258:E2262,E2264:E2268,E2270:E2274,E2276:E2280,E2282:E2286)</f>
        <v>4.1042800000000002</v>
      </c>
      <c r="F2289" s="349">
        <f t="shared" ref="F2289:K2289" si="651">AVERAGE(F2258:F2262,F2264:F2268,F2270:F2274,F2276:F2280,F2282:F2286)</f>
        <v>4.8</v>
      </c>
      <c r="G2289" s="349">
        <f t="shared" si="651"/>
        <v>3.6741381599999996</v>
      </c>
      <c r="H2289" s="349">
        <f t="shared" si="651"/>
        <v>5.6587429199999999</v>
      </c>
      <c r="I2289" s="350">
        <f t="shared" si="651"/>
        <v>0.138432</v>
      </c>
      <c r="J2289" s="350">
        <f t="shared" si="651"/>
        <v>0.10643600000000002</v>
      </c>
      <c r="K2289" s="351">
        <f t="shared" si="651"/>
        <v>45.099328159999985</v>
      </c>
      <c r="L2289" s="321"/>
      <c r="M2289" s="399"/>
    </row>
    <row r="2290" spans="2:13">
      <c r="B2290" s="335"/>
      <c r="C2290" s="320"/>
      <c r="D2290" s="299" t="s">
        <v>199</v>
      </c>
      <c r="E2290" s="349">
        <f>MAX(E2258:E2262,E2264:E2268,E2270:E2274,E2276:E2280,E2282:E2286)</f>
        <v>4.1130000000000004</v>
      </c>
      <c r="F2290" s="349">
        <f t="shared" ref="F2290:K2290" si="652">MAX(F2258:F2262,F2264:F2268,F2270:F2274,F2276:F2280,F2282:F2286)</f>
        <v>4.8650000000000002</v>
      </c>
      <c r="G2290" s="349">
        <f t="shared" si="652"/>
        <v>3.7186949999999999</v>
      </c>
      <c r="H2290" s="349">
        <f t="shared" si="652"/>
        <v>5.7606080000000004</v>
      </c>
      <c r="I2290" s="350">
        <f t="shared" si="652"/>
        <v>0.1389</v>
      </c>
      <c r="J2290" s="350">
        <f t="shared" si="652"/>
        <v>0.107</v>
      </c>
      <c r="K2290" s="351">
        <f t="shared" si="652"/>
        <v>45.809792999999999</v>
      </c>
      <c r="L2290" s="321"/>
      <c r="M2290" s="399"/>
    </row>
    <row r="2291" spans="2:13">
      <c r="B2291" s="335"/>
      <c r="C2291" s="320"/>
      <c r="D2291" s="299" t="s">
        <v>200</v>
      </c>
      <c r="E2291" s="349">
        <f>MIN(E2258:E2262,E2264:E2268,E2270:E2274,E2276:E2280,E2282:E2286)</f>
        <v>4.0970000000000004</v>
      </c>
      <c r="F2291" s="349">
        <f t="shared" ref="F2291:K2291" si="653">MIN(F2258:F2262,F2264:F2268,F2270:F2274,F2276:F2280,F2282:F2286)</f>
        <v>4.7489999999999997</v>
      </c>
      <c r="G2291" s="349">
        <f t="shared" si="653"/>
        <v>3.6289069999999999</v>
      </c>
      <c r="H2291" s="349">
        <f t="shared" si="653"/>
        <v>5.5601529999999997</v>
      </c>
      <c r="I2291" s="350">
        <f t="shared" si="653"/>
        <v>0.13800000000000001</v>
      </c>
      <c r="J2291" s="350">
        <f t="shared" si="653"/>
        <v>0.10589999999999999</v>
      </c>
      <c r="K2291" s="351">
        <f t="shared" si="653"/>
        <v>44.383178000000001</v>
      </c>
      <c r="L2291" s="321"/>
      <c r="M2291" s="399"/>
    </row>
    <row r="2292" spans="2:13">
      <c r="B2292" s="335"/>
      <c r="C2292" s="320"/>
      <c r="D2292" s="299" t="s">
        <v>201</v>
      </c>
      <c r="E2292" s="349">
        <f>E2290-E2291</f>
        <v>1.6000000000000014E-2</v>
      </c>
      <c r="F2292" s="349">
        <f t="shared" ref="F2292:K2292" si="654">F2290-F2291</f>
        <v>0.11600000000000055</v>
      </c>
      <c r="G2292" s="349">
        <f t="shared" si="654"/>
        <v>8.9787999999999979E-2</v>
      </c>
      <c r="H2292" s="349">
        <f t="shared" si="654"/>
        <v>0.20045500000000072</v>
      </c>
      <c r="I2292" s="350">
        <f t="shared" si="654"/>
        <v>8.9999999999998415E-4</v>
      </c>
      <c r="J2292" s="350">
        <f t="shared" si="654"/>
        <v>1.1000000000000038E-3</v>
      </c>
      <c r="K2292" s="349">
        <f t="shared" si="654"/>
        <v>1.4266149999999982</v>
      </c>
      <c r="L2292" s="321"/>
      <c r="M2292" s="399"/>
    </row>
    <row r="2293" spans="2:13" ht="17.25" thickBot="1">
      <c r="B2293" s="336"/>
      <c r="C2293" s="323"/>
      <c r="D2293" s="293" t="s">
        <v>202</v>
      </c>
      <c r="E2293" s="352">
        <f>STDEVA(E2258:E2262,E2264:E2268,E2270:E2274,E2276:E2280,E2282:E2286)</f>
        <v>4.4018935319549519E-3</v>
      </c>
      <c r="F2293" s="352">
        <f t="shared" ref="F2293:K2293" si="655">STDEVA(F2258:F2262,F2264:F2268,F2270:F2274,F2276:F2280,F2282:F2286)</f>
        <v>3.6115555282085016E-2</v>
      </c>
      <c r="G2293" s="352">
        <f t="shared" si="655"/>
        <v>2.9315425122962129E-2</v>
      </c>
      <c r="H2293" s="352">
        <f t="shared" si="655"/>
        <v>6.8815417505163845E-2</v>
      </c>
      <c r="I2293" s="353">
        <f t="shared" si="655"/>
        <v>3.3877229323937987E-4</v>
      </c>
      <c r="J2293" s="353">
        <f t="shared" si="655"/>
        <v>4.2999999999999918E-4</v>
      </c>
      <c r="K2293" s="352">
        <f t="shared" si="655"/>
        <v>0.50099425216319282</v>
      </c>
      <c r="L2293" s="324"/>
      <c r="M2293" s="399"/>
    </row>
    <row r="2295" spans="2:13">
      <c r="B2295" s="240" t="s">
        <v>572</v>
      </c>
      <c r="C2295" s="240"/>
      <c r="E2295" s="240"/>
      <c r="F2295" s="240"/>
      <c r="G2295" s="240"/>
      <c r="H2295" s="240"/>
      <c r="I2295" s="240"/>
      <c r="J2295" s="240"/>
      <c r="K2295" s="240"/>
    </row>
    <row r="2296" spans="2:13" ht="17.25" thickBot="1">
      <c r="B2296" s="240" t="s">
        <v>452</v>
      </c>
      <c r="C2296" s="240"/>
      <c r="E2296" s="240"/>
      <c r="F2296" s="240"/>
      <c r="G2296" s="240"/>
      <c r="H2296" s="240"/>
      <c r="I2296" s="240"/>
      <c r="J2296" s="240"/>
      <c r="K2296" s="240"/>
    </row>
    <row r="2297" spans="2:13" ht="17.25" thickBot="1">
      <c r="B2297" s="313" t="s">
        <v>11</v>
      </c>
      <c r="C2297" s="250" t="s">
        <v>0</v>
      </c>
      <c r="D2297" s="250" t="s">
        <v>1</v>
      </c>
      <c r="E2297" s="250" t="s">
        <v>2</v>
      </c>
      <c r="F2297" s="250" t="s">
        <v>3</v>
      </c>
      <c r="G2297" s="250" t="s">
        <v>192</v>
      </c>
      <c r="H2297" s="250" t="s">
        <v>16</v>
      </c>
      <c r="I2297" s="250" t="s">
        <v>6</v>
      </c>
      <c r="J2297" s="251" t="s">
        <v>7</v>
      </c>
      <c r="K2297" s="252" t="s">
        <v>8</v>
      </c>
      <c r="L2297" s="254" t="s">
        <v>439</v>
      </c>
      <c r="M2297" s="404"/>
    </row>
    <row r="2298" spans="2:13">
      <c r="B2298" s="314">
        <v>1</v>
      </c>
      <c r="C2298" s="271" t="s">
        <v>389</v>
      </c>
      <c r="D2298" s="291" t="s">
        <v>213</v>
      </c>
      <c r="E2298" s="302">
        <v>4.1344500000000002</v>
      </c>
      <c r="F2298" s="302">
        <v>4.8697442999999998</v>
      </c>
      <c r="G2298" s="302">
        <v>3.7003083999999999</v>
      </c>
      <c r="H2298" s="364">
        <v>5.4656282999999997</v>
      </c>
      <c r="I2298" s="287">
        <v>0.13930000000000001</v>
      </c>
      <c r="J2298" s="287">
        <v>0.1128</v>
      </c>
      <c r="K2298" s="286">
        <v>43.171492399999998</v>
      </c>
      <c r="L2298" s="275"/>
      <c r="M2298" s="397"/>
    </row>
    <row r="2299" spans="2:13">
      <c r="B2299" s="315">
        <v>2</v>
      </c>
      <c r="C2299" s="316"/>
      <c r="D2299" s="299" t="s">
        <v>214</v>
      </c>
      <c r="E2299" s="304">
        <v>4.1433600000000004</v>
      </c>
      <c r="F2299" s="304">
        <v>4.8776830000000002</v>
      </c>
      <c r="G2299" s="304">
        <v>3.6983703999999999</v>
      </c>
      <c r="H2299" s="370">
        <v>5.4850586999999997</v>
      </c>
      <c r="I2299" s="301">
        <v>0.13919999999999999</v>
      </c>
      <c r="J2299" s="301">
        <v>0.1124</v>
      </c>
      <c r="K2299" s="300">
        <v>43.395755800000003</v>
      </c>
      <c r="L2299" s="319"/>
      <c r="M2299" s="398"/>
    </row>
    <row r="2300" spans="2:13">
      <c r="B2300" s="315">
        <v>3</v>
      </c>
      <c r="C2300" s="320"/>
      <c r="D2300" s="299" t="s">
        <v>217</v>
      </c>
      <c r="E2300" s="304">
        <v>4.1427699999999996</v>
      </c>
      <c r="F2300" s="304">
        <v>4.8858290000000002</v>
      </c>
      <c r="G2300" s="304">
        <v>3.7050744999999998</v>
      </c>
      <c r="H2300" s="370">
        <v>5.5050542</v>
      </c>
      <c r="I2300" s="301">
        <v>0.1391</v>
      </c>
      <c r="J2300" s="301">
        <v>0.11219999999999999</v>
      </c>
      <c r="K2300" s="300">
        <v>43.545712999999999</v>
      </c>
      <c r="L2300" s="356"/>
      <c r="M2300" s="400"/>
    </row>
    <row r="2301" spans="2:13">
      <c r="B2301" s="315">
        <v>4</v>
      </c>
      <c r="C2301" s="320"/>
      <c r="D2301" s="299" t="s">
        <v>218</v>
      </c>
      <c r="E2301" s="304">
        <v>4.1417599999999997</v>
      </c>
      <c r="F2301" s="304">
        <v>4.8927921000000003</v>
      </c>
      <c r="G2301" s="304">
        <v>3.7112596</v>
      </c>
      <c r="H2301" s="370">
        <v>5.5257664000000002</v>
      </c>
      <c r="I2301" s="301">
        <v>0.1391</v>
      </c>
      <c r="J2301" s="301">
        <v>0.1118</v>
      </c>
      <c r="K2301" s="300">
        <v>43.763793</v>
      </c>
      <c r="L2301" s="356"/>
      <c r="M2301" s="400"/>
    </row>
    <row r="2302" spans="2:13" ht="17.25" thickBot="1">
      <c r="B2302" s="322">
        <v>5</v>
      </c>
      <c r="C2302" s="323"/>
      <c r="D2302" s="293" t="s">
        <v>240</v>
      </c>
      <c r="E2302" s="371">
        <v>4.1707299999999998</v>
      </c>
      <c r="F2302" s="371">
        <v>4.8747441</v>
      </c>
      <c r="G2302" s="371">
        <v>3.6718864999999998</v>
      </c>
      <c r="H2302" s="372">
        <v>5.5191385999999998</v>
      </c>
      <c r="I2302" s="289">
        <v>0.1391</v>
      </c>
      <c r="J2302" s="289">
        <v>0.1116</v>
      </c>
      <c r="K2302" s="288">
        <v>43.680502500000003</v>
      </c>
      <c r="L2302" s="324"/>
      <c r="M2302" s="399"/>
    </row>
    <row r="2303" spans="2:13" ht="17.25" thickBot="1">
      <c r="B2303" s="325"/>
      <c r="C2303" s="326"/>
      <c r="D2303" s="327" t="s">
        <v>463</v>
      </c>
      <c r="E2303" s="328">
        <f>AVERAGE(E2298:E2302)</f>
        <v>4.1466139999999996</v>
      </c>
      <c r="F2303" s="328">
        <f t="shared" ref="F2303:K2303" si="656">AVERAGE(F2298:F2302)</f>
        <v>4.8801585000000003</v>
      </c>
      <c r="G2303" s="328">
        <f t="shared" si="656"/>
        <v>3.6973798799999997</v>
      </c>
      <c r="H2303" s="373">
        <f t="shared" si="656"/>
        <v>5.5001292399999997</v>
      </c>
      <c r="I2303" s="329">
        <f t="shared" si="656"/>
        <v>0.13916000000000001</v>
      </c>
      <c r="J2303" s="329">
        <f t="shared" si="656"/>
        <v>0.11216000000000001</v>
      </c>
      <c r="K2303" s="330">
        <f t="shared" si="656"/>
        <v>43.511451339999994</v>
      </c>
      <c r="L2303" s="331"/>
      <c r="M2303" s="399"/>
    </row>
    <row r="2304" spans="2:13">
      <c r="B2304" s="314">
        <v>6</v>
      </c>
      <c r="C2304" s="271" t="s">
        <v>574</v>
      </c>
      <c r="D2304" s="291" t="s">
        <v>241</v>
      </c>
      <c r="E2304" s="302">
        <v>4.1264700000000003</v>
      </c>
      <c r="F2304" s="302">
        <v>4.9247538000000004</v>
      </c>
      <c r="G2304" s="302">
        <v>3.7493444</v>
      </c>
      <c r="H2304" s="364">
        <v>5.6084731000000003</v>
      </c>
      <c r="I2304" s="287">
        <v>0.13880000000000001</v>
      </c>
      <c r="J2304" s="287">
        <v>0.111</v>
      </c>
      <c r="K2304" s="286">
        <v>44.367151</v>
      </c>
      <c r="L2304" s="332"/>
      <c r="M2304" s="399"/>
    </row>
    <row r="2305" spans="2:13">
      <c r="B2305" s="315">
        <v>7</v>
      </c>
      <c r="C2305" s="320"/>
      <c r="D2305" s="299" t="s">
        <v>242</v>
      </c>
      <c r="E2305" s="304">
        <v>4.13117</v>
      </c>
      <c r="F2305" s="304">
        <v>4.9347779000000003</v>
      </c>
      <c r="G2305" s="304">
        <v>3.7527018000000001</v>
      </c>
      <c r="H2305" s="370">
        <v>5.6334137000000002</v>
      </c>
      <c r="I2305" s="301">
        <v>0.1386</v>
      </c>
      <c r="J2305" s="301">
        <v>0.1106</v>
      </c>
      <c r="K2305" s="300">
        <v>44.618245299999998</v>
      </c>
      <c r="L2305" s="321"/>
      <c r="M2305" s="399"/>
    </row>
    <row r="2306" spans="2:13">
      <c r="B2306" s="315">
        <v>8</v>
      </c>
      <c r="C2306" s="320"/>
      <c r="D2306" s="299" t="s">
        <v>222</v>
      </c>
      <c r="E2306" s="304">
        <v>4.1325599999999998</v>
      </c>
      <c r="F2306" s="304">
        <v>4.9467403000000001</v>
      </c>
      <c r="G2306" s="304">
        <v>3.7605333999999999</v>
      </c>
      <c r="H2306" s="370">
        <v>5.6479834000000002</v>
      </c>
      <c r="I2306" s="301">
        <v>0.13869999999999999</v>
      </c>
      <c r="J2306" s="301">
        <v>0.1106</v>
      </c>
      <c r="K2306" s="300">
        <v>44.726404100000003</v>
      </c>
      <c r="L2306" s="321"/>
      <c r="M2306" s="399"/>
    </row>
    <row r="2307" spans="2:13">
      <c r="B2307" s="315">
        <v>9</v>
      </c>
      <c r="C2307" s="320"/>
      <c r="D2307" s="299" t="s">
        <v>223</v>
      </c>
      <c r="E2307" s="304">
        <v>4.1326599999999996</v>
      </c>
      <c r="F2307" s="304">
        <v>4.9567398000000003</v>
      </c>
      <c r="G2307" s="304">
        <v>3.7680438999999999</v>
      </c>
      <c r="H2307" s="370">
        <v>5.6650605000000001</v>
      </c>
      <c r="I2307" s="301">
        <v>0.1386</v>
      </c>
      <c r="J2307" s="301">
        <v>0.1105</v>
      </c>
      <c r="K2307" s="300">
        <v>44.857373500000001</v>
      </c>
      <c r="L2307" s="321"/>
      <c r="M2307" s="399"/>
    </row>
    <row r="2308" spans="2:13" ht="17.25" thickBot="1">
      <c r="B2308" s="322">
        <v>10</v>
      </c>
      <c r="C2308" s="323"/>
      <c r="D2308" s="293" t="s">
        <v>243</v>
      </c>
      <c r="E2308" s="371">
        <v>4.1427199999999997</v>
      </c>
      <c r="F2308" s="371">
        <v>4.9747636999999996</v>
      </c>
      <c r="G2308" s="371">
        <v>3.7725620000000002</v>
      </c>
      <c r="H2308" s="372">
        <v>5.6901978</v>
      </c>
      <c r="I2308" s="289">
        <v>0.13850000000000001</v>
      </c>
      <c r="J2308" s="289">
        <v>0.1106</v>
      </c>
      <c r="K2308" s="288">
        <v>44.979780300000002</v>
      </c>
      <c r="L2308" s="324"/>
      <c r="M2308" s="399"/>
    </row>
    <row r="2309" spans="2:13" ht="17.25" thickBot="1">
      <c r="B2309" s="325" t="s">
        <v>455</v>
      </c>
      <c r="C2309" s="326"/>
      <c r="D2309" s="327" t="s">
        <v>463</v>
      </c>
      <c r="E2309" s="328">
        <f t="shared" ref="E2309:K2309" si="657">AVERAGE(E2304:E2308)</f>
        <v>4.1331160000000002</v>
      </c>
      <c r="F2309" s="328">
        <f t="shared" si="657"/>
        <v>4.9475551000000006</v>
      </c>
      <c r="G2309" s="328">
        <f t="shared" si="657"/>
        <v>3.7606371000000003</v>
      </c>
      <c r="H2309" s="373">
        <f t="shared" si="657"/>
        <v>5.6490257000000001</v>
      </c>
      <c r="I2309" s="329">
        <f t="shared" si="657"/>
        <v>0.13864000000000001</v>
      </c>
      <c r="J2309" s="329">
        <f t="shared" si="657"/>
        <v>0.11066000000000001</v>
      </c>
      <c r="K2309" s="330">
        <f t="shared" si="657"/>
        <v>44.709790839999997</v>
      </c>
      <c r="L2309" s="331"/>
      <c r="M2309" s="399"/>
    </row>
    <row r="2310" spans="2:13">
      <c r="B2310" s="333">
        <v>11</v>
      </c>
      <c r="C2310" s="271" t="s">
        <v>389</v>
      </c>
      <c r="D2310" s="291" t="s">
        <v>244</v>
      </c>
      <c r="E2310" s="302">
        <v>4.1296400000000002</v>
      </c>
      <c r="F2310" s="302">
        <v>4.8597206000000002</v>
      </c>
      <c r="G2310" s="302">
        <v>3.6969927999999999</v>
      </c>
      <c r="H2310" s="302">
        <v>5.460464</v>
      </c>
      <c r="I2310" s="287">
        <v>0.13930000000000001</v>
      </c>
      <c r="J2310" s="287">
        <v>0.11269999999999999</v>
      </c>
      <c r="K2310" s="286">
        <v>43.120856799999999</v>
      </c>
      <c r="L2310" s="332"/>
      <c r="M2310" s="399"/>
    </row>
    <row r="2311" spans="2:13">
      <c r="B2311" s="335">
        <v>12</v>
      </c>
      <c r="C2311" s="316"/>
      <c r="D2311" s="299" t="s">
        <v>245</v>
      </c>
      <c r="E2311" s="304">
        <v>4.1375999999999999</v>
      </c>
      <c r="F2311" s="304">
        <v>4.8735492000000002</v>
      </c>
      <c r="G2311" s="304">
        <v>3.7003803</v>
      </c>
      <c r="H2311" s="304">
        <v>5.4800449000000002</v>
      </c>
      <c r="I2311" s="301">
        <v>0.13919999999999999</v>
      </c>
      <c r="J2311" s="301">
        <v>0.1124</v>
      </c>
      <c r="K2311" s="300">
        <v>43.3589786</v>
      </c>
      <c r="L2311" s="321"/>
      <c r="M2311" s="399"/>
    </row>
    <row r="2312" spans="2:13">
      <c r="B2312" s="335">
        <v>13</v>
      </c>
      <c r="C2312" s="320"/>
      <c r="D2312" s="299" t="s">
        <v>227</v>
      </c>
      <c r="E2312" s="304">
        <v>4.1453699999999998</v>
      </c>
      <c r="F2312" s="304">
        <v>4.8767562</v>
      </c>
      <c r="G2312" s="304">
        <v>3.6958747999999999</v>
      </c>
      <c r="H2312" s="304">
        <v>5.4941969000000004</v>
      </c>
      <c r="I2312" s="301">
        <v>0.13919999999999999</v>
      </c>
      <c r="J2312" s="301">
        <v>0.11210000000000001</v>
      </c>
      <c r="K2312" s="300">
        <v>43.5036232</v>
      </c>
      <c r="L2312" s="321"/>
      <c r="M2312" s="399"/>
    </row>
    <row r="2313" spans="2:13">
      <c r="B2313" s="335">
        <v>14</v>
      </c>
      <c r="C2313" s="320"/>
      <c r="D2313" s="299" t="s">
        <v>228</v>
      </c>
      <c r="E2313" s="304">
        <v>4.1479200000000001</v>
      </c>
      <c r="F2313" s="304">
        <v>4.8857312999999998</v>
      </c>
      <c r="G2313" s="304">
        <v>3.7004003000000001</v>
      </c>
      <c r="H2313" s="304">
        <v>5.5249743000000002</v>
      </c>
      <c r="I2313" s="301">
        <v>0.1391</v>
      </c>
      <c r="J2313" s="301">
        <v>0.1118</v>
      </c>
      <c r="K2313" s="300">
        <v>43.7006376</v>
      </c>
      <c r="L2313" s="321"/>
      <c r="M2313" s="399"/>
    </row>
    <row r="2314" spans="2:13" ht="17.25" thickBot="1">
      <c r="B2314" s="336">
        <v>15</v>
      </c>
      <c r="C2314" s="323"/>
      <c r="D2314" s="293" t="s">
        <v>246</v>
      </c>
      <c r="E2314" s="371">
        <v>4.13225</v>
      </c>
      <c r="F2314" s="371">
        <v>4.9007182</v>
      </c>
      <c r="G2314" s="371">
        <v>3.7258266999999998</v>
      </c>
      <c r="H2314" s="371">
        <v>5.5544016999999997</v>
      </c>
      <c r="I2314" s="289">
        <v>0.13900000000000001</v>
      </c>
      <c r="J2314" s="289">
        <v>0.1115</v>
      </c>
      <c r="K2314" s="288">
        <v>43.952629700000003</v>
      </c>
      <c r="L2314" s="324"/>
      <c r="M2314" s="399"/>
    </row>
    <row r="2315" spans="2:13" ht="17.25" thickBot="1">
      <c r="B2315" s="337"/>
      <c r="C2315" s="326"/>
      <c r="D2315" s="327" t="s">
        <v>463</v>
      </c>
      <c r="E2315" s="328">
        <f>AVERAGE(E2310:E2314)</f>
        <v>4.1385559999999995</v>
      </c>
      <c r="F2315" s="328">
        <f t="shared" ref="F2315:K2315" si="658">AVERAGE(F2310:F2314)</f>
        <v>4.8792951000000002</v>
      </c>
      <c r="G2315" s="328">
        <f t="shared" si="658"/>
        <v>3.7038949799999998</v>
      </c>
      <c r="H2315" s="328">
        <f t="shared" si="658"/>
        <v>5.5028163600000006</v>
      </c>
      <c r="I2315" s="329">
        <f t="shared" si="658"/>
        <v>0.13916000000000001</v>
      </c>
      <c r="J2315" s="329">
        <f t="shared" si="658"/>
        <v>0.11210000000000001</v>
      </c>
      <c r="K2315" s="330">
        <f t="shared" si="658"/>
        <v>43.527345179999998</v>
      </c>
      <c r="L2315" s="331"/>
      <c r="M2315" s="399"/>
    </row>
    <row r="2316" spans="2:13">
      <c r="B2316" s="333">
        <v>16</v>
      </c>
      <c r="C2316" s="271" t="s">
        <v>573</v>
      </c>
      <c r="D2316" s="291" t="s">
        <v>247</v>
      </c>
      <c r="E2316" s="302">
        <v>4.1164100000000001</v>
      </c>
      <c r="F2316" s="302">
        <v>4.9208277999999996</v>
      </c>
      <c r="G2316" s="302">
        <v>3.7555111000000001</v>
      </c>
      <c r="H2316" s="302">
        <v>5.6088214000000001</v>
      </c>
      <c r="I2316" s="287">
        <v>0.13880000000000001</v>
      </c>
      <c r="J2316" s="287">
        <v>0.1108</v>
      </c>
      <c r="K2316" s="286">
        <v>44.411802999999999</v>
      </c>
      <c r="L2316" s="359"/>
      <c r="M2316" s="401"/>
    </row>
    <row r="2317" spans="2:13">
      <c r="B2317" s="335">
        <v>17</v>
      </c>
      <c r="C2317" s="320"/>
      <c r="D2317" s="299" t="s">
        <v>248</v>
      </c>
      <c r="E2317" s="304">
        <v>4.1246400000000003</v>
      </c>
      <c r="F2317" s="304">
        <v>4.9397653999999998</v>
      </c>
      <c r="G2317" s="304">
        <v>3.7624417000000001</v>
      </c>
      <c r="H2317" s="304">
        <v>5.6425425999999996</v>
      </c>
      <c r="I2317" s="301">
        <v>0.13869999999999999</v>
      </c>
      <c r="J2317" s="301">
        <v>0.1106</v>
      </c>
      <c r="K2317" s="300">
        <v>44.6633396</v>
      </c>
      <c r="L2317" s="321"/>
      <c r="M2317" s="399"/>
    </row>
    <row r="2318" spans="2:13">
      <c r="B2318" s="335">
        <v>18</v>
      </c>
      <c r="C2318" s="320"/>
      <c r="D2318" s="299" t="s">
        <v>232</v>
      </c>
      <c r="E2318" s="304">
        <v>4.1262999999999996</v>
      </c>
      <c r="F2318" s="304">
        <v>4.9487525999999997</v>
      </c>
      <c r="G2318" s="304">
        <v>3.7677705000000001</v>
      </c>
      <c r="H2318" s="304">
        <v>5.6556422</v>
      </c>
      <c r="I2318" s="301">
        <v>0.1386</v>
      </c>
      <c r="J2318" s="301">
        <v>0.1106</v>
      </c>
      <c r="K2318" s="300">
        <v>44.744598199999999</v>
      </c>
      <c r="L2318" s="321"/>
      <c r="M2318" s="399"/>
    </row>
    <row r="2319" spans="2:13">
      <c r="B2319" s="335">
        <v>19</v>
      </c>
      <c r="C2319" s="320"/>
      <c r="D2319" s="299" t="s">
        <v>233</v>
      </c>
      <c r="E2319" s="304">
        <v>4.1284000000000001</v>
      </c>
      <c r="F2319" s="304">
        <v>4.9585784999999998</v>
      </c>
      <c r="G2319" s="304">
        <v>3.7733311999999999</v>
      </c>
      <c r="H2319" s="304">
        <v>5.6792942999999996</v>
      </c>
      <c r="I2319" s="301">
        <v>0.1384</v>
      </c>
      <c r="J2319" s="301">
        <v>0.1104</v>
      </c>
      <c r="K2319" s="300">
        <v>44.914660499999997</v>
      </c>
      <c r="L2319" s="321"/>
      <c r="M2319" s="399"/>
    </row>
    <row r="2320" spans="2:13" ht="17.25" thickBot="1">
      <c r="B2320" s="336">
        <v>20</v>
      </c>
      <c r="C2320" s="323"/>
      <c r="D2320" s="293" t="s">
        <v>249</v>
      </c>
      <c r="E2320" s="371">
        <v>4.1265200000000002</v>
      </c>
      <c r="F2320" s="371">
        <v>4.9807509999999997</v>
      </c>
      <c r="G2320" s="371">
        <v>3.7919306000000002</v>
      </c>
      <c r="H2320" s="371">
        <v>5.7084615999999997</v>
      </c>
      <c r="I2320" s="289">
        <v>0.13850000000000001</v>
      </c>
      <c r="J2320" s="289">
        <v>0.1104</v>
      </c>
      <c r="K2320" s="288">
        <v>45.1154978</v>
      </c>
      <c r="L2320" s="324"/>
      <c r="M2320" s="399"/>
    </row>
    <row r="2321" spans="2:13" ht="17.25" thickBot="1">
      <c r="B2321" s="337"/>
      <c r="C2321" s="326"/>
      <c r="D2321" s="327" t="s">
        <v>463</v>
      </c>
      <c r="E2321" s="328">
        <f>AVERAGE(E2316:E2320)</f>
        <v>4.1244540000000001</v>
      </c>
      <c r="F2321" s="328">
        <f t="shared" ref="F2321:K2321" si="659">AVERAGE(F2316:F2320)</f>
        <v>4.9497350599999992</v>
      </c>
      <c r="G2321" s="328">
        <f t="shared" si="659"/>
        <v>3.7701970199999999</v>
      </c>
      <c r="H2321" s="328">
        <f t="shared" si="659"/>
        <v>5.6589524199999994</v>
      </c>
      <c r="I2321" s="329">
        <f t="shared" si="659"/>
        <v>0.1386</v>
      </c>
      <c r="J2321" s="329">
        <f t="shared" si="659"/>
        <v>0.11055999999999999</v>
      </c>
      <c r="K2321" s="328">
        <f t="shared" si="659"/>
        <v>44.769979819999989</v>
      </c>
      <c r="L2321" s="331"/>
      <c r="M2321" s="399"/>
    </row>
    <row r="2322" spans="2:13">
      <c r="B2322" s="333">
        <v>21</v>
      </c>
      <c r="C2322" s="271" t="s">
        <v>573</v>
      </c>
      <c r="D2322" s="291" t="s">
        <v>250</v>
      </c>
      <c r="E2322" s="302">
        <v>4.1119599999999998</v>
      </c>
      <c r="F2322" s="302">
        <v>4.9326423999999998</v>
      </c>
      <c r="G2322" s="302">
        <v>3.7686017999999999</v>
      </c>
      <c r="H2322" s="302">
        <v>5.6275192000000001</v>
      </c>
      <c r="I2322" s="287">
        <v>0.13869999999999999</v>
      </c>
      <c r="J2322" s="287">
        <v>0.1109</v>
      </c>
      <c r="K2322" s="286">
        <v>44.478290200000004</v>
      </c>
      <c r="L2322" s="332"/>
      <c r="M2322" s="399"/>
    </row>
    <row r="2323" spans="2:13">
      <c r="B2323" s="335">
        <v>22</v>
      </c>
      <c r="C2323" s="320"/>
      <c r="D2323" s="299" t="s">
        <v>251</v>
      </c>
      <c r="E2323" s="304">
        <v>4.1180899999999996</v>
      </c>
      <c r="F2323" s="304">
        <v>4.9407036</v>
      </c>
      <c r="G2323" s="304">
        <v>3.7691417</v>
      </c>
      <c r="H2323" s="304">
        <v>5.6414797999999999</v>
      </c>
      <c r="I2323" s="301">
        <v>0.1386</v>
      </c>
      <c r="J2323" s="301">
        <v>0.1108</v>
      </c>
      <c r="K2323" s="300">
        <v>44.591187300000001</v>
      </c>
      <c r="L2323" s="321"/>
      <c r="M2323" s="399"/>
    </row>
    <row r="2324" spans="2:13">
      <c r="B2324" s="335">
        <v>23</v>
      </c>
      <c r="C2324" s="320"/>
      <c r="D2324" s="299" t="s">
        <v>237</v>
      </c>
      <c r="E2324" s="304">
        <v>4.1219999999999999</v>
      </c>
      <c r="F2324" s="304">
        <v>4.9527647000000004</v>
      </c>
      <c r="G2324" s="304">
        <v>3.7747589000000001</v>
      </c>
      <c r="H2324" s="304">
        <v>5.6660158000000003</v>
      </c>
      <c r="I2324" s="301">
        <v>0.1386</v>
      </c>
      <c r="J2324" s="301">
        <v>0.1105</v>
      </c>
      <c r="K2324" s="300">
        <v>44.821400400000002</v>
      </c>
      <c r="L2324" s="321"/>
      <c r="M2324" s="399"/>
    </row>
    <row r="2325" spans="2:13">
      <c r="B2325" s="335">
        <v>24</v>
      </c>
      <c r="C2325" s="320"/>
      <c r="D2325" s="299" t="s">
        <v>238</v>
      </c>
      <c r="E2325" s="304">
        <v>4.1241000000000003</v>
      </c>
      <c r="F2325" s="304">
        <v>4.9677889000000004</v>
      </c>
      <c r="G2325" s="304">
        <v>3.7842815999999999</v>
      </c>
      <c r="H2325" s="304">
        <v>5.6829098</v>
      </c>
      <c r="I2325" s="301">
        <v>0.1386</v>
      </c>
      <c r="J2325" s="301">
        <v>0.1105</v>
      </c>
      <c r="K2325" s="300">
        <v>44.957365299999999</v>
      </c>
      <c r="L2325" s="321"/>
      <c r="M2325" s="399"/>
    </row>
    <row r="2326" spans="2:13" ht="17.25" thickBot="1">
      <c r="B2326" s="336">
        <v>25</v>
      </c>
      <c r="C2326" s="323"/>
      <c r="D2326" s="293" t="s">
        <v>252</v>
      </c>
      <c r="E2326" s="371">
        <v>4.1201299999999996</v>
      </c>
      <c r="F2326" s="371">
        <v>4.9937253000000004</v>
      </c>
      <c r="G2326" s="371">
        <v>3.8077044999999998</v>
      </c>
      <c r="H2326" s="371">
        <v>5.7146594999999998</v>
      </c>
      <c r="I2326" s="289">
        <v>0.13850000000000001</v>
      </c>
      <c r="J2326" s="289">
        <v>0.1105</v>
      </c>
      <c r="K2326" s="288">
        <v>45.192084600000001</v>
      </c>
      <c r="L2326" s="324"/>
      <c r="M2326" s="399"/>
    </row>
    <row r="2327" spans="2:13" ht="17.25" thickBot="1">
      <c r="B2327" s="339" t="s">
        <v>455</v>
      </c>
      <c r="C2327" s="340"/>
      <c r="D2327" s="341" t="s">
        <v>465</v>
      </c>
      <c r="E2327" s="342">
        <f>AVERAGE(E2322:E2326)</f>
        <v>4.1192559999999991</v>
      </c>
      <c r="F2327" s="342">
        <f t="shared" ref="F2327:K2327" si="660">AVERAGE(F2322:F2326)</f>
        <v>4.9575249800000005</v>
      </c>
      <c r="G2327" s="342">
        <f t="shared" si="660"/>
        <v>3.7808976999999997</v>
      </c>
      <c r="H2327" s="342">
        <f t="shared" si="660"/>
        <v>5.66651682</v>
      </c>
      <c r="I2327" s="343">
        <f t="shared" si="660"/>
        <v>0.1386</v>
      </c>
      <c r="J2327" s="343">
        <f t="shared" si="660"/>
        <v>0.11064</v>
      </c>
      <c r="K2327" s="342">
        <f t="shared" si="660"/>
        <v>44.808065560000003</v>
      </c>
      <c r="L2327" s="344"/>
      <c r="M2327" s="399"/>
    </row>
    <row r="2328" spans="2:13">
      <c r="B2328" s="333"/>
      <c r="C2328" s="345"/>
      <c r="D2328" s="291" t="s">
        <v>458</v>
      </c>
      <c r="E2328" s="346">
        <f>MEDIAN(E2298:E2302,E2304:E2308,E2310:E2314,E2316:E2320,E2322:E2326)</f>
        <v>4.13117</v>
      </c>
      <c r="F2328" s="346">
        <f t="shared" ref="F2328:K2328" si="661">MEDIAN(F2298:F2302,F2304:F2308,F2310:F2314,F2316:F2320,F2322:F2326)</f>
        <v>4.9326423999999998</v>
      </c>
      <c r="G2328" s="346">
        <f t="shared" si="661"/>
        <v>3.7555111000000001</v>
      </c>
      <c r="H2328" s="346">
        <f t="shared" si="661"/>
        <v>5.6275192000000001</v>
      </c>
      <c r="I2328" s="347">
        <f t="shared" si="661"/>
        <v>0.13869999999999999</v>
      </c>
      <c r="J2328" s="347">
        <f t="shared" si="661"/>
        <v>0.1108</v>
      </c>
      <c r="K2328" s="348">
        <f t="shared" si="661"/>
        <v>44.478290200000004</v>
      </c>
      <c r="L2328" s="332"/>
      <c r="M2328" s="399"/>
    </row>
    <row r="2329" spans="2:13">
      <c r="B2329" s="335"/>
      <c r="C2329" s="320"/>
      <c r="D2329" s="299" t="s">
        <v>457</v>
      </c>
      <c r="E2329" s="349">
        <f>AVERAGE(E2298:E2302,E2304:E2308,E2310:E2314,E2316:E2320,E2322:E2326)</f>
        <v>4.1323991999999992</v>
      </c>
      <c r="F2329" s="349">
        <f t="shared" ref="F2329:K2329" si="662">AVERAGE(F2298:F2302,F2304:F2308,F2310:F2314,F2316:F2320,F2322:F2326)</f>
        <v>4.9228537480000005</v>
      </c>
      <c r="G2329" s="349">
        <f t="shared" si="662"/>
        <v>3.7426013359999994</v>
      </c>
      <c r="H2329" s="349">
        <f t="shared" si="662"/>
        <v>5.5954881080000005</v>
      </c>
      <c r="I2329" s="350">
        <f t="shared" si="662"/>
        <v>0.13883199999999998</v>
      </c>
      <c r="J2329" s="350">
        <f t="shared" si="662"/>
        <v>0.11122399999999999</v>
      </c>
      <c r="K2329" s="351">
        <f t="shared" si="662"/>
        <v>44.265326548000004</v>
      </c>
      <c r="L2329" s="321"/>
      <c r="M2329" s="399"/>
    </row>
    <row r="2330" spans="2:13">
      <c r="B2330" s="335"/>
      <c r="C2330" s="320"/>
      <c r="D2330" s="299" t="s">
        <v>199</v>
      </c>
      <c r="E2330" s="349">
        <f>MAX(E2298:E2302,E2304:E2308,E2310:E2314,E2316:E2320,E2322:E2326)</f>
        <v>4.1707299999999998</v>
      </c>
      <c r="F2330" s="349">
        <f t="shared" ref="F2330:K2330" si="663">MAX(F2298:F2302,F2304:F2308,F2310:F2314,F2316:F2320,F2322:F2326)</f>
        <v>4.9937253000000004</v>
      </c>
      <c r="G2330" s="349">
        <f t="shared" si="663"/>
        <v>3.8077044999999998</v>
      </c>
      <c r="H2330" s="349">
        <f t="shared" si="663"/>
        <v>5.7146594999999998</v>
      </c>
      <c r="I2330" s="350">
        <f t="shared" si="663"/>
        <v>0.13930000000000001</v>
      </c>
      <c r="J2330" s="350">
        <f t="shared" si="663"/>
        <v>0.1128</v>
      </c>
      <c r="K2330" s="351">
        <f t="shared" si="663"/>
        <v>45.192084600000001</v>
      </c>
      <c r="L2330" s="321"/>
      <c r="M2330" s="399"/>
    </row>
    <row r="2331" spans="2:13">
      <c r="B2331" s="335"/>
      <c r="C2331" s="320"/>
      <c r="D2331" s="299" t="s">
        <v>200</v>
      </c>
      <c r="E2331" s="349">
        <f>MIN(E2298:E2302,E2304:E2308,E2310:E2314,E2316:E2320,E2322:E2326)</f>
        <v>4.1119599999999998</v>
      </c>
      <c r="F2331" s="349">
        <f t="shared" ref="F2331:K2331" si="664">MIN(F2298:F2302,F2304:F2308,F2310:F2314,F2316:F2320,F2322:F2326)</f>
        <v>4.8597206000000002</v>
      </c>
      <c r="G2331" s="349">
        <f t="shared" si="664"/>
        <v>3.6718864999999998</v>
      </c>
      <c r="H2331" s="349">
        <f t="shared" si="664"/>
        <v>5.460464</v>
      </c>
      <c r="I2331" s="350">
        <f t="shared" si="664"/>
        <v>0.1384</v>
      </c>
      <c r="J2331" s="350">
        <f t="shared" si="664"/>
        <v>0.1104</v>
      </c>
      <c r="K2331" s="351">
        <f t="shared" si="664"/>
        <v>43.120856799999999</v>
      </c>
      <c r="L2331" s="321"/>
      <c r="M2331" s="399"/>
    </row>
    <row r="2332" spans="2:13">
      <c r="B2332" s="335"/>
      <c r="C2332" s="320"/>
      <c r="D2332" s="299" t="s">
        <v>201</v>
      </c>
      <c r="E2332" s="349">
        <f>E2330-E2331</f>
        <v>5.8769999999999989E-2</v>
      </c>
      <c r="F2332" s="349">
        <f t="shared" ref="F2332:K2332" si="665">F2330-F2331</f>
        <v>0.1340047000000002</v>
      </c>
      <c r="G2332" s="349">
        <f t="shared" si="665"/>
        <v>0.13581799999999999</v>
      </c>
      <c r="H2332" s="349">
        <f t="shared" si="665"/>
        <v>0.2541954999999998</v>
      </c>
      <c r="I2332" s="350">
        <f t="shared" si="665"/>
        <v>9.000000000000119E-4</v>
      </c>
      <c r="J2332" s="350">
        <f t="shared" si="665"/>
        <v>2.3999999999999994E-3</v>
      </c>
      <c r="K2332" s="349">
        <f t="shared" si="665"/>
        <v>2.0712278000000026</v>
      </c>
      <c r="L2332" s="321"/>
      <c r="M2332" s="399"/>
    </row>
    <row r="2333" spans="2:13" ht="17.25" thickBot="1">
      <c r="B2333" s="336"/>
      <c r="C2333" s="323"/>
      <c r="D2333" s="293" t="s">
        <v>202</v>
      </c>
      <c r="E2333" s="352">
        <f>STDEVA(E2298:E2302,E2304:E2308,E2310:E2314,E2316:E2320,E2322:E2326)</f>
        <v>1.2465885086908162E-2</v>
      </c>
      <c r="F2333" s="352">
        <f t="shared" ref="F2333:K2333" si="666">STDEVA(F2298:F2302,F2304:F2308,F2310:F2314,F2316:F2320,F2322:F2326)</f>
        <v>3.9978839309941179E-2</v>
      </c>
      <c r="G2333" s="352">
        <f t="shared" si="666"/>
        <v>3.7760404828988126E-2</v>
      </c>
      <c r="H2333" s="352">
        <f t="shared" si="666"/>
        <v>8.4245509610260116E-2</v>
      </c>
      <c r="I2333" s="353">
        <f t="shared" si="666"/>
        <v>2.9257477676655476E-4</v>
      </c>
      <c r="J2333" s="353">
        <f t="shared" si="666"/>
        <v>8.1510735489259223E-4</v>
      </c>
      <c r="K2333" s="352">
        <f t="shared" si="666"/>
        <v>0.66936461171143824</v>
      </c>
      <c r="L2333" s="324"/>
      <c r="M2333" s="399"/>
    </row>
    <row r="2335" spans="2:13">
      <c r="B2335" s="240" t="s">
        <v>578</v>
      </c>
      <c r="C2335" s="240"/>
      <c r="E2335" s="240"/>
      <c r="F2335" s="240"/>
      <c r="G2335" s="240"/>
      <c r="H2335" s="240"/>
      <c r="I2335" s="240"/>
      <c r="J2335" s="240"/>
      <c r="K2335" s="240"/>
    </row>
    <row r="2336" spans="2:13" ht="17.25" thickBot="1">
      <c r="B2336" s="240" t="s">
        <v>452</v>
      </c>
      <c r="C2336" s="240"/>
      <c r="E2336" s="240"/>
      <c r="F2336" s="240"/>
      <c r="G2336" s="240"/>
      <c r="H2336" s="240"/>
      <c r="I2336" s="240"/>
      <c r="J2336" s="240"/>
      <c r="K2336" s="240"/>
    </row>
    <row r="2337" spans="2:13" ht="17.25" thickBot="1">
      <c r="B2337" s="313" t="s">
        <v>11</v>
      </c>
      <c r="C2337" s="250" t="s">
        <v>0</v>
      </c>
      <c r="D2337" s="250" t="s">
        <v>1</v>
      </c>
      <c r="E2337" s="250" t="s">
        <v>2</v>
      </c>
      <c r="F2337" s="250" t="s">
        <v>3</v>
      </c>
      <c r="G2337" s="250" t="s">
        <v>192</v>
      </c>
      <c r="H2337" s="250" t="s">
        <v>16</v>
      </c>
      <c r="I2337" s="250" t="s">
        <v>6</v>
      </c>
      <c r="J2337" s="251" t="s">
        <v>7</v>
      </c>
      <c r="K2337" s="252" t="s">
        <v>8</v>
      </c>
      <c r="L2337" s="254" t="s">
        <v>439</v>
      </c>
      <c r="M2337" s="404"/>
    </row>
    <row r="2338" spans="2:13">
      <c r="B2338" s="314">
        <v>1</v>
      </c>
      <c r="C2338" s="271" t="s">
        <v>389</v>
      </c>
      <c r="D2338" s="291" t="s">
        <v>213</v>
      </c>
      <c r="E2338" s="302">
        <v>4.0579999999999998</v>
      </c>
      <c r="F2338" s="302">
        <v>4.8070000000000004</v>
      </c>
      <c r="G2338" s="302">
        <v>3.7214450000000001</v>
      </c>
      <c r="H2338" s="364">
        <v>5.6308749999999996</v>
      </c>
      <c r="I2338" s="287">
        <v>0.1381</v>
      </c>
      <c r="J2338" s="287">
        <v>0.1077</v>
      </c>
      <c r="K2338" s="286">
        <v>44.633240000000001</v>
      </c>
      <c r="L2338" s="275"/>
      <c r="M2338" s="397"/>
    </row>
    <row r="2339" spans="2:13">
      <c r="B2339" s="315">
        <v>2</v>
      </c>
      <c r="C2339" s="316"/>
      <c r="D2339" s="299" t="s">
        <v>214</v>
      </c>
      <c r="E2339" s="304">
        <v>4.0599999999999996</v>
      </c>
      <c r="F2339" s="304">
        <v>4.8</v>
      </c>
      <c r="G2339" s="304">
        <v>3.7141950000000001</v>
      </c>
      <c r="H2339" s="370">
        <v>5.6022999999999996</v>
      </c>
      <c r="I2339" s="301">
        <v>0.13819999999999999</v>
      </c>
      <c r="J2339" s="301">
        <v>0.108</v>
      </c>
      <c r="K2339" s="300">
        <v>44.444443999999997</v>
      </c>
      <c r="L2339" s="319"/>
      <c r="M2339" s="398"/>
    </row>
    <row r="2340" spans="2:13">
      <c r="B2340" s="315">
        <v>3</v>
      </c>
      <c r="C2340" s="320"/>
      <c r="D2340" s="299" t="s">
        <v>217</v>
      </c>
      <c r="E2340" s="304">
        <v>4.0579999999999998</v>
      </c>
      <c r="F2340" s="304">
        <v>4.766</v>
      </c>
      <c r="G2340" s="304">
        <v>3.6897039999999999</v>
      </c>
      <c r="H2340" s="370">
        <v>5.5567349999999998</v>
      </c>
      <c r="I2340" s="301">
        <v>0.13830000000000001</v>
      </c>
      <c r="J2340" s="301">
        <v>0.108</v>
      </c>
      <c r="K2340" s="300">
        <v>44.129629999999999</v>
      </c>
      <c r="L2340" s="356"/>
      <c r="M2340" s="400"/>
    </row>
    <row r="2341" spans="2:13">
      <c r="B2341" s="315">
        <v>4</v>
      </c>
      <c r="C2341" s="320"/>
      <c r="D2341" s="299" t="s">
        <v>218</v>
      </c>
      <c r="E2341" s="304">
        <v>4.0579999999999998</v>
      </c>
      <c r="F2341" s="304">
        <v>4.7649999999999997</v>
      </c>
      <c r="G2341" s="304">
        <v>3.68893</v>
      </c>
      <c r="H2341" s="370">
        <v>5.5542959999999999</v>
      </c>
      <c r="I2341" s="301">
        <v>0.13830000000000001</v>
      </c>
      <c r="J2341" s="301">
        <v>0.1081</v>
      </c>
      <c r="K2341" s="300">
        <v>44.079555999999997</v>
      </c>
      <c r="L2341" s="356"/>
      <c r="M2341" s="400"/>
    </row>
    <row r="2342" spans="2:13" ht="17.25" thickBot="1">
      <c r="B2342" s="322">
        <v>5</v>
      </c>
      <c r="C2342" s="323"/>
      <c r="D2342" s="293" t="s">
        <v>240</v>
      </c>
      <c r="E2342" s="371">
        <v>4.0549999999999997</v>
      </c>
      <c r="F2342" s="371">
        <v>4.758</v>
      </c>
      <c r="G2342" s="371">
        <v>3.6862360000000001</v>
      </c>
      <c r="H2342" s="372">
        <v>5.541919</v>
      </c>
      <c r="I2342" s="289">
        <v>0.1386</v>
      </c>
      <c r="J2342" s="289">
        <v>0.108</v>
      </c>
      <c r="K2342" s="288">
        <v>44.055556000000003</v>
      </c>
      <c r="L2342" s="324"/>
      <c r="M2342" s="399"/>
    </row>
    <row r="2343" spans="2:13" ht="17.25" thickBot="1">
      <c r="B2343" s="325"/>
      <c r="C2343" s="326"/>
      <c r="D2343" s="327" t="s">
        <v>463</v>
      </c>
      <c r="E2343" s="328">
        <f>AVERAGE(E2338:E2342)</f>
        <v>4.0577999999999994</v>
      </c>
      <c r="F2343" s="328">
        <f t="shared" ref="F2343:K2343" si="667">AVERAGE(F2338:F2342)</f>
        <v>4.7791999999999994</v>
      </c>
      <c r="G2343" s="328">
        <f t="shared" si="667"/>
        <v>3.7001020000000002</v>
      </c>
      <c r="H2343" s="373">
        <f t="shared" si="667"/>
        <v>5.5772250000000003</v>
      </c>
      <c r="I2343" s="329">
        <f t="shared" si="667"/>
        <v>0.13830000000000001</v>
      </c>
      <c r="J2343" s="329">
        <f t="shared" si="667"/>
        <v>0.10795999999999999</v>
      </c>
      <c r="K2343" s="330">
        <f t="shared" si="667"/>
        <v>44.268485200000001</v>
      </c>
      <c r="L2343" s="331"/>
      <c r="M2343" s="399"/>
    </row>
    <row r="2344" spans="2:13">
      <c r="B2344" s="314">
        <v>6</v>
      </c>
      <c r="C2344" s="271" t="s">
        <v>576</v>
      </c>
      <c r="D2344" s="291" t="s">
        <v>241</v>
      </c>
      <c r="E2344" s="302">
        <v>4.0449999999999999</v>
      </c>
      <c r="F2344" s="302">
        <v>4.7779999999999996</v>
      </c>
      <c r="G2344" s="302">
        <v>3.7108819999999998</v>
      </c>
      <c r="H2344" s="364">
        <v>5.5684290000000001</v>
      </c>
      <c r="I2344" s="287">
        <v>0.13819999999999999</v>
      </c>
      <c r="J2344" s="287">
        <v>0.1081</v>
      </c>
      <c r="K2344" s="286">
        <v>44.199815000000001</v>
      </c>
      <c r="L2344" s="332"/>
      <c r="M2344" s="399"/>
    </row>
    <row r="2345" spans="2:13">
      <c r="B2345" s="315">
        <v>7</v>
      </c>
      <c r="C2345" s="320"/>
      <c r="D2345" s="299" t="s">
        <v>242</v>
      </c>
      <c r="E2345" s="304">
        <v>4.0490000000000004</v>
      </c>
      <c r="F2345" s="304">
        <v>4.7729999999999997</v>
      </c>
      <c r="G2345" s="304">
        <v>3.7033360000000002</v>
      </c>
      <c r="H2345" s="370">
        <v>5.5614439999999998</v>
      </c>
      <c r="I2345" s="301">
        <v>0.13819999999999999</v>
      </c>
      <c r="J2345" s="301">
        <v>0.1082</v>
      </c>
      <c r="K2345" s="300">
        <v>44.112754000000002</v>
      </c>
      <c r="L2345" s="321"/>
      <c r="M2345" s="399"/>
    </row>
    <row r="2346" spans="2:13">
      <c r="B2346" s="315">
        <v>8</v>
      </c>
      <c r="C2346" s="320"/>
      <c r="D2346" s="299" t="s">
        <v>222</v>
      </c>
      <c r="E2346" s="304">
        <v>4.048</v>
      </c>
      <c r="F2346" s="304">
        <v>4.7539999999999996</v>
      </c>
      <c r="G2346" s="304">
        <v>3.6895060000000002</v>
      </c>
      <c r="H2346" s="370">
        <v>5.5353940000000001</v>
      </c>
      <c r="I2346" s="301">
        <v>0.13830000000000001</v>
      </c>
      <c r="J2346" s="301">
        <v>0.10829999999999999</v>
      </c>
      <c r="K2346" s="300">
        <v>43.896583999999997</v>
      </c>
      <c r="L2346" s="321"/>
      <c r="M2346" s="399"/>
    </row>
    <row r="2347" spans="2:13">
      <c r="B2347" s="315">
        <v>9</v>
      </c>
      <c r="C2347" s="320"/>
      <c r="D2347" s="299" t="s">
        <v>223</v>
      </c>
      <c r="E2347" s="304">
        <v>4.0460000000000003</v>
      </c>
      <c r="F2347" s="304">
        <v>4.7380000000000004</v>
      </c>
      <c r="G2347" s="304">
        <v>3.678906</v>
      </c>
      <c r="H2347" s="370">
        <v>5.5140390000000004</v>
      </c>
      <c r="I2347" s="301">
        <v>0.1384</v>
      </c>
      <c r="J2347" s="301">
        <v>0.1084</v>
      </c>
      <c r="K2347" s="300">
        <v>43.708486999999998</v>
      </c>
      <c r="L2347" s="321"/>
      <c r="M2347" s="399"/>
    </row>
    <row r="2348" spans="2:13" ht="17.25" thickBot="1">
      <c r="B2348" s="322">
        <v>10</v>
      </c>
      <c r="C2348" s="323"/>
      <c r="D2348" s="293" t="s">
        <v>243</v>
      </c>
      <c r="E2348" s="371">
        <v>4.0449999999999999</v>
      </c>
      <c r="F2348" s="371">
        <v>4.72</v>
      </c>
      <c r="G2348" s="371">
        <v>3.6658360000000001</v>
      </c>
      <c r="H2348" s="372">
        <v>5.4934770000000004</v>
      </c>
      <c r="I2348" s="289">
        <v>0.13850000000000001</v>
      </c>
      <c r="J2348" s="289">
        <v>0.1082</v>
      </c>
      <c r="K2348" s="288">
        <v>43.622920999999998</v>
      </c>
      <c r="L2348" s="324"/>
      <c r="M2348" s="399"/>
    </row>
    <row r="2349" spans="2:13" ht="17.25" thickBot="1">
      <c r="B2349" s="325" t="s">
        <v>455</v>
      </c>
      <c r="C2349" s="326"/>
      <c r="D2349" s="327" t="s">
        <v>463</v>
      </c>
      <c r="E2349" s="328">
        <f t="shared" ref="E2349:K2349" si="668">AVERAGE(E2344:E2348)</f>
        <v>4.0466000000000006</v>
      </c>
      <c r="F2349" s="328">
        <f t="shared" si="668"/>
        <v>4.7525999999999993</v>
      </c>
      <c r="G2349" s="328">
        <f t="shared" si="668"/>
        <v>3.6896931999999998</v>
      </c>
      <c r="H2349" s="373">
        <f t="shared" si="668"/>
        <v>5.5345566000000002</v>
      </c>
      <c r="I2349" s="329">
        <f t="shared" si="668"/>
        <v>0.13832</v>
      </c>
      <c r="J2349" s="329">
        <f t="shared" si="668"/>
        <v>0.10824</v>
      </c>
      <c r="K2349" s="330">
        <f t="shared" si="668"/>
        <v>43.908112199999991</v>
      </c>
      <c r="L2349" s="331"/>
      <c r="M2349" s="399"/>
    </row>
    <row r="2350" spans="2:13">
      <c r="B2350" s="333">
        <v>11</v>
      </c>
      <c r="C2350" s="271" t="s">
        <v>389</v>
      </c>
      <c r="D2350" s="291" t="s">
        <v>244</v>
      </c>
      <c r="E2350" s="302">
        <v>4.0510000000000002</v>
      </c>
      <c r="F2350" s="302">
        <v>4.7969999999999997</v>
      </c>
      <c r="G2350" s="302">
        <v>3.7201200000000001</v>
      </c>
      <c r="H2350" s="302">
        <v>5.5985940000000003</v>
      </c>
      <c r="I2350" s="287">
        <v>0.13819999999999999</v>
      </c>
      <c r="J2350" s="287">
        <v>0.1081</v>
      </c>
      <c r="K2350" s="286">
        <v>44.375577999999997</v>
      </c>
      <c r="L2350" s="332"/>
      <c r="M2350" s="399"/>
    </row>
    <row r="2351" spans="2:13">
      <c r="B2351" s="335">
        <v>12</v>
      </c>
      <c r="C2351" s="316"/>
      <c r="D2351" s="299" t="s">
        <v>245</v>
      </c>
      <c r="E2351" s="304">
        <v>4.0540000000000003</v>
      </c>
      <c r="F2351" s="304">
        <v>4.7910000000000004</v>
      </c>
      <c r="G2351" s="304">
        <v>3.7127180000000002</v>
      </c>
      <c r="H2351" s="304">
        <v>5.5841050000000001</v>
      </c>
      <c r="I2351" s="301">
        <v>0.13830000000000001</v>
      </c>
      <c r="J2351" s="301">
        <v>0.10829999999999999</v>
      </c>
      <c r="K2351" s="300">
        <v>44.238227000000002</v>
      </c>
      <c r="L2351" s="321"/>
      <c r="M2351" s="399"/>
    </row>
    <row r="2352" spans="2:13">
      <c r="B2352" s="335">
        <v>13</v>
      </c>
      <c r="C2352" s="320"/>
      <c r="D2352" s="299" t="s">
        <v>227</v>
      </c>
      <c r="E2352" s="304">
        <v>4.0540000000000003</v>
      </c>
      <c r="F2352" s="304">
        <v>4.7690000000000001</v>
      </c>
      <c r="G2352" s="304">
        <v>3.6956690000000001</v>
      </c>
      <c r="H2352" s="304">
        <v>5.550872</v>
      </c>
      <c r="I2352" s="301">
        <v>0.13830000000000001</v>
      </c>
      <c r="J2352" s="301">
        <v>0.1084</v>
      </c>
      <c r="K2352" s="300">
        <v>43.994464999999998</v>
      </c>
      <c r="L2352" s="321"/>
      <c r="M2352" s="399"/>
    </row>
    <row r="2353" spans="2:13">
      <c r="B2353" s="335">
        <v>14</v>
      </c>
      <c r="C2353" s="320"/>
      <c r="D2353" s="299" t="s">
        <v>228</v>
      </c>
      <c r="E2353" s="304">
        <v>4.0540000000000003</v>
      </c>
      <c r="F2353" s="304">
        <v>4.7489999999999997</v>
      </c>
      <c r="G2353" s="304">
        <v>3.6801699999999999</v>
      </c>
      <c r="H2353" s="304">
        <v>5.5301080000000002</v>
      </c>
      <c r="I2353" s="301">
        <v>0.13830000000000001</v>
      </c>
      <c r="J2353" s="301">
        <v>0.10829999999999999</v>
      </c>
      <c r="K2353" s="300">
        <v>43.850416000000003</v>
      </c>
      <c r="L2353" s="321"/>
      <c r="M2353" s="399"/>
    </row>
    <row r="2354" spans="2:13" ht="17.25" thickBot="1">
      <c r="B2354" s="336">
        <v>15</v>
      </c>
      <c r="C2354" s="323"/>
      <c r="D2354" s="293" t="s">
        <v>246</v>
      </c>
      <c r="E2354" s="371">
        <v>4.0510000000000002</v>
      </c>
      <c r="F2354" s="371">
        <v>4.7380000000000004</v>
      </c>
      <c r="G2354" s="371">
        <v>3.6743649999999999</v>
      </c>
      <c r="H2354" s="371">
        <v>5.5141499999999999</v>
      </c>
      <c r="I2354" s="289">
        <v>0.13850000000000001</v>
      </c>
      <c r="J2354" s="289">
        <v>0.10829999999999999</v>
      </c>
      <c r="K2354" s="288">
        <v>43.748846</v>
      </c>
      <c r="L2354" s="324"/>
      <c r="M2354" s="399"/>
    </row>
    <row r="2355" spans="2:13" ht="17.25" thickBot="1">
      <c r="B2355" s="337"/>
      <c r="C2355" s="326"/>
      <c r="D2355" s="327" t="s">
        <v>463</v>
      </c>
      <c r="E2355" s="328">
        <f>AVERAGE(E2350:E2354)</f>
        <v>4.0528000000000004</v>
      </c>
      <c r="F2355" s="328">
        <f t="shared" ref="F2355:K2355" si="669">AVERAGE(F2350:F2354)</f>
        <v>4.7688000000000006</v>
      </c>
      <c r="G2355" s="328">
        <f t="shared" si="669"/>
        <v>3.6966084000000001</v>
      </c>
      <c r="H2355" s="328">
        <f t="shared" si="669"/>
        <v>5.5555657999999992</v>
      </c>
      <c r="I2355" s="329">
        <f t="shared" si="669"/>
        <v>0.13832</v>
      </c>
      <c r="J2355" s="329">
        <f t="shared" si="669"/>
        <v>0.10828</v>
      </c>
      <c r="K2355" s="330">
        <f t="shared" si="669"/>
        <v>44.041506400000003</v>
      </c>
      <c r="L2355" s="331"/>
      <c r="M2355" s="399"/>
    </row>
    <row r="2356" spans="2:13">
      <c r="B2356" s="333">
        <v>16</v>
      </c>
      <c r="C2356" s="271" t="s">
        <v>577</v>
      </c>
      <c r="D2356" s="291" t="s">
        <v>247</v>
      </c>
      <c r="E2356" s="302">
        <v>4.0430000000000001</v>
      </c>
      <c r="F2356" s="302">
        <v>4.7590000000000003</v>
      </c>
      <c r="G2356" s="302">
        <v>3.6979540000000002</v>
      </c>
      <c r="H2356" s="302">
        <v>5.5554589999999999</v>
      </c>
      <c r="I2356" s="287">
        <v>0.13830000000000001</v>
      </c>
      <c r="J2356" s="287">
        <v>0.1081</v>
      </c>
      <c r="K2356" s="286">
        <v>44.024051999999998</v>
      </c>
      <c r="L2356" s="359"/>
      <c r="M2356" s="401"/>
    </row>
    <row r="2357" spans="2:13">
      <c r="B2357" s="335">
        <v>17</v>
      </c>
      <c r="C2357" s="320"/>
      <c r="D2357" s="299" t="s">
        <v>248</v>
      </c>
      <c r="E2357" s="304">
        <v>4.0460000000000003</v>
      </c>
      <c r="F2357" s="304">
        <v>4.7539999999999996</v>
      </c>
      <c r="G2357" s="304">
        <v>3.6913290000000001</v>
      </c>
      <c r="H2357" s="304">
        <v>5.531155</v>
      </c>
      <c r="I2357" s="301">
        <v>0.13819999999999999</v>
      </c>
      <c r="J2357" s="301">
        <v>0.1082</v>
      </c>
      <c r="K2357" s="300">
        <v>43.937153000000002</v>
      </c>
      <c r="L2357" s="321"/>
      <c r="M2357" s="399"/>
    </row>
    <row r="2358" spans="2:13">
      <c r="B2358" s="335">
        <v>18</v>
      </c>
      <c r="C2358" s="320"/>
      <c r="D2358" s="299" t="s">
        <v>232</v>
      </c>
      <c r="E2358" s="304">
        <v>4.0460000000000003</v>
      </c>
      <c r="F2358" s="304">
        <v>4.7389999999999999</v>
      </c>
      <c r="G2358" s="304">
        <v>3.6796820000000001</v>
      </c>
      <c r="H2358" s="304">
        <v>5.5100959999999999</v>
      </c>
      <c r="I2358" s="301">
        <v>0.1384</v>
      </c>
      <c r="J2358" s="301">
        <v>0.1084</v>
      </c>
      <c r="K2358" s="300">
        <v>43.717711999999999</v>
      </c>
      <c r="L2358" s="321"/>
      <c r="M2358" s="399"/>
    </row>
    <row r="2359" spans="2:13">
      <c r="B2359" s="335">
        <v>19</v>
      </c>
      <c r="C2359" s="320"/>
      <c r="D2359" s="299" t="s">
        <v>233</v>
      </c>
      <c r="E2359" s="304">
        <v>4.0430000000000001</v>
      </c>
      <c r="F2359" s="304">
        <v>4.7030000000000003</v>
      </c>
      <c r="G2359" s="304">
        <v>3.654439</v>
      </c>
      <c r="H2359" s="304">
        <v>5.4741669999999996</v>
      </c>
      <c r="I2359" s="301">
        <v>0.1384</v>
      </c>
      <c r="J2359" s="301">
        <v>0.1084</v>
      </c>
      <c r="K2359" s="300">
        <v>43.385609000000002</v>
      </c>
      <c r="L2359" s="321"/>
      <c r="M2359" s="399"/>
    </row>
    <row r="2360" spans="2:13" ht="17.25" thickBot="1">
      <c r="B2360" s="336">
        <v>20</v>
      </c>
      <c r="C2360" s="323"/>
      <c r="D2360" s="293" t="s">
        <v>249</v>
      </c>
      <c r="E2360" s="371">
        <v>4.0430000000000001</v>
      </c>
      <c r="F2360" s="371">
        <v>4.6980000000000004</v>
      </c>
      <c r="G2360" s="371">
        <v>3.6505540000000001</v>
      </c>
      <c r="H2360" s="371">
        <v>5.4690260000000004</v>
      </c>
      <c r="I2360" s="289">
        <v>0.1386</v>
      </c>
      <c r="J2360" s="289">
        <v>0.10829999999999999</v>
      </c>
      <c r="K2360" s="288">
        <v>43.379500999999998</v>
      </c>
      <c r="L2360" s="324"/>
      <c r="M2360" s="399"/>
    </row>
    <row r="2361" spans="2:13" ht="17.25" thickBot="1">
      <c r="B2361" s="337"/>
      <c r="C2361" s="326"/>
      <c r="D2361" s="327" t="s">
        <v>463</v>
      </c>
      <c r="E2361" s="328">
        <f>AVERAGE(E2356:E2360)</f>
        <v>4.0442</v>
      </c>
      <c r="F2361" s="328">
        <f t="shared" ref="F2361:K2361" si="670">AVERAGE(F2356:F2360)</f>
        <v>4.7305999999999999</v>
      </c>
      <c r="G2361" s="328">
        <f t="shared" si="670"/>
        <v>3.6747916000000003</v>
      </c>
      <c r="H2361" s="328">
        <f t="shared" si="670"/>
        <v>5.5079806000000007</v>
      </c>
      <c r="I2361" s="329">
        <f t="shared" si="670"/>
        <v>0.13838</v>
      </c>
      <c r="J2361" s="329">
        <f t="shared" si="670"/>
        <v>0.10828</v>
      </c>
      <c r="K2361" s="328">
        <f t="shared" si="670"/>
        <v>43.6888054</v>
      </c>
      <c r="L2361" s="331"/>
      <c r="M2361" s="399"/>
    </row>
    <row r="2362" spans="2:13">
      <c r="B2362" s="333">
        <v>21</v>
      </c>
      <c r="C2362" s="271" t="s">
        <v>577</v>
      </c>
      <c r="D2362" s="291" t="s">
        <v>250</v>
      </c>
      <c r="E2362" s="302">
        <v>4.0389999999999997</v>
      </c>
      <c r="F2362" s="302">
        <v>4.7409999999999997</v>
      </c>
      <c r="G2362" s="302">
        <v>3.6876150000000001</v>
      </c>
      <c r="H2362" s="302">
        <v>5.5346310000000001</v>
      </c>
      <c r="I2362" s="287">
        <v>0.1384</v>
      </c>
      <c r="J2362" s="287">
        <v>0.10780000000000001</v>
      </c>
      <c r="K2362" s="286">
        <v>43.979591999999997</v>
      </c>
      <c r="L2362" s="332"/>
      <c r="M2362" s="399"/>
    </row>
    <row r="2363" spans="2:13">
      <c r="B2363" s="335">
        <v>22</v>
      </c>
      <c r="C2363" s="320"/>
      <c r="D2363" s="299" t="s">
        <v>251</v>
      </c>
      <c r="E2363" s="304">
        <v>4.0389999999999997</v>
      </c>
      <c r="F2363" s="304">
        <v>4.6909999999999998</v>
      </c>
      <c r="G2363" s="304">
        <v>3.6487250000000002</v>
      </c>
      <c r="H2363" s="304">
        <v>5.4601119999999996</v>
      </c>
      <c r="I2363" s="301">
        <v>0.1384</v>
      </c>
      <c r="J2363" s="301">
        <v>0.1081</v>
      </c>
      <c r="K2363" s="300">
        <v>43.395004999999998</v>
      </c>
      <c r="L2363" s="321"/>
      <c r="M2363" s="399"/>
    </row>
    <row r="2364" spans="2:13">
      <c r="B2364" s="335">
        <v>23</v>
      </c>
      <c r="C2364" s="320"/>
      <c r="D2364" s="299" t="s">
        <v>237</v>
      </c>
      <c r="E2364" s="304">
        <v>4.0439999999999996</v>
      </c>
      <c r="F2364" s="304">
        <v>4.7240000000000002</v>
      </c>
      <c r="G2364" s="304">
        <v>3.6698490000000001</v>
      </c>
      <c r="H2364" s="304">
        <v>5.5011950000000001</v>
      </c>
      <c r="I2364" s="301">
        <v>0.1384</v>
      </c>
      <c r="J2364" s="301">
        <v>0.1082</v>
      </c>
      <c r="K2364" s="300">
        <v>43.659889</v>
      </c>
      <c r="L2364" s="321"/>
      <c r="M2364" s="399"/>
    </row>
    <row r="2365" spans="2:13">
      <c r="B2365" s="335">
        <v>24</v>
      </c>
      <c r="C2365" s="320"/>
      <c r="D2365" s="299" t="s">
        <v>238</v>
      </c>
      <c r="E2365" s="304">
        <v>4.0369999999999999</v>
      </c>
      <c r="F2365" s="304">
        <v>4.6310000000000002</v>
      </c>
      <c r="G2365" s="304">
        <v>3.6038399999999999</v>
      </c>
      <c r="H2365" s="304">
        <v>5.3861090000000003</v>
      </c>
      <c r="I2365" s="301">
        <v>0.13850000000000001</v>
      </c>
      <c r="J2365" s="301">
        <v>0.10829999999999999</v>
      </c>
      <c r="K2365" s="300">
        <v>42.760849</v>
      </c>
      <c r="L2365" s="321"/>
      <c r="M2365" s="399"/>
    </row>
    <row r="2366" spans="2:13" ht="17.25" thickBot="1">
      <c r="B2366" s="336">
        <v>25</v>
      </c>
      <c r="C2366" s="323"/>
      <c r="D2366" s="293" t="s">
        <v>252</v>
      </c>
      <c r="E2366" s="371">
        <v>4.04</v>
      </c>
      <c r="F2366" s="371">
        <v>4.6859999999999999</v>
      </c>
      <c r="G2366" s="371">
        <v>3.6439330000000001</v>
      </c>
      <c r="H2366" s="371">
        <v>5.45852</v>
      </c>
      <c r="I2366" s="289">
        <v>0.1386</v>
      </c>
      <c r="J2366" s="289">
        <v>0.1082</v>
      </c>
      <c r="K2366" s="288">
        <v>43.308687999999997</v>
      </c>
      <c r="L2366" s="324"/>
      <c r="M2366" s="399"/>
    </row>
    <row r="2367" spans="2:13" ht="17.25" thickBot="1">
      <c r="B2367" s="339" t="s">
        <v>455</v>
      </c>
      <c r="C2367" s="340"/>
      <c r="D2367" s="341" t="s">
        <v>465</v>
      </c>
      <c r="E2367" s="342">
        <f>AVERAGE(E2362:E2366)</f>
        <v>4.0397999999999996</v>
      </c>
      <c r="F2367" s="342">
        <f t="shared" ref="F2367:K2367" si="671">AVERAGE(F2362:F2366)</f>
        <v>4.6945999999999994</v>
      </c>
      <c r="G2367" s="342">
        <f t="shared" si="671"/>
        <v>3.6507923999999994</v>
      </c>
      <c r="H2367" s="342">
        <f t="shared" si="671"/>
        <v>5.4681134</v>
      </c>
      <c r="I2367" s="343">
        <f t="shared" si="671"/>
        <v>0.13846000000000003</v>
      </c>
      <c r="J2367" s="343">
        <f t="shared" si="671"/>
        <v>0.10811999999999999</v>
      </c>
      <c r="K2367" s="342">
        <f t="shared" si="671"/>
        <v>43.420804599999997</v>
      </c>
      <c r="L2367" s="344"/>
      <c r="M2367" s="399"/>
    </row>
    <row r="2368" spans="2:13">
      <c r="B2368" s="333"/>
      <c r="C2368" s="345"/>
      <c r="D2368" s="291" t="s">
        <v>458</v>
      </c>
      <c r="E2368" s="346">
        <f>MEDIAN(E2338:E2342,E2344:E2348,E2350:E2354,E2356:E2360,E2362:E2366)</f>
        <v>4.0460000000000003</v>
      </c>
      <c r="F2368" s="346">
        <f t="shared" ref="F2368:K2368" si="672">MEDIAN(F2338:F2342,F2344:F2348,F2350:F2354,F2356:F2360,F2362:F2366)</f>
        <v>4.7539999999999996</v>
      </c>
      <c r="G2368" s="346">
        <f t="shared" si="672"/>
        <v>3.6876150000000001</v>
      </c>
      <c r="H2368" s="346">
        <f t="shared" si="672"/>
        <v>5.5346310000000001</v>
      </c>
      <c r="I2368" s="347">
        <f t="shared" si="672"/>
        <v>0.13830000000000001</v>
      </c>
      <c r="J2368" s="347">
        <f t="shared" si="672"/>
        <v>0.1082</v>
      </c>
      <c r="K2368" s="348">
        <f t="shared" si="672"/>
        <v>43.937153000000002</v>
      </c>
      <c r="L2368" s="332"/>
      <c r="M2368" s="399"/>
    </row>
    <row r="2369" spans="2:23">
      <c r="B2369" s="335"/>
      <c r="C2369" s="320"/>
      <c r="D2369" s="299" t="s">
        <v>457</v>
      </c>
      <c r="E2369" s="349">
        <f>AVERAGE(E2338:E2342,E2344:E2348,E2350:E2354,E2356:E2360,E2362:E2366)</f>
        <v>4.0482400000000016</v>
      </c>
      <c r="F2369" s="349">
        <f t="shared" ref="F2369:K2369" si="673">AVERAGE(F2338:F2342,F2344:F2348,F2350:F2354,F2356:F2360,F2362:F2366)</f>
        <v>4.7451600000000012</v>
      </c>
      <c r="G2369" s="349">
        <f t="shared" si="673"/>
        <v>3.6823975200000008</v>
      </c>
      <c r="H2369" s="349">
        <f t="shared" si="673"/>
        <v>5.528688279999999</v>
      </c>
      <c r="I2369" s="350">
        <f t="shared" si="673"/>
        <v>0.13835599999999998</v>
      </c>
      <c r="J2369" s="350">
        <f t="shared" si="673"/>
        <v>0.10817600000000001</v>
      </c>
      <c r="K2369" s="351">
        <f t="shared" si="673"/>
        <v>43.865542759999997</v>
      </c>
      <c r="L2369" s="321"/>
      <c r="M2369" s="399"/>
    </row>
    <row r="2370" spans="2:23">
      <c r="B2370" s="335"/>
      <c r="C2370" s="320"/>
      <c r="D2370" s="299" t="s">
        <v>199</v>
      </c>
      <c r="E2370" s="349">
        <f>MAX(E2338:E2342,E2344:E2348,E2350:E2354,E2356:E2360,E2362:E2366)</f>
        <v>4.0599999999999996</v>
      </c>
      <c r="F2370" s="349">
        <f t="shared" ref="F2370:K2370" si="674">MAX(F2338:F2342,F2344:F2348,F2350:F2354,F2356:F2360,F2362:F2366)</f>
        <v>4.8070000000000004</v>
      </c>
      <c r="G2370" s="349">
        <f t="shared" si="674"/>
        <v>3.7214450000000001</v>
      </c>
      <c r="H2370" s="349">
        <f t="shared" si="674"/>
        <v>5.6308749999999996</v>
      </c>
      <c r="I2370" s="350">
        <f t="shared" si="674"/>
        <v>0.1386</v>
      </c>
      <c r="J2370" s="350">
        <f t="shared" si="674"/>
        <v>0.1084</v>
      </c>
      <c r="K2370" s="351">
        <f t="shared" si="674"/>
        <v>44.633240000000001</v>
      </c>
      <c r="L2370" s="321"/>
      <c r="M2370" s="399"/>
    </row>
    <row r="2371" spans="2:23">
      <c r="B2371" s="335"/>
      <c r="C2371" s="320"/>
      <c r="D2371" s="299" t="s">
        <v>200</v>
      </c>
      <c r="E2371" s="349">
        <f>MIN(E2338:E2342,E2344:E2348,E2350:E2354,E2356:E2360,E2362:E2366)</f>
        <v>4.0369999999999999</v>
      </c>
      <c r="F2371" s="349">
        <f t="shared" ref="F2371:K2371" si="675">MIN(F2338:F2342,F2344:F2348,F2350:F2354,F2356:F2360,F2362:F2366)</f>
        <v>4.6310000000000002</v>
      </c>
      <c r="G2371" s="349">
        <f t="shared" si="675"/>
        <v>3.6038399999999999</v>
      </c>
      <c r="H2371" s="349">
        <f t="shared" si="675"/>
        <v>5.3861090000000003</v>
      </c>
      <c r="I2371" s="350">
        <f t="shared" si="675"/>
        <v>0.1381</v>
      </c>
      <c r="J2371" s="350">
        <f t="shared" si="675"/>
        <v>0.1077</v>
      </c>
      <c r="K2371" s="351">
        <f t="shared" si="675"/>
        <v>42.760849</v>
      </c>
      <c r="L2371" s="321"/>
      <c r="M2371" s="399"/>
    </row>
    <row r="2372" spans="2:23">
      <c r="B2372" s="335"/>
      <c r="C2372" s="320"/>
      <c r="D2372" s="299" t="s">
        <v>201</v>
      </c>
      <c r="E2372" s="349">
        <f>E2370-E2371</f>
        <v>2.2999999999999687E-2</v>
      </c>
      <c r="F2372" s="349">
        <f t="shared" ref="F2372:K2372" si="676">F2370-F2371</f>
        <v>0.17600000000000016</v>
      </c>
      <c r="G2372" s="349">
        <f t="shared" si="676"/>
        <v>0.11760500000000018</v>
      </c>
      <c r="H2372" s="349">
        <f t="shared" si="676"/>
        <v>0.24476599999999937</v>
      </c>
      <c r="I2372" s="350">
        <f t="shared" si="676"/>
        <v>5.0000000000000044E-4</v>
      </c>
      <c r="J2372" s="350">
        <f t="shared" si="676"/>
        <v>6.999999999999923E-4</v>
      </c>
      <c r="K2372" s="349">
        <f t="shared" si="676"/>
        <v>1.8723910000000004</v>
      </c>
      <c r="L2372" s="321"/>
      <c r="M2372" s="399"/>
    </row>
    <row r="2373" spans="2:23" ht="17.25" thickBot="1">
      <c r="B2373" s="336"/>
      <c r="C2373" s="323"/>
      <c r="D2373" s="293" t="s">
        <v>202</v>
      </c>
      <c r="E2373" s="352">
        <f>STDEVA(E2338:E2342,E2344:E2348,E2350:E2354,E2356:E2360,E2362:E2366)</f>
        <v>6.7285461530209624E-3</v>
      </c>
      <c r="F2373" s="352">
        <f t="shared" ref="F2373:K2373" si="677">STDEVA(F2338:F2342,F2344:F2348,F2350:F2354,F2356:F2360,F2362:F2366)</f>
        <v>4.0877540695757719E-2</v>
      </c>
      <c r="G2373" s="352">
        <f t="shared" si="677"/>
        <v>2.7321746348101559E-2</v>
      </c>
      <c r="H2373" s="352">
        <f t="shared" si="677"/>
        <v>5.3479024767909333E-2</v>
      </c>
      <c r="I2373" s="353">
        <f t="shared" si="677"/>
        <v>1.3868429375143456E-4</v>
      </c>
      <c r="J2373" s="353">
        <f t="shared" si="677"/>
        <v>1.8092355660148936E-4</v>
      </c>
      <c r="K2373" s="352">
        <f t="shared" si="677"/>
        <v>0.41275500819233774</v>
      </c>
      <c r="L2373" s="324"/>
      <c r="M2373" s="399"/>
    </row>
    <row r="2375" spans="2:23">
      <c r="B2375" s="240" t="s">
        <v>580</v>
      </c>
      <c r="C2375" s="240"/>
      <c r="E2375" s="240"/>
      <c r="F2375" s="240"/>
      <c r="G2375" s="240"/>
      <c r="H2375" s="240"/>
      <c r="I2375" s="240"/>
      <c r="J2375" s="240"/>
      <c r="K2375" s="240"/>
    </row>
    <row r="2376" spans="2:23" ht="17.25" thickBot="1">
      <c r="B2376" s="240" t="s">
        <v>452</v>
      </c>
      <c r="C2376" s="240"/>
      <c r="E2376" s="240"/>
      <c r="F2376" s="240"/>
      <c r="G2376" s="240"/>
      <c r="H2376" s="240"/>
      <c r="I2376" s="240"/>
      <c r="J2376" s="240"/>
      <c r="K2376" s="240"/>
    </row>
    <row r="2377" spans="2:23" ht="17.25" thickBot="1">
      <c r="B2377" s="313" t="s">
        <v>11</v>
      </c>
      <c r="C2377" s="250" t="s">
        <v>0</v>
      </c>
      <c r="D2377" s="250" t="s">
        <v>1</v>
      </c>
      <c r="E2377" s="250" t="s">
        <v>2</v>
      </c>
      <c r="F2377" s="250" t="s">
        <v>3</v>
      </c>
      <c r="G2377" s="250" t="s">
        <v>192</v>
      </c>
      <c r="H2377" s="250" t="s">
        <v>16</v>
      </c>
      <c r="I2377" s="250" t="s">
        <v>6</v>
      </c>
      <c r="J2377" s="251" t="s">
        <v>7</v>
      </c>
      <c r="K2377" s="252" t="s">
        <v>8</v>
      </c>
      <c r="L2377" s="254" t="s">
        <v>439</v>
      </c>
      <c r="M2377" s="404"/>
      <c r="N2377" s="320"/>
      <c r="O2377" s="405" t="s">
        <v>1</v>
      </c>
      <c r="P2377" s="405" t="s">
        <v>2</v>
      </c>
      <c r="Q2377" s="405" t="s">
        <v>3</v>
      </c>
      <c r="R2377" s="405" t="s">
        <v>192</v>
      </c>
      <c r="S2377" s="405" t="s">
        <v>16</v>
      </c>
      <c r="T2377" s="405" t="s">
        <v>6</v>
      </c>
      <c r="U2377" s="406" t="s">
        <v>7</v>
      </c>
      <c r="V2377" s="407" t="s">
        <v>8</v>
      </c>
      <c r="W2377" s="408" t="s">
        <v>261</v>
      </c>
    </row>
    <row r="2378" spans="2:23">
      <c r="B2378" s="314">
        <v>1</v>
      </c>
      <c r="C2378" s="271" t="s">
        <v>389</v>
      </c>
      <c r="D2378" s="291" t="s">
        <v>213</v>
      </c>
      <c r="E2378" s="302">
        <v>4.0350000000000001</v>
      </c>
      <c r="F2378" s="302">
        <v>4.7960000000000003</v>
      </c>
      <c r="G2378" s="302">
        <v>3.7340930000000001</v>
      </c>
      <c r="H2378" s="364">
        <v>5.6753970000000002</v>
      </c>
      <c r="I2378" s="287">
        <v>0.13800000000000001</v>
      </c>
      <c r="J2378" s="287">
        <v>0.1062</v>
      </c>
      <c r="K2378" s="286">
        <v>45.160074999999999</v>
      </c>
      <c r="L2378" s="275"/>
      <c r="M2378" s="397"/>
      <c r="N2378" s="409" t="s">
        <v>388</v>
      </c>
      <c r="O2378" s="299" t="s">
        <v>227</v>
      </c>
      <c r="P2378" s="304">
        <v>4.0330000000000004</v>
      </c>
      <c r="Q2378" s="304">
        <v>4.819</v>
      </c>
      <c r="R2378" s="304">
        <v>3.7538610000000001</v>
      </c>
      <c r="S2378" s="304">
        <v>5.68133</v>
      </c>
      <c r="T2378" s="301">
        <v>0.13780000000000001</v>
      </c>
      <c r="U2378" s="301">
        <v>0.10680000000000001</v>
      </c>
      <c r="V2378" s="300">
        <v>45.121723000000003</v>
      </c>
      <c r="W2378" s="300">
        <v>13.6</v>
      </c>
    </row>
    <row r="2379" spans="2:23">
      <c r="B2379" s="315">
        <v>2</v>
      </c>
      <c r="C2379" s="316"/>
      <c r="D2379" s="299" t="s">
        <v>214</v>
      </c>
      <c r="E2379" s="304">
        <v>4.0359999999999996</v>
      </c>
      <c r="F2379" s="304">
        <v>4.8120000000000003</v>
      </c>
      <c r="G2379" s="304">
        <v>3.745622</v>
      </c>
      <c r="H2379" s="370">
        <v>5.6888690000000004</v>
      </c>
      <c r="I2379" s="301">
        <v>0.13800000000000001</v>
      </c>
      <c r="J2379" s="301">
        <v>0.10639999999999999</v>
      </c>
      <c r="K2379" s="300">
        <v>45.225563999999999</v>
      </c>
      <c r="L2379" s="319"/>
      <c r="M2379" s="398"/>
      <c r="N2379" s="410" t="s">
        <v>582</v>
      </c>
      <c r="O2379" s="299" t="s">
        <v>248</v>
      </c>
      <c r="P2379" s="304">
        <v>4.04</v>
      </c>
      <c r="Q2379" s="304">
        <v>4.87</v>
      </c>
      <c r="R2379" s="304">
        <v>3.7870159999999999</v>
      </c>
      <c r="S2379" s="304">
        <v>5.745565</v>
      </c>
      <c r="T2379" s="301">
        <v>0.13769999999999999</v>
      </c>
      <c r="U2379" s="301">
        <v>0.10680000000000001</v>
      </c>
      <c r="V2379" s="300">
        <v>45.599251000000002</v>
      </c>
      <c r="W2379" s="300">
        <v>13.4</v>
      </c>
    </row>
    <row r="2380" spans="2:23">
      <c r="B2380" s="315">
        <v>3</v>
      </c>
      <c r="C2380" s="320"/>
      <c r="D2380" s="299" t="s">
        <v>217</v>
      </c>
      <c r="E2380" s="304">
        <v>4.0339999999999998</v>
      </c>
      <c r="F2380" s="304">
        <v>4.8040000000000003</v>
      </c>
      <c r="G2380" s="304">
        <v>3.7412489999999998</v>
      </c>
      <c r="H2380" s="370">
        <v>5.683821</v>
      </c>
      <c r="I2380" s="301">
        <v>0.13780000000000001</v>
      </c>
      <c r="J2380" s="301">
        <v>0.10639999999999999</v>
      </c>
      <c r="K2380" s="300">
        <v>45.150376000000001</v>
      </c>
      <c r="L2380" s="356"/>
      <c r="M2380" s="400"/>
      <c r="N2380" s="410"/>
      <c r="O2380" s="299"/>
      <c r="P2380" s="304"/>
      <c r="Q2380" s="300"/>
      <c r="R2380" s="300"/>
      <c r="S2380" s="300"/>
      <c r="T2380" s="301"/>
      <c r="U2380" s="301"/>
      <c r="V2380" s="300"/>
      <c r="W2380" s="300"/>
    </row>
    <row r="2381" spans="2:23">
      <c r="B2381" s="315">
        <v>4</v>
      </c>
      <c r="C2381" s="320"/>
      <c r="D2381" s="299" t="s">
        <v>218</v>
      </c>
      <c r="E2381" s="304">
        <v>4.0330000000000004</v>
      </c>
      <c r="F2381" s="304">
        <v>4.8250000000000002</v>
      </c>
      <c r="G2381" s="304">
        <v>3.7585350000000002</v>
      </c>
      <c r="H2381" s="370">
        <v>5.7045579999999996</v>
      </c>
      <c r="I2381" s="301">
        <v>0.13769999999999999</v>
      </c>
      <c r="J2381" s="301">
        <v>0.1065</v>
      </c>
      <c r="K2381" s="300">
        <v>45.305163999999998</v>
      </c>
      <c r="L2381" s="356"/>
      <c r="M2381" s="400"/>
      <c r="N2381" s="410"/>
      <c r="O2381" s="299"/>
      <c r="P2381" s="304"/>
      <c r="Q2381" s="300"/>
      <c r="R2381" s="300"/>
      <c r="S2381" s="300"/>
      <c r="T2381" s="301"/>
      <c r="U2381" s="301"/>
      <c r="V2381" s="300"/>
      <c r="W2381" s="300"/>
    </row>
    <row r="2382" spans="2:23" ht="17.25" thickBot="1">
      <c r="B2382" s="322">
        <v>5</v>
      </c>
      <c r="C2382" s="323"/>
      <c r="D2382" s="293" t="s">
        <v>240</v>
      </c>
      <c r="E2382" s="371">
        <v>4.03</v>
      </c>
      <c r="F2382" s="371">
        <v>4.843</v>
      </c>
      <c r="G2382" s="371">
        <v>3.7753649999999999</v>
      </c>
      <c r="H2382" s="372">
        <v>5.7330620000000003</v>
      </c>
      <c r="I2382" s="289">
        <v>0.13780000000000001</v>
      </c>
      <c r="J2382" s="289">
        <v>0.10630000000000001</v>
      </c>
      <c r="K2382" s="288">
        <v>45.559736999999998</v>
      </c>
      <c r="L2382" s="324"/>
      <c r="M2382" s="399"/>
      <c r="N2382" s="410"/>
      <c r="O2382" s="299"/>
      <c r="P2382" s="304"/>
      <c r="Q2382" s="304"/>
      <c r="R2382" s="300"/>
      <c r="S2382" s="304"/>
      <c r="T2382" s="301"/>
      <c r="U2382" s="301"/>
      <c r="V2382" s="300"/>
      <c r="W2382" s="300"/>
    </row>
    <row r="2383" spans="2:23" ht="17.25" thickBot="1">
      <c r="B2383" s="325"/>
      <c r="C2383" s="326"/>
      <c r="D2383" s="327" t="s">
        <v>463</v>
      </c>
      <c r="E2383" s="328">
        <f>AVERAGE(E2378:E2382)</f>
        <v>4.0336000000000007</v>
      </c>
      <c r="F2383" s="328">
        <f t="shared" ref="F2383:K2383" si="678">AVERAGE(F2378:F2382)</f>
        <v>4.8160000000000007</v>
      </c>
      <c r="G2383" s="328">
        <f t="shared" si="678"/>
        <v>3.7509728000000004</v>
      </c>
      <c r="H2383" s="373">
        <f t="shared" si="678"/>
        <v>5.6971414000000005</v>
      </c>
      <c r="I2383" s="329">
        <f t="shared" si="678"/>
        <v>0.13786000000000004</v>
      </c>
      <c r="J2383" s="329">
        <f t="shared" si="678"/>
        <v>0.10636000000000001</v>
      </c>
      <c r="K2383" s="330">
        <f t="shared" si="678"/>
        <v>45.280183199999996</v>
      </c>
      <c r="L2383" s="331"/>
      <c r="M2383" s="399"/>
      <c r="P2383" s="411"/>
      <c r="Q2383" s="411"/>
      <c r="R2383" s="411"/>
      <c r="S2383" s="411"/>
      <c r="T2383" s="411"/>
      <c r="U2383" s="411"/>
      <c r="V2383" s="411"/>
    </row>
    <row r="2384" spans="2:23">
      <c r="B2384" s="314">
        <v>6</v>
      </c>
      <c r="C2384" s="271" t="s">
        <v>581</v>
      </c>
      <c r="D2384" s="291" t="s">
        <v>241</v>
      </c>
      <c r="E2384" s="302">
        <v>4.0439999999999996</v>
      </c>
      <c r="F2384" s="302">
        <v>4.8780000000000001</v>
      </c>
      <c r="G2384" s="302">
        <v>3.789485</v>
      </c>
      <c r="H2384" s="364">
        <v>5.7633929999999998</v>
      </c>
      <c r="I2384" s="287">
        <v>0.13780000000000001</v>
      </c>
      <c r="J2384" s="287">
        <v>0.1066</v>
      </c>
      <c r="K2384" s="286">
        <v>45.75985</v>
      </c>
      <c r="L2384" s="332"/>
      <c r="M2384" s="399"/>
      <c r="P2384" s="412">
        <f>P2379/P2378</f>
        <v>1.001735680634763</v>
      </c>
      <c r="Q2384" s="412">
        <f t="shared" ref="Q2384:S2384" si="679">Q2379/Q2378</f>
        <v>1.0105831085287404</v>
      </c>
      <c r="R2384" s="412">
        <f t="shared" si="679"/>
        <v>1.0088322396593801</v>
      </c>
      <c r="S2384" s="412">
        <f t="shared" si="679"/>
        <v>1.0113063314399973</v>
      </c>
      <c r="T2384" s="412"/>
      <c r="U2384" s="412"/>
      <c r="V2384" s="412">
        <f t="shared" ref="V2384" si="680">V2379/V2378</f>
        <v>1.0105831065006095</v>
      </c>
      <c r="W2384" s="412">
        <f>W2379/W2378</f>
        <v>0.98529411764705888</v>
      </c>
    </row>
    <row r="2385" spans="2:23">
      <c r="B2385" s="315">
        <v>7</v>
      </c>
      <c r="C2385" s="320"/>
      <c r="D2385" s="299" t="s">
        <v>242</v>
      </c>
      <c r="E2385" s="304">
        <v>4.0469999999999997</v>
      </c>
      <c r="F2385" s="304">
        <v>4.8949999999999996</v>
      </c>
      <c r="G2385" s="304">
        <v>3.7998720000000001</v>
      </c>
      <c r="H2385" s="370">
        <v>5.7788250000000003</v>
      </c>
      <c r="I2385" s="301">
        <v>0.13769999999999999</v>
      </c>
      <c r="J2385" s="301">
        <v>0.10680000000000001</v>
      </c>
      <c r="K2385" s="300">
        <v>45.833333000000003</v>
      </c>
      <c r="L2385" s="321"/>
      <c r="M2385" s="399"/>
      <c r="P2385" s="411">
        <f>P2380/P2378</f>
        <v>0</v>
      </c>
      <c r="Q2385" s="411">
        <f t="shared" ref="Q2385:S2385" si="681">Q2380/Q2378</f>
        <v>0</v>
      </c>
      <c r="R2385" s="411">
        <f t="shared" si="681"/>
        <v>0</v>
      </c>
      <c r="S2385" s="411">
        <f t="shared" si="681"/>
        <v>0</v>
      </c>
      <c r="T2385" s="411"/>
      <c r="U2385" s="411"/>
      <c r="V2385" s="411">
        <f t="shared" ref="V2385" si="682">V2380/V2378</f>
        <v>0</v>
      </c>
      <c r="W2385" s="411" t="e">
        <f>W2379/W2381</f>
        <v>#DIV/0!</v>
      </c>
    </row>
    <row r="2386" spans="2:23">
      <c r="B2386" s="315">
        <v>8</v>
      </c>
      <c r="C2386" s="320"/>
      <c r="D2386" s="299" t="s">
        <v>222</v>
      </c>
      <c r="E2386" s="304">
        <v>4.0460000000000003</v>
      </c>
      <c r="F2386" s="304">
        <v>4.9080000000000004</v>
      </c>
      <c r="G2386" s="304">
        <v>3.8109060000000001</v>
      </c>
      <c r="H2386" s="370">
        <v>5.7994009999999996</v>
      </c>
      <c r="I2386" s="301">
        <v>0.13769999999999999</v>
      </c>
      <c r="J2386" s="301">
        <v>0.107</v>
      </c>
      <c r="K2386" s="300">
        <v>45.869159000000003</v>
      </c>
      <c r="L2386" s="321"/>
      <c r="M2386" s="399"/>
      <c r="P2386" s="411">
        <f>P2381/P2378</f>
        <v>0</v>
      </c>
      <c r="Q2386" s="411">
        <f t="shared" ref="Q2386:S2386" si="683">Q2381/Q2378</f>
        <v>0</v>
      </c>
      <c r="R2386" s="411">
        <f t="shared" si="683"/>
        <v>0</v>
      </c>
      <c r="S2386" s="411">
        <f t="shared" si="683"/>
        <v>0</v>
      </c>
      <c r="T2386" s="411"/>
      <c r="U2386" s="411"/>
      <c r="V2386" s="411">
        <f t="shared" ref="V2386" si="684">V2381/V2378</f>
        <v>0</v>
      </c>
      <c r="W2386" s="411" t="e">
        <f>W2380/W2381</f>
        <v>#DIV/0!</v>
      </c>
    </row>
    <row r="2387" spans="2:23">
      <c r="B2387" s="315">
        <v>9</v>
      </c>
      <c r="C2387" s="320"/>
      <c r="D2387" s="299" t="s">
        <v>223</v>
      </c>
      <c r="E2387" s="304">
        <v>4.0430000000000001</v>
      </c>
      <c r="F2387" s="304">
        <v>4.9089999999999998</v>
      </c>
      <c r="G2387" s="304">
        <v>3.8145099999999998</v>
      </c>
      <c r="H2387" s="370">
        <v>5.7938239999999999</v>
      </c>
      <c r="I2387" s="301">
        <v>0.13750000000000001</v>
      </c>
      <c r="J2387" s="301">
        <v>0.1069</v>
      </c>
      <c r="K2387" s="300">
        <v>45.921422</v>
      </c>
      <c r="L2387" s="321"/>
      <c r="M2387" s="399"/>
      <c r="P2387" s="411">
        <f>P2382/P2378</f>
        <v>0</v>
      </c>
      <c r="Q2387" s="411">
        <f t="shared" ref="Q2387:S2387" si="685">Q2382/Q2378</f>
        <v>0</v>
      </c>
      <c r="R2387" s="411">
        <f t="shared" si="685"/>
        <v>0</v>
      </c>
      <c r="S2387" s="411">
        <f t="shared" si="685"/>
        <v>0</v>
      </c>
      <c r="T2387" s="411"/>
      <c r="U2387" s="411"/>
      <c r="V2387" s="411">
        <f t="shared" ref="V2387" si="686">V2382/V2378</f>
        <v>0</v>
      </c>
      <c r="W2387" s="411" t="e">
        <f>W2382/W2381</f>
        <v>#DIV/0!</v>
      </c>
    </row>
    <row r="2388" spans="2:23" ht="17.25" thickBot="1">
      <c r="B2388" s="322">
        <v>10</v>
      </c>
      <c r="C2388" s="323"/>
      <c r="D2388" s="293" t="s">
        <v>243</v>
      </c>
      <c r="E2388" s="371">
        <v>4.0359999999999996</v>
      </c>
      <c r="F2388" s="371">
        <v>4.8840000000000003</v>
      </c>
      <c r="G2388" s="371">
        <v>3.801666</v>
      </c>
      <c r="H2388" s="372">
        <v>5.780151</v>
      </c>
      <c r="I2388" s="289">
        <v>0.13739999999999999</v>
      </c>
      <c r="J2388" s="289">
        <v>0.1067</v>
      </c>
      <c r="K2388" s="288">
        <v>45.773195999999999</v>
      </c>
      <c r="L2388" s="324"/>
      <c r="M2388" s="399"/>
    </row>
    <row r="2389" spans="2:23" ht="17.25" thickBot="1">
      <c r="B2389" s="325" t="s">
        <v>455</v>
      </c>
      <c r="C2389" s="326"/>
      <c r="D2389" s="327" t="s">
        <v>463</v>
      </c>
      <c r="E2389" s="328">
        <f t="shared" ref="E2389:K2389" si="687">AVERAGE(E2384:E2388)</f>
        <v>4.0432000000000006</v>
      </c>
      <c r="F2389" s="328">
        <f t="shared" si="687"/>
        <v>4.8948</v>
      </c>
      <c r="G2389" s="328">
        <f t="shared" si="687"/>
        <v>3.8032877999999997</v>
      </c>
      <c r="H2389" s="373">
        <f t="shared" si="687"/>
        <v>5.7831188000000004</v>
      </c>
      <c r="I2389" s="329">
        <f t="shared" si="687"/>
        <v>0.13761999999999999</v>
      </c>
      <c r="J2389" s="329">
        <f t="shared" si="687"/>
        <v>0.10680000000000001</v>
      </c>
      <c r="K2389" s="330">
        <f t="shared" si="687"/>
        <v>45.831392000000008</v>
      </c>
      <c r="L2389" s="331"/>
      <c r="M2389" s="399"/>
      <c r="T2389" s="413">
        <f>T2379/T2378</f>
        <v>0.99927431059506522</v>
      </c>
      <c r="U2389" s="240">
        <f>U2379/U2378</f>
        <v>1</v>
      </c>
    </row>
    <row r="2390" spans="2:23">
      <c r="B2390" s="333">
        <v>11</v>
      </c>
      <c r="C2390" s="271" t="s">
        <v>389</v>
      </c>
      <c r="D2390" s="291" t="s">
        <v>244</v>
      </c>
      <c r="E2390" s="302">
        <v>4.032</v>
      </c>
      <c r="F2390" s="302">
        <v>4.7969999999999997</v>
      </c>
      <c r="G2390" s="302">
        <v>3.7376510000000001</v>
      </c>
      <c r="H2390" s="302">
        <v>5.6564360000000002</v>
      </c>
      <c r="I2390" s="287">
        <v>0.13789999999999999</v>
      </c>
      <c r="J2390" s="287">
        <v>0.1065</v>
      </c>
      <c r="K2390" s="286">
        <v>45.042254</v>
      </c>
      <c r="L2390" s="332"/>
      <c r="M2390" s="399"/>
    </row>
    <row r="2391" spans="2:23">
      <c r="B2391" s="335">
        <v>12</v>
      </c>
      <c r="C2391" s="316"/>
      <c r="D2391" s="299" t="s">
        <v>245</v>
      </c>
      <c r="E2391" s="304">
        <v>4.0339999999999998</v>
      </c>
      <c r="F2391" s="304">
        <v>4.8230000000000004</v>
      </c>
      <c r="G2391" s="304">
        <v>3.756046</v>
      </c>
      <c r="H2391" s="304">
        <v>5.6880230000000003</v>
      </c>
      <c r="I2391" s="301">
        <v>0.13800000000000001</v>
      </c>
      <c r="J2391" s="301">
        <v>0.10680000000000001</v>
      </c>
      <c r="K2391" s="300">
        <v>45.159176000000002</v>
      </c>
      <c r="L2391" s="321"/>
      <c r="M2391" s="399"/>
    </row>
    <row r="2392" spans="2:23">
      <c r="B2392" s="335">
        <v>13</v>
      </c>
      <c r="C2392" s="320"/>
      <c r="D2392" s="299" t="s">
        <v>227</v>
      </c>
      <c r="E2392" s="304">
        <v>4.0330000000000004</v>
      </c>
      <c r="F2392" s="304">
        <v>4.819</v>
      </c>
      <c r="G2392" s="304">
        <v>3.7538610000000001</v>
      </c>
      <c r="H2392" s="304">
        <v>5.68133</v>
      </c>
      <c r="I2392" s="301">
        <v>0.13780000000000001</v>
      </c>
      <c r="J2392" s="301">
        <v>0.10680000000000001</v>
      </c>
      <c r="K2392" s="300">
        <v>45.121723000000003</v>
      </c>
      <c r="L2392" s="321"/>
      <c r="M2392" s="399"/>
    </row>
    <row r="2393" spans="2:23">
      <c r="B2393" s="335">
        <v>14</v>
      </c>
      <c r="C2393" s="320"/>
      <c r="D2393" s="299" t="s">
        <v>228</v>
      </c>
      <c r="E2393" s="304">
        <v>4.0270000000000001</v>
      </c>
      <c r="F2393" s="304">
        <v>4.8090000000000002</v>
      </c>
      <c r="G2393" s="304">
        <v>3.7516530000000001</v>
      </c>
      <c r="H2393" s="304">
        <v>5.674105</v>
      </c>
      <c r="I2393" s="301">
        <v>0.13769999999999999</v>
      </c>
      <c r="J2393" s="301">
        <v>0.10680000000000001</v>
      </c>
      <c r="K2393" s="300">
        <v>45.028089999999999</v>
      </c>
      <c r="L2393" s="321"/>
      <c r="M2393" s="399"/>
    </row>
    <row r="2394" spans="2:23" ht="17.25" thickBot="1">
      <c r="B2394" s="336">
        <v>15</v>
      </c>
      <c r="C2394" s="323"/>
      <c r="D2394" s="293" t="s">
        <v>246</v>
      </c>
      <c r="E2394" s="371">
        <v>4.0270000000000001</v>
      </c>
      <c r="F2394" s="371">
        <v>4.835</v>
      </c>
      <c r="G2394" s="371">
        <v>3.7719360000000002</v>
      </c>
      <c r="H2394" s="371">
        <v>5.7148459999999996</v>
      </c>
      <c r="I2394" s="289">
        <v>0.13769999999999999</v>
      </c>
      <c r="J2394" s="289">
        <v>0.1066</v>
      </c>
      <c r="K2394" s="288">
        <v>45.356473000000001</v>
      </c>
      <c r="L2394" s="324"/>
      <c r="M2394" s="399"/>
    </row>
    <row r="2395" spans="2:23" ht="17.25" thickBot="1">
      <c r="B2395" s="337"/>
      <c r="C2395" s="326"/>
      <c r="D2395" s="327" t="s">
        <v>463</v>
      </c>
      <c r="E2395" s="328">
        <f>AVERAGE(E2390:E2394)</f>
        <v>4.0306000000000006</v>
      </c>
      <c r="F2395" s="328">
        <f t="shared" ref="F2395:K2395" si="688">AVERAGE(F2390:F2394)</f>
        <v>4.8166000000000002</v>
      </c>
      <c r="G2395" s="328">
        <f t="shared" si="688"/>
        <v>3.7542293999999998</v>
      </c>
      <c r="H2395" s="328">
        <f t="shared" si="688"/>
        <v>5.6829480000000006</v>
      </c>
      <c r="I2395" s="329">
        <f t="shared" si="688"/>
        <v>0.13782</v>
      </c>
      <c r="J2395" s="329">
        <f t="shared" si="688"/>
        <v>0.10669999999999999</v>
      </c>
      <c r="K2395" s="330">
        <f t="shared" si="688"/>
        <v>45.141543199999994</v>
      </c>
      <c r="L2395" s="331"/>
      <c r="M2395" s="399"/>
    </row>
    <row r="2396" spans="2:23">
      <c r="B2396" s="333">
        <v>16</v>
      </c>
      <c r="C2396" s="271" t="s">
        <v>582</v>
      </c>
      <c r="D2396" s="291" t="s">
        <v>247</v>
      </c>
      <c r="E2396" s="302">
        <v>4.0369999999999999</v>
      </c>
      <c r="F2396" s="302">
        <v>4.8499999999999996</v>
      </c>
      <c r="G2396" s="302">
        <v>3.7742659999999999</v>
      </c>
      <c r="H2396" s="302">
        <v>5.7424169999999997</v>
      </c>
      <c r="I2396" s="287">
        <v>0.13769999999999999</v>
      </c>
      <c r="J2396" s="287">
        <v>0.1065</v>
      </c>
      <c r="K2396" s="286">
        <v>45.539906000000002</v>
      </c>
      <c r="L2396" s="359"/>
      <c r="M2396" s="401"/>
    </row>
    <row r="2397" spans="2:23">
      <c r="B2397" s="335">
        <v>17</v>
      </c>
      <c r="C2397" s="320"/>
      <c r="D2397" s="299" t="s">
        <v>248</v>
      </c>
      <c r="E2397" s="304">
        <v>4.04</v>
      </c>
      <c r="F2397" s="304">
        <v>4.87</v>
      </c>
      <c r="G2397" s="304">
        <v>3.7870159999999999</v>
      </c>
      <c r="H2397" s="304">
        <v>5.745565</v>
      </c>
      <c r="I2397" s="301">
        <v>0.13769999999999999</v>
      </c>
      <c r="J2397" s="301">
        <v>0.10680000000000001</v>
      </c>
      <c r="K2397" s="300">
        <v>45.599251000000002</v>
      </c>
      <c r="L2397" s="321"/>
      <c r="M2397" s="399"/>
    </row>
    <row r="2398" spans="2:23">
      <c r="B2398" s="335">
        <v>18</v>
      </c>
      <c r="C2398" s="320"/>
      <c r="D2398" s="299" t="s">
        <v>232</v>
      </c>
      <c r="E2398" s="304">
        <v>4.0380000000000003</v>
      </c>
      <c r="F2398" s="304">
        <v>4.875</v>
      </c>
      <c r="G2398" s="304">
        <v>3.7927810000000002</v>
      </c>
      <c r="H2398" s="304">
        <v>5.7476659999999997</v>
      </c>
      <c r="I2398" s="301">
        <v>0.1376</v>
      </c>
      <c r="J2398" s="301">
        <v>0.1069</v>
      </c>
      <c r="K2398" s="300">
        <v>45.603368000000003</v>
      </c>
      <c r="L2398" s="321"/>
      <c r="M2398" s="399"/>
    </row>
    <row r="2399" spans="2:23">
      <c r="B2399" s="335">
        <v>19</v>
      </c>
      <c r="C2399" s="320"/>
      <c r="D2399" s="299" t="s">
        <v>233</v>
      </c>
      <c r="E2399" s="304">
        <v>4.0359999999999996</v>
      </c>
      <c r="F2399" s="304">
        <v>4.8680000000000003</v>
      </c>
      <c r="G2399" s="304">
        <v>3.789212</v>
      </c>
      <c r="H2399" s="304">
        <v>5.7439429999999998</v>
      </c>
      <c r="I2399" s="301">
        <v>0.13750000000000001</v>
      </c>
      <c r="J2399" s="301">
        <v>0.1069</v>
      </c>
      <c r="K2399" s="300">
        <v>45.537886</v>
      </c>
      <c r="L2399" s="321"/>
      <c r="M2399" s="399"/>
    </row>
    <row r="2400" spans="2:23" ht="17.25" thickBot="1">
      <c r="B2400" s="336">
        <v>20</v>
      </c>
      <c r="C2400" s="323"/>
      <c r="D2400" s="293" t="s">
        <v>249</v>
      </c>
      <c r="E2400" s="371">
        <v>4.03</v>
      </c>
      <c r="F2400" s="371">
        <v>4.8630000000000004</v>
      </c>
      <c r="G2400" s="371">
        <v>3.790956</v>
      </c>
      <c r="H2400" s="371">
        <v>5.7485759999999999</v>
      </c>
      <c r="I2400" s="289">
        <v>0.13750000000000001</v>
      </c>
      <c r="J2400" s="289">
        <v>0.1067</v>
      </c>
      <c r="K2400" s="288">
        <v>45.576382000000002</v>
      </c>
      <c r="L2400" s="324"/>
      <c r="M2400" s="399"/>
    </row>
    <row r="2401" spans="2:13" ht="17.25" thickBot="1">
      <c r="B2401" s="337"/>
      <c r="C2401" s="326"/>
      <c r="D2401" s="327" t="s">
        <v>463</v>
      </c>
      <c r="E2401" s="328">
        <f>AVERAGE(E2396:E2400)</f>
        <v>4.0362</v>
      </c>
      <c r="F2401" s="328">
        <f t="shared" ref="F2401:K2401" si="689">AVERAGE(F2396:F2400)</f>
        <v>4.8651999999999997</v>
      </c>
      <c r="G2401" s="328">
        <f t="shared" si="689"/>
        <v>3.7868462000000003</v>
      </c>
      <c r="H2401" s="328">
        <f t="shared" si="689"/>
        <v>5.7456334</v>
      </c>
      <c r="I2401" s="329">
        <f t="shared" si="689"/>
        <v>0.1376</v>
      </c>
      <c r="J2401" s="329">
        <f t="shared" si="689"/>
        <v>0.10675999999999999</v>
      </c>
      <c r="K2401" s="328">
        <f t="shared" si="689"/>
        <v>45.571358600000003</v>
      </c>
      <c r="L2401" s="331"/>
      <c r="M2401" s="399"/>
    </row>
    <row r="2402" spans="2:13">
      <c r="B2402" s="333">
        <v>21</v>
      </c>
      <c r="C2402" s="271" t="s">
        <v>582</v>
      </c>
      <c r="D2402" s="291" t="s">
        <v>250</v>
      </c>
      <c r="E2402" s="302">
        <v>4.0350000000000001</v>
      </c>
      <c r="F2402" s="302">
        <v>4.7949999999999999</v>
      </c>
      <c r="G2402" s="302">
        <v>3.7333150000000002</v>
      </c>
      <c r="H2402" s="302">
        <v>5.669314</v>
      </c>
      <c r="I2402" s="287">
        <v>0.13789999999999999</v>
      </c>
      <c r="J2402" s="287">
        <v>0.10630000000000001</v>
      </c>
      <c r="K2402" s="286">
        <v>45.108184000000001</v>
      </c>
      <c r="L2402" s="332"/>
      <c r="M2402" s="399"/>
    </row>
    <row r="2403" spans="2:13">
      <c r="B2403" s="335">
        <v>22</v>
      </c>
      <c r="C2403" s="320"/>
      <c r="D2403" s="299" t="s">
        <v>251</v>
      </c>
      <c r="E2403" s="304">
        <v>4.0369999999999999</v>
      </c>
      <c r="F2403" s="304">
        <v>4.8620000000000001</v>
      </c>
      <c r="G2403" s="304">
        <v>3.783604</v>
      </c>
      <c r="H2403" s="304">
        <v>5.7421990000000003</v>
      </c>
      <c r="I2403" s="301">
        <v>0.13780000000000001</v>
      </c>
      <c r="J2403" s="301">
        <v>0.1066</v>
      </c>
      <c r="K2403" s="300">
        <v>45.609755999999997</v>
      </c>
      <c r="L2403" s="321"/>
      <c r="M2403" s="399"/>
    </row>
    <row r="2404" spans="2:13">
      <c r="B2404" s="335">
        <v>23</v>
      </c>
      <c r="C2404" s="320"/>
      <c r="D2404" s="299" t="s">
        <v>237</v>
      </c>
      <c r="E2404" s="304">
        <v>4.0369999999999999</v>
      </c>
      <c r="F2404" s="304">
        <v>4.8650000000000002</v>
      </c>
      <c r="G2404" s="304">
        <v>3.7859389999999999</v>
      </c>
      <c r="H2404" s="304">
        <v>5.7563430000000002</v>
      </c>
      <c r="I2404" s="301">
        <v>0.13769999999999999</v>
      </c>
      <c r="J2404" s="301">
        <v>0.1066</v>
      </c>
      <c r="K2404" s="300">
        <v>45.637898999999997</v>
      </c>
      <c r="L2404" s="321"/>
      <c r="M2404" s="399"/>
    </row>
    <row r="2405" spans="2:13">
      <c r="B2405" s="335">
        <v>24</v>
      </c>
      <c r="C2405" s="320"/>
      <c r="D2405" s="299" t="s">
        <v>238</v>
      </c>
      <c r="E2405" s="304">
        <v>4.0350000000000001</v>
      </c>
      <c r="F2405" s="304">
        <v>4.8719999999999999</v>
      </c>
      <c r="G2405" s="304">
        <v>3.793266</v>
      </c>
      <c r="H2405" s="304">
        <v>5.7604980000000001</v>
      </c>
      <c r="I2405" s="301">
        <v>0.1376</v>
      </c>
      <c r="J2405" s="301">
        <v>0.1066</v>
      </c>
      <c r="K2405" s="300">
        <v>45.703564999999998</v>
      </c>
      <c r="L2405" s="321"/>
      <c r="M2405" s="399"/>
    </row>
    <row r="2406" spans="2:13" ht="17.25" thickBot="1">
      <c r="B2406" s="336">
        <v>25</v>
      </c>
      <c r="C2406" s="323"/>
      <c r="D2406" s="293" t="s">
        <v>252</v>
      </c>
      <c r="E2406" s="371">
        <v>4.03</v>
      </c>
      <c r="F2406" s="371">
        <v>4.8689999999999998</v>
      </c>
      <c r="G2406" s="371">
        <v>3.795633</v>
      </c>
      <c r="H2406" s="371">
        <v>5.7615150000000002</v>
      </c>
      <c r="I2406" s="289">
        <v>0.13750000000000001</v>
      </c>
      <c r="J2406" s="289">
        <v>0.10639999999999999</v>
      </c>
      <c r="K2406" s="288">
        <v>45.761277999999997</v>
      </c>
      <c r="L2406" s="324"/>
      <c r="M2406" s="399"/>
    </row>
    <row r="2407" spans="2:13" ht="17.25" thickBot="1">
      <c r="B2407" s="339" t="s">
        <v>455</v>
      </c>
      <c r="C2407" s="340"/>
      <c r="D2407" s="341" t="s">
        <v>465</v>
      </c>
      <c r="E2407" s="342">
        <f>AVERAGE(E2402:E2406)</f>
        <v>4.0347999999999997</v>
      </c>
      <c r="F2407" s="342">
        <f t="shared" ref="F2407:K2407" si="690">AVERAGE(F2402:F2406)</f>
        <v>4.8525999999999998</v>
      </c>
      <c r="G2407" s="342">
        <f t="shared" si="690"/>
        <v>3.7783513999999996</v>
      </c>
      <c r="H2407" s="342">
        <f t="shared" si="690"/>
        <v>5.7379737999999998</v>
      </c>
      <c r="I2407" s="343">
        <f t="shared" si="690"/>
        <v>0.13769999999999999</v>
      </c>
      <c r="J2407" s="343">
        <f t="shared" si="690"/>
        <v>0.1065</v>
      </c>
      <c r="K2407" s="342">
        <f t="shared" si="690"/>
        <v>45.564136400000002</v>
      </c>
      <c r="L2407" s="344"/>
      <c r="M2407" s="399"/>
    </row>
    <row r="2408" spans="2:13">
      <c r="B2408" s="333"/>
      <c r="C2408" s="345"/>
      <c r="D2408" s="291" t="s">
        <v>458</v>
      </c>
      <c r="E2408" s="346">
        <f>MEDIAN(E2378:E2382,E2384:E2388,E2390:E2394,E2396:E2400,E2402:E2406)</f>
        <v>4.0350000000000001</v>
      </c>
      <c r="F2408" s="346">
        <f t="shared" ref="F2408:K2408" si="691">MEDIAN(F2378:F2382,F2384:F2388,F2390:F2394,F2396:F2400,F2402:F2406)</f>
        <v>4.8620000000000001</v>
      </c>
      <c r="G2408" s="346">
        <f t="shared" si="691"/>
        <v>3.783604</v>
      </c>
      <c r="H2408" s="346">
        <f t="shared" si="691"/>
        <v>5.7424169999999997</v>
      </c>
      <c r="I2408" s="347">
        <f t="shared" si="691"/>
        <v>0.13769999999999999</v>
      </c>
      <c r="J2408" s="347">
        <f t="shared" si="691"/>
        <v>0.1066</v>
      </c>
      <c r="K2408" s="348">
        <f t="shared" si="691"/>
        <v>45.559736999999998</v>
      </c>
      <c r="L2408" s="332"/>
      <c r="M2408" s="399"/>
    </row>
    <row r="2409" spans="2:13">
      <c r="B2409" s="335"/>
      <c r="C2409" s="320"/>
      <c r="D2409" s="299" t="s">
        <v>457</v>
      </c>
      <c r="E2409" s="349">
        <f>AVERAGE(E2378:E2382,E2384:E2388,E2390:E2394,E2396:E2400,E2402:E2406)</f>
        <v>4.035680000000001</v>
      </c>
      <c r="F2409" s="349">
        <f t="shared" ref="F2409:K2409" si="692">AVERAGE(F2378:F2382,F2384:F2388,F2390:F2394,F2396:F2400,F2402:F2406)</f>
        <v>4.8490399999999996</v>
      </c>
      <c r="G2409" s="349">
        <f t="shared" si="692"/>
        <v>3.7747375199999995</v>
      </c>
      <c r="H2409" s="349">
        <f t="shared" si="692"/>
        <v>5.7293630800000006</v>
      </c>
      <c r="I2409" s="350">
        <f t="shared" si="692"/>
        <v>0.13772000000000001</v>
      </c>
      <c r="J2409" s="350">
        <f t="shared" si="692"/>
        <v>0.10662399999999998</v>
      </c>
      <c r="K2409" s="351">
        <f t="shared" si="692"/>
        <v>45.477722679999999</v>
      </c>
      <c r="L2409" s="321"/>
      <c r="M2409" s="399"/>
    </row>
    <row r="2410" spans="2:13">
      <c r="B2410" s="335"/>
      <c r="C2410" s="320"/>
      <c r="D2410" s="299" t="s">
        <v>199</v>
      </c>
      <c r="E2410" s="349">
        <f>MAX(E2378:E2382,E2384:E2388,E2390:E2394,E2396:E2400,E2402:E2406)</f>
        <v>4.0469999999999997</v>
      </c>
      <c r="F2410" s="349">
        <f t="shared" ref="F2410:K2410" si="693">MAX(F2378:F2382,F2384:F2388,F2390:F2394,F2396:F2400,F2402:F2406)</f>
        <v>4.9089999999999998</v>
      </c>
      <c r="G2410" s="349">
        <f t="shared" si="693"/>
        <v>3.8145099999999998</v>
      </c>
      <c r="H2410" s="349">
        <f t="shared" si="693"/>
        <v>5.7994009999999996</v>
      </c>
      <c r="I2410" s="350">
        <f t="shared" si="693"/>
        <v>0.13800000000000001</v>
      </c>
      <c r="J2410" s="350">
        <f t="shared" si="693"/>
        <v>0.107</v>
      </c>
      <c r="K2410" s="351">
        <f t="shared" si="693"/>
        <v>45.921422</v>
      </c>
      <c r="L2410" s="321"/>
      <c r="M2410" s="399"/>
    </row>
    <row r="2411" spans="2:13">
      <c r="B2411" s="335"/>
      <c r="C2411" s="320"/>
      <c r="D2411" s="299" t="s">
        <v>200</v>
      </c>
      <c r="E2411" s="349">
        <f>MIN(E2378:E2382,E2384:E2388,E2390:E2394,E2396:E2400,E2402:E2406)</f>
        <v>4.0270000000000001</v>
      </c>
      <c r="F2411" s="349">
        <f t="shared" ref="F2411:K2411" si="694">MIN(F2378:F2382,F2384:F2388,F2390:F2394,F2396:F2400,F2402:F2406)</f>
        <v>4.7949999999999999</v>
      </c>
      <c r="G2411" s="349">
        <f t="shared" si="694"/>
        <v>3.7333150000000002</v>
      </c>
      <c r="H2411" s="349">
        <f t="shared" si="694"/>
        <v>5.6564360000000002</v>
      </c>
      <c r="I2411" s="350">
        <f t="shared" si="694"/>
        <v>0.13739999999999999</v>
      </c>
      <c r="J2411" s="350">
        <f t="shared" si="694"/>
        <v>0.1062</v>
      </c>
      <c r="K2411" s="351">
        <f t="shared" si="694"/>
        <v>45.028089999999999</v>
      </c>
      <c r="L2411" s="321"/>
      <c r="M2411" s="399"/>
    </row>
    <row r="2412" spans="2:13">
      <c r="B2412" s="335"/>
      <c r="C2412" s="320"/>
      <c r="D2412" s="299" t="s">
        <v>201</v>
      </c>
      <c r="E2412" s="349">
        <f>E2410-E2411</f>
        <v>1.9999999999999574E-2</v>
      </c>
      <c r="F2412" s="349">
        <f t="shared" ref="F2412:K2412" si="695">F2410-F2411</f>
        <v>0.11399999999999988</v>
      </c>
      <c r="G2412" s="349">
        <f t="shared" si="695"/>
        <v>8.1194999999999684E-2</v>
      </c>
      <c r="H2412" s="349">
        <f t="shared" si="695"/>
        <v>0.14296499999999934</v>
      </c>
      <c r="I2412" s="350">
        <f t="shared" si="695"/>
        <v>6.0000000000001719E-4</v>
      </c>
      <c r="J2412" s="350">
        <f t="shared" si="695"/>
        <v>7.9999999999999516E-4</v>
      </c>
      <c r="K2412" s="349">
        <f t="shared" si="695"/>
        <v>0.8933320000000009</v>
      </c>
      <c r="L2412" s="321"/>
      <c r="M2412" s="399"/>
    </row>
    <row r="2413" spans="2:13" ht="17.25" thickBot="1">
      <c r="B2413" s="336"/>
      <c r="C2413" s="323"/>
      <c r="D2413" s="293" t="s">
        <v>202</v>
      </c>
      <c r="E2413" s="352">
        <f>STDEVA(E2378:E2382,E2384:E2388,E2390:E2394,E2396:E2400,E2402:E2406)</f>
        <v>5.2814139520901407E-3</v>
      </c>
      <c r="F2413" s="352">
        <f t="shared" ref="F2413:K2413" si="696">STDEVA(F2378:F2382,F2384:F2388,F2390:F2394,F2396:F2400,F2402:F2406)</f>
        <v>3.5413603789127862E-2</v>
      </c>
      <c r="G2413" s="352">
        <f t="shared" si="696"/>
        <v>2.4747696436772972E-2</v>
      </c>
      <c r="H2413" s="352">
        <f t="shared" si="696"/>
        <v>4.2303302190766723E-2</v>
      </c>
      <c r="I2413" s="353">
        <f t="shared" si="696"/>
        <v>1.6583123951777095E-4</v>
      </c>
      <c r="J2413" s="353">
        <f t="shared" si="696"/>
        <v>2.1656407827707729E-4</v>
      </c>
      <c r="K2413" s="352">
        <f t="shared" si="696"/>
        <v>0.28468823474149163</v>
      </c>
      <c r="L2413" s="324"/>
      <c r="M2413" s="399"/>
    </row>
    <row r="2416" spans="2:13">
      <c r="B2416" s="240" t="s">
        <v>585</v>
      </c>
      <c r="C2416" s="240"/>
      <c r="E2416" s="240"/>
      <c r="F2416" s="240"/>
      <c r="G2416" s="240"/>
      <c r="H2416" s="240"/>
      <c r="I2416" s="240"/>
      <c r="J2416" s="240"/>
      <c r="K2416" s="240"/>
    </row>
    <row r="2417" spans="2:12" ht="17.25" thickBot="1">
      <c r="B2417" s="240" t="s">
        <v>452</v>
      </c>
      <c r="C2417" s="240"/>
      <c r="E2417" s="240"/>
      <c r="F2417" s="240"/>
      <c r="G2417" s="240"/>
      <c r="H2417" s="240"/>
      <c r="I2417" s="240"/>
      <c r="J2417" s="240"/>
      <c r="K2417" s="240"/>
    </row>
    <row r="2418" spans="2:12" ht="17.25" thickBot="1">
      <c r="B2418" s="313" t="s">
        <v>11</v>
      </c>
      <c r="C2418" s="250" t="s">
        <v>0</v>
      </c>
      <c r="D2418" s="250" t="s">
        <v>1</v>
      </c>
      <c r="E2418" s="250" t="s">
        <v>2</v>
      </c>
      <c r="F2418" s="250" t="s">
        <v>3</v>
      </c>
      <c r="G2418" s="250" t="s">
        <v>192</v>
      </c>
      <c r="H2418" s="250" t="s">
        <v>16</v>
      </c>
      <c r="I2418" s="250" t="s">
        <v>6</v>
      </c>
      <c r="J2418" s="251" t="s">
        <v>7</v>
      </c>
      <c r="K2418" s="252" t="s">
        <v>8</v>
      </c>
      <c r="L2418" s="254" t="s">
        <v>439</v>
      </c>
    </row>
    <row r="2419" spans="2:12">
      <c r="B2419" s="314">
        <v>1</v>
      </c>
      <c r="C2419" s="271" t="s">
        <v>389</v>
      </c>
      <c r="D2419" s="291" t="s">
        <v>213</v>
      </c>
      <c r="E2419" s="302">
        <v>4.056</v>
      </c>
      <c r="F2419" s="302">
        <v>4.7939999999999996</v>
      </c>
      <c r="G2419" s="302">
        <v>3.7132109999999998</v>
      </c>
      <c r="H2419" s="364">
        <v>5.6837960000000001</v>
      </c>
      <c r="I2419" s="287">
        <v>0.13850000000000001</v>
      </c>
      <c r="J2419" s="287">
        <v>0.10589999999999999</v>
      </c>
      <c r="K2419" s="286">
        <v>45.269122000000003</v>
      </c>
      <c r="L2419" s="275"/>
    </row>
    <row r="2420" spans="2:12">
      <c r="B2420" s="315">
        <v>2</v>
      </c>
      <c r="C2420" s="316"/>
      <c r="D2420" s="299" t="s">
        <v>214</v>
      </c>
      <c r="E2420" s="304">
        <v>4.069</v>
      </c>
      <c r="F2420" s="304">
        <v>4.8</v>
      </c>
      <c r="G2420" s="304">
        <v>3.7059799999999998</v>
      </c>
      <c r="H2420" s="370">
        <v>5.6884100000000002</v>
      </c>
      <c r="I2420" s="301">
        <v>0.13850000000000001</v>
      </c>
      <c r="J2420" s="301">
        <v>0.10580000000000001</v>
      </c>
      <c r="K2420" s="300">
        <v>45.36862</v>
      </c>
      <c r="L2420" s="319"/>
    </row>
    <row r="2421" spans="2:12">
      <c r="B2421" s="315">
        <v>3</v>
      </c>
      <c r="C2421" s="320"/>
      <c r="D2421" s="299" t="s">
        <v>217</v>
      </c>
      <c r="E2421" s="304">
        <v>4.0739999999999998</v>
      </c>
      <c r="F2421" s="304">
        <v>4.806</v>
      </c>
      <c r="G2421" s="304">
        <v>3.7060580000000001</v>
      </c>
      <c r="H2421" s="370">
        <v>5.6893710000000004</v>
      </c>
      <c r="I2421" s="301">
        <v>0.1384</v>
      </c>
      <c r="J2421" s="301">
        <v>0.10589999999999999</v>
      </c>
      <c r="K2421" s="300">
        <v>45.382435999999998</v>
      </c>
      <c r="L2421" s="356"/>
    </row>
    <row r="2422" spans="2:12">
      <c r="B2422" s="315">
        <v>4</v>
      </c>
      <c r="C2422" s="320"/>
      <c r="D2422" s="299" t="s">
        <v>218</v>
      </c>
      <c r="E2422" s="304">
        <v>4.0750000000000002</v>
      </c>
      <c r="F2422" s="304">
        <v>4.8150000000000004</v>
      </c>
      <c r="G2422" s="304">
        <v>3.7120869999999999</v>
      </c>
      <c r="H2422" s="370">
        <v>5.6968360000000002</v>
      </c>
      <c r="I2422" s="301">
        <v>0.13850000000000001</v>
      </c>
      <c r="J2422" s="301">
        <v>0.10589999999999999</v>
      </c>
      <c r="K2422" s="300">
        <v>45.467421999999999</v>
      </c>
      <c r="L2422" s="356"/>
    </row>
    <row r="2423" spans="2:12" ht="17.25" thickBot="1">
      <c r="B2423" s="322">
        <v>5</v>
      </c>
      <c r="C2423" s="323"/>
      <c r="D2423" s="293" t="s">
        <v>240</v>
      </c>
      <c r="E2423" s="371">
        <v>4.0739999999999998</v>
      </c>
      <c r="F2423" s="371">
        <v>4.8179999999999996</v>
      </c>
      <c r="G2423" s="371">
        <v>3.7153119999999999</v>
      </c>
      <c r="H2423" s="372">
        <v>5.6926209999999999</v>
      </c>
      <c r="I2423" s="289">
        <v>0.1384</v>
      </c>
      <c r="J2423" s="289">
        <v>0.10589999999999999</v>
      </c>
      <c r="K2423" s="288">
        <v>45.495750999999998</v>
      </c>
      <c r="L2423" s="324"/>
    </row>
    <row r="2424" spans="2:12" ht="17.25" thickBot="1">
      <c r="B2424" s="325"/>
      <c r="C2424" s="326"/>
      <c r="D2424" s="327" t="s">
        <v>463</v>
      </c>
      <c r="E2424" s="328">
        <f>AVERAGE(E2419:E2423)</f>
        <v>4.0695999999999994</v>
      </c>
      <c r="F2424" s="328">
        <f t="shared" ref="F2424:K2424" si="697">AVERAGE(F2419:F2423)</f>
        <v>4.8066000000000004</v>
      </c>
      <c r="G2424" s="328">
        <f t="shared" si="697"/>
        <v>3.7105296000000001</v>
      </c>
      <c r="H2424" s="373">
        <f t="shared" si="697"/>
        <v>5.6902068000000003</v>
      </c>
      <c r="I2424" s="329">
        <f t="shared" si="697"/>
        <v>0.13846</v>
      </c>
      <c r="J2424" s="329">
        <f t="shared" si="697"/>
        <v>0.10588</v>
      </c>
      <c r="K2424" s="330">
        <f t="shared" si="697"/>
        <v>45.396670199999996</v>
      </c>
      <c r="L2424" s="331"/>
    </row>
    <row r="2425" spans="2:12">
      <c r="B2425" s="314">
        <v>6</v>
      </c>
      <c r="C2425" s="271" t="s">
        <v>584</v>
      </c>
      <c r="D2425" s="291" t="s">
        <v>241</v>
      </c>
      <c r="E2425" s="302">
        <v>4.07</v>
      </c>
      <c r="F2425" s="302">
        <v>4.8140000000000001</v>
      </c>
      <c r="G2425" s="302">
        <v>3.7158760000000002</v>
      </c>
      <c r="H2425" s="364">
        <v>5.7030570000000003</v>
      </c>
      <c r="I2425" s="287">
        <v>0.1384</v>
      </c>
      <c r="J2425" s="287">
        <v>0.106</v>
      </c>
      <c r="K2425" s="286">
        <v>45.415094000000003</v>
      </c>
      <c r="L2425" s="332"/>
    </row>
    <row r="2426" spans="2:12">
      <c r="B2426" s="315">
        <v>7</v>
      </c>
      <c r="C2426" s="320"/>
      <c r="D2426" s="299" t="s">
        <v>242</v>
      </c>
      <c r="E2426" s="304">
        <v>4.0720000000000001</v>
      </c>
      <c r="F2426" s="304">
        <v>4.8250000000000002</v>
      </c>
      <c r="G2426" s="304">
        <v>3.722537</v>
      </c>
      <c r="H2426" s="370">
        <v>5.7098829999999996</v>
      </c>
      <c r="I2426" s="301">
        <v>0.13819999999999999</v>
      </c>
      <c r="J2426" s="301">
        <v>0.106</v>
      </c>
      <c r="K2426" s="300">
        <v>45.518867999999998</v>
      </c>
      <c r="L2426" s="321"/>
    </row>
    <row r="2427" spans="2:12">
      <c r="B2427" s="315">
        <v>8</v>
      </c>
      <c r="C2427" s="320"/>
      <c r="D2427" s="299" t="s">
        <v>222</v>
      </c>
      <c r="E2427" s="304">
        <v>4.0730000000000004</v>
      </c>
      <c r="F2427" s="304">
        <v>4.8380000000000001</v>
      </c>
      <c r="G2427" s="304">
        <v>3.7316500000000001</v>
      </c>
      <c r="H2427" s="370">
        <v>5.7335770000000004</v>
      </c>
      <c r="I2427" s="301">
        <v>0.13830000000000001</v>
      </c>
      <c r="J2427" s="301">
        <v>0.1061</v>
      </c>
      <c r="K2427" s="300">
        <v>45.598492</v>
      </c>
      <c r="L2427" s="321"/>
    </row>
    <row r="2428" spans="2:12">
      <c r="B2428" s="315">
        <v>9</v>
      </c>
      <c r="C2428" s="320"/>
      <c r="D2428" s="299" t="s">
        <v>223</v>
      </c>
      <c r="E2428" s="304">
        <v>4.0739999999999998</v>
      </c>
      <c r="F2428" s="304">
        <v>4.835</v>
      </c>
      <c r="G2428" s="304">
        <v>3.728421</v>
      </c>
      <c r="H2428" s="370">
        <v>5.7354839999999996</v>
      </c>
      <c r="I2428" s="301">
        <v>0.13819999999999999</v>
      </c>
      <c r="J2428" s="301">
        <v>0.10589999999999999</v>
      </c>
      <c r="K2428" s="300">
        <v>45.656280000000002</v>
      </c>
      <c r="L2428" s="321"/>
    </row>
    <row r="2429" spans="2:12" ht="17.25" thickBot="1">
      <c r="B2429" s="322">
        <v>10</v>
      </c>
      <c r="C2429" s="323"/>
      <c r="D2429" s="293" t="s">
        <v>243</v>
      </c>
      <c r="E2429" s="371">
        <v>4.0709999999999997</v>
      </c>
      <c r="F2429" s="371">
        <v>4.8369999999999997</v>
      </c>
      <c r="G2429" s="371">
        <v>3.7327119999999998</v>
      </c>
      <c r="H2429" s="372">
        <v>5.7358770000000003</v>
      </c>
      <c r="I2429" s="289">
        <v>0.13830000000000001</v>
      </c>
      <c r="J2429" s="289">
        <v>0.10589999999999999</v>
      </c>
      <c r="K2429" s="288">
        <v>45.675165</v>
      </c>
      <c r="L2429" s="324"/>
    </row>
    <row r="2430" spans="2:12" ht="17.25" thickBot="1">
      <c r="B2430" s="325" t="s">
        <v>455</v>
      </c>
      <c r="C2430" s="326"/>
      <c r="D2430" s="327" t="s">
        <v>463</v>
      </c>
      <c r="E2430" s="328">
        <f t="shared" ref="E2430:K2430" si="698">AVERAGE(E2425:E2429)</f>
        <v>4.0720000000000001</v>
      </c>
      <c r="F2430" s="328">
        <f t="shared" si="698"/>
        <v>4.8298000000000005</v>
      </c>
      <c r="G2430" s="328">
        <f t="shared" si="698"/>
        <v>3.7262391999999998</v>
      </c>
      <c r="H2430" s="373">
        <f t="shared" si="698"/>
        <v>5.7235755999999993</v>
      </c>
      <c r="I2430" s="329">
        <f t="shared" si="698"/>
        <v>0.13827999999999999</v>
      </c>
      <c r="J2430" s="329">
        <f t="shared" si="698"/>
        <v>0.10598</v>
      </c>
      <c r="K2430" s="330">
        <f t="shared" si="698"/>
        <v>45.572779799999999</v>
      </c>
      <c r="L2430" s="331"/>
    </row>
    <row r="2431" spans="2:12">
      <c r="B2431" s="333">
        <v>11</v>
      </c>
      <c r="C2431" s="271" t="s">
        <v>389</v>
      </c>
      <c r="D2431" s="291" t="s">
        <v>244</v>
      </c>
      <c r="E2431" s="302">
        <v>4.0750000000000002</v>
      </c>
      <c r="F2431" s="302">
        <v>4.7869999999999999</v>
      </c>
      <c r="G2431" s="302">
        <v>3.6905009999999998</v>
      </c>
      <c r="H2431" s="302">
        <v>5.6474989999999998</v>
      </c>
      <c r="I2431" s="287">
        <v>0.13850000000000001</v>
      </c>
      <c r="J2431" s="287">
        <v>0.106</v>
      </c>
      <c r="K2431" s="286">
        <v>45.160376999999997</v>
      </c>
      <c r="L2431" s="332"/>
    </row>
    <row r="2432" spans="2:12">
      <c r="B2432" s="335">
        <v>12</v>
      </c>
      <c r="C2432" s="316"/>
      <c r="D2432" s="299" t="s">
        <v>245</v>
      </c>
      <c r="E2432" s="304">
        <v>4.0780000000000003</v>
      </c>
      <c r="F2432" s="304">
        <v>4.8019999999999996</v>
      </c>
      <c r="G2432" s="304">
        <v>3.6993420000000001</v>
      </c>
      <c r="H2432" s="304">
        <v>5.6821760000000001</v>
      </c>
      <c r="I2432" s="301">
        <v>0.1384</v>
      </c>
      <c r="J2432" s="301">
        <v>0.1061</v>
      </c>
      <c r="K2432" s="300">
        <v>45.259188999999999</v>
      </c>
      <c r="L2432" s="321"/>
    </row>
    <row r="2433" spans="2:12">
      <c r="B2433" s="335">
        <v>13</v>
      </c>
      <c r="C2433" s="320"/>
      <c r="D2433" s="299" t="s">
        <v>227</v>
      </c>
      <c r="E2433" s="304"/>
      <c r="F2433" s="304"/>
      <c r="G2433" s="304"/>
      <c r="H2433" s="304"/>
      <c r="I2433" s="301"/>
      <c r="J2433" s="301"/>
      <c r="K2433" s="300"/>
      <c r="L2433" s="321"/>
    </row>
    <row r="2434" spans="2:12">
      <c r="B2434" s="335">
        <v>14</v>
      </c>
      <c r="C2434" s="320"/>
      <c r="D2434" s="299" t="s">
        <v>228</v>
      </c>
      <c r="E2434" s="304">
        <v>4.0759999999999996</v>
      </c>
      <c r="F2434" s="304">
        <v>4.8019999999999996</v>
      </c>
      <c r="G2434" s="304">
        <v>3.7011569999999998</v>
      </c>
      <c r="H2434" s="304">
        <v>5.6910170000000004</v>
      </c>
      <c r="I2434" s="301">
        <v>0.1384</v>
      </c>
      <c r="J2434" s="301">
        <v>0.106</v>
      </c>
      <c r="K2434" s="300">
        <v>45.301887000000001</v>
      </c>
      <c r="L2434" s="321"/>
    </row>
    <row r="2435" spans="2:12" ht="17.25" thickBot="1">
      <c r="B2435" s="336">
        <v>15</v>
      </c>
      <c r="C2435" s="323"/>
      <c r="D2435" s="293" t="s">
        <v>246</v>
      </c>
      <c r="E2435" s="371">
        <v>4.0750000000000002</v>
      </c>
      <c r="F2435" s="371">
        <v>4.8040000000000003</v>
      </c>
      <c r="G2435" s="371">
        <v>3.7036069999999999</v>
      </c>
      <c r="H2435" s="371">
        <v>5.6876100000000003</v>
      </c>
      <c r="I2435" s="289">
        <v>0.13850000000000001</v>
      </c>
      <c r="J2435" s="289">
        <v>0.10589999999999999</v>
      </c>
      <c r="K2435" s="288">
        <v>45.363551000000001</v>
      </c>
      <c r="L2435" s="324"/>
    </row>
    <row r="2436" spans="2:12" ht="17.25" thickBot="1">
      <c r="B2436" s="337"/>
      <c r="C2436" s="326"/>
      <c r="D2436" s="327" t="s">
        <v>463</v>
      </c>
      <c r="E2436" s="328">
        <f>AVERAGE(E2431:E2435)</f>
        <v>4.0759999999999996</v>
      </c>
      <c r="F2436" s="328">
        <f t="shared" ref="F2436:K2436" si="699">AVERAGE(F2431:F2435)</f>
        <v>4.7987500000000001</v>
      </c>
      <c r="G2436" s="328">
        <f t="shared" si="699"/>
        <v>3.6986517499999998</v>
      </c>
      <c r="H2436" s="328">
        <f t="shared" si="699"/>
        <v>5.6770754999999999</v>
      </c>
      <c r="I2436" s="329">
        <f t="shared" si="699"/>
        <v>0.13845000000000002</v>
      </c>
      <c r="J2436" s="329">
        <f t="shared" si="699"/>
        <v>0.106</v>
      </c>
      <c r="K2436" s="330">
        <f t="shared" si="699"/>
        <v>45.271250999999999</v>
      </c>
      <c r="L2436" s="331"/>
    </row>
    <row r="2437" spans="2:12">
      <c r="B2437" s="333">
        <v>16</v>
      </c>
      <c r="C2437" s="271" t="s">
        <v>588</v>
      </c>
      <c r="D2437" s="291" t="s">
        <v>247</v>
      </c>
      <c r="E2437" s="302">
        <v>4.07</v>
      </c>
      <c r="F2437" s="302">
        <v>4.806</v>
      </c>
      <c r="G2437" s="302">
        <v>3.7097009999999999</v>
      </c>
      <c r="H2437" s="302">
        <v>5.6936439999999999</v>
      </c>
      <c r="I2437" s="287">
        <v>0.13830000000000001</v>
      </c>
      <c r="J2437" s="287">
        <v>0.10589999999999999</v>
      </c>
      <c r="K2437" s="286">
        <v>45.382435999999998</v>
      </c>
      <c r="L2437" s="359"/>
    </row>
    <row r="2438" spans="2:12">
      <c r="B2438" s="335">
        <v>17</v>
      </c>
      <c r="C2438" s="320"/>
      <c r="D2438" s="299" t="s">
        <v>248</v>
      </c>
      <c r="E2438" s="304">
        <v>4.0750000000000002</v>
      </c>
      <c r="F2438" s="304">
        <v>4.8179999999999996</v>
      </c>
      <c r="G2438" s="304">
        <v>3.7143999999999999</v>
      </c>
      <c r="H2438" s="304">
        <v>5.7126520000000003</v>
      </c>
      <c r="I2438" s="301">
        <v>0.13819999999999999</v>
      </c>
      <c r="J2438" s="301">
        <v>0.10589999999999999</v>
      </c>
      <c r="K2438" s="300">
        <v>45.495750999999998</v>
      </c>
      <c r="L2438" s="321"/>
    </row>
    <row r="2439" spans="2:12">
      <c r="B2439" s="335">
        <v>18</v>
      </c>
      <c r="C2439" s="320"/>
      <c r="D2439" s="299" t="s">
        <v>232</v>
      </c>
      <c r="E2439" s="304">
        <v>4.077</v>
      </c>
      <c r="F2439" s="304">
        <v>4.8280000000000003</v>
      </c>
      <c r="G2439" s="304">
        <v>3.7202839999999999</v>
      </c>
      <c r="H2439" s="304">
        <v>5.7284819999999996</v>
      </c>
      <c r="I2439" s="301">
        <v>0.13819999999999999</v>
      </c>
      <c r="J2439" s="301">
        <v>0.106</v>
      </c>
      <c r="K2439" s="300">
        <v>45.547170000000001</v>
      </c>
      <c r="L2439" s="321"/>
    </row>
    <row r="2440" spans="2:12">
      <c r="B2440" s="335">
        <v>19</v>
      </c>
      <c r="C2440" s="320"/>
      <c r="D2440" s="299" t="s">
        <v>233</v>
      </c>
      <c r="E2440" s="304">
        <v>4.0739999999999998</v>
      </c>
      <c r="F2440" s="304">
        <v>4.8280000000000003</v>
      </c>
      <c r="G2440" s="304">
        <v>3.723023</v>
      </c>
      <c r="H2440" s="304">
        <v>5.7370359999999998</v>
      </c>
      <c r="I2440" s="301">
        <v>0.13819999999999999</v>
      </c>
      <c r="J2440" s="301">
        <v>0.10589999999999999</v>
      </c>
      <c r="K2440" s="300">
        <v>45.590178999999999</v>
      </c>
      <c r="L2440" s="321"/>
    </row>
    <row r="2441" spans="2:12" ht="17.25" thickBot="1">
      <c r="B2441" s="336">
        <v>20</v>
      </c>
      <c r="C2441" s="323"/>
      <c r="D2441" s="293" t="s">
        <v>249</v>
      </c>
      <c r="E2441" s="371">
        <v>4.0720000000000001</v>
      </c>
      <c r="F2441" s="371">
        <v>4.8259999999999996</v>
      </c>
      <c r="G2441" s="371">
        <v>3.723309</v>
      </c>
      <c r="H2441" s="371">
        <v>5.7208600000000001</v>
      </c>
      <c r="I2441" s="289">
        <v>0.1381</v>
      </c>
      <c r="J2441" s="289">
        <v>0.10580000000000001</v>
      </c>
      <c r="K2441" s="288">
        <v>45.614367000000001</v>
      </c>
      <c r="L2441" s="324"/>
    </row>
    <row r="2442" spans="2:12" ht="17.25" thickBot="1">
      <c r="B2442" s="337"/>
      <c r="C2442" s="326"/>
      <c r="D2442" s="327" t="s">
        <v>463</v>
      </c>
      <c r="E2442" s="328">
        <f>AVERAGE(E2437:E2441)</f>
        <v>4.0735999999999999</v>
      </c>
      <c r="F2442" s="328">
        <f t="shared" ref="F2442:K2442" si="700">AVERAGE(F2437:F2441)</f>
        <v>4.8211999999999993</v>
      </c>
      <c r="G2442" s="328">
        <f t="shared" si="700"/>
        <v>3.7181433999999998</v>
      </c>
      <c r="H2442" s="328">
        <f t="shared" si="700"/>
        <v>5.7185348000000005</v>
      </c>
      <c r="I2442" s="329">
        <f t="shared" si="700"/>
        <v>0.13819999999999999</v>
      </c>
      <c r="J2442" s="329">
        <f t="shared" si="700"/>
        <v>0.10589999999999999</v>
      </c>
      <c r="K2442" s="328">
        <f t="shared" si="700"/>
        <v>45.525980600000004</v>
      </c>
      <c r="L2442" s="331"/>
    </row>
    <row r="2443" spans="2:12">
      <c r="B2443" s="333">
        <v>21</v>
      </c>
      <c r="C2443" s="271" t="s">
        <v>583</v>
      </c>
      <c r="D2443" s="291" t="s">
        <v>250</v>
      </c>
      <c r="E2443" s="302">
        <v>4.0670000000000002</v>
      </c>
      <c r="F2443" s="302">
        <v>4.8029999999999999</v>
      </c>
      <c r="G2443" s="302">
        <v>3.7101199999999999</v>
      </c>
      <c r="H2443" s="302">
        <v>5.697336</v>
      </c>
      <c r="I2443" s="287">
        <v>0.13830000000000001</v>
      </c>
      <c r="J2443" s="287">
        <v>0.10580000000000001</v>
      </c>
      <c r="K2443" s="286">
        <v>45.396974999999998</v>
      </c>
      <c r="L2443" s="332"/>
    </row>
    <row r="2444" spans="2:12">
      <c r="B2444" s="335">
        <v>22</v>
      </c>
      <c r="C2444" s="320"/>
      <c r="D2444" s="299" t="s">
        <v>251</v>
      </c>
      <c r="E2444" s="304">
        <v>4.0730000000000004</v>
      </c>
      <c r="F2444" s="304">
        <v>4.8150000000000004</v>
      </c>
      <c r="G2444" s="304">
        <v>3.7139099999999998</v>
      </c>
      <c r="H2444" s="304">
        <v>5.7019700000000002</v>
      </c>
      <c r="I2444" s="301">
        <v>0.13830000000000001</v>
      </c>
      <c r="J2444" s="301">
        <v>0.10589999999999999</v>
      </c>
      <c r="K2444" s="300">
        <v>45.467421999999999</v>
      </c>
      <c r="L2444" s="321"/>
    </row>
    <row r="2445" spans="2:12">
      <c r="B2445" s="335">
        <v>23</v>
      </c>
      <c r="C2445" s="320"/>
      <c r="D2445" s="299" t="s">
        <v>237</v>
      </c>
      <c r="E2445" s="304">
        <v>4.0750000000000002</v>
      </c>
      <c r="F2445" s="304">
        <v>4.83</v>
      </c>
      <c r="G2445" s="304">
        <v>3.7236509999999998</v>
      </c>
      <c r="H2445" s="304">
        <v>5.7312070000000004</v>
      </c>
      <c r="I2445" s="301">
        <v>0.1381</v>
      </c>
      <c r="J2445" s="301">
        <v>0.10589999999999999</v>
      </c>
      <c r="K2445" s="300">
        <v>45.609065000000001</v>
      </c>
      <c r="L2445" s="321"/>
    </row>
    <row r="2446" spans="2:12">
      <c r="B2446" s="335">
        <v>24</v>
      </c>
      <c r="C2446" s="320"/>
      <c r="D2446" s="299" t="s">
        <v>238</v>
      </c>
      <c r="E2446" s="304">
        <v>4.0739999999999998</v>
      </c>
      <c r="F2446" s="304">
        <v>4.8280000000000003</v>
      </c>
      <c r="G2446" s="304">
        <v>3.723023</v>
      </c>
      <c r="H2446" s="304">
        <v>5.723395</v>
      </c>
      <c r="I2446" s="301">
        <v>0.13819999999999999</v>
      </c>
      <c r="J2446" s="301">
        <v>0.10589999999999999</v>
      </c>
      <c r="K2446" s="300">
        <v>45.590178999999999</v>
      </c>
      <c r="L2446" s="321"/>
    </row>
    <row r="2447" spans="2:12" ht="17.25" thickBot="1">
      <c r="B2447" s="336">
        <v>25</v>
      </c>
      <c r="C2447" s="323"/>
      <c r="D2447" s="293" t="s">
        <v>252</v>
      </c>
      <c r="E2447" s="371">
        <v>4.0720000000000001</v>
      </c>
      <c r="F2447" s="371">
        <v>4.8310000000000004</v>
      </c>
      <c r="G2447" s="371">
        <v>3.727166</v>
      </c>
      <c r="H2447" s="371">
        <v>5.7265290000000002</v>
      </c>
      <c r="I2447" s="289">
        <v>0.13819999999999999</v>
      </c>
      <c r="J2447" s="289">
        <v>0.10580000000000001</v>
      </c>
      <c r="K2447" s="288">
        <v>45.661625999999998</v>
      </c>
      <c r="L2447" s="324"/>
    </row>
    <row r="2448" spans="2:12" ht="17.25" thickBot="1">
      <c r="B2448" s="339" t="s">
        <v>455</v>
      </c>
      <c r="C2448" s="340"/>
      <c r="D2448" s="341" t="s">
        <v>465</v>
      </c>
      <c r="E2448" s="342">
        <f>AVERAGE(E2443:E2447)</f>
        <v>4.0722000000000005</v>
      </c>
      <c r="F2448" s="342">
        <f t="shared" ref="F2448:K2448" si="701">AVERAGE(F2443:F2447)</f>
        <v>4.8213999999999997</v>
      </c>
      <c r="G2448" s="342">
        <f t="shared" si="701"/>
        <v>3.7195740000000002</v>
      </c>
      <c r="H2448" s="342">
        <f t="shared" si="701"/>
        <v>5.7160874000000002</v>
      </c>
      <c r="I2448" s="343">
        <f t="shared" si="701"/>
        <v>0.13821999999999998</v>
      </c>
      <c r="J2448" s="343">
        <f t="shared" si="701"/>
        <v>0.10586</v>
      </c>
      <c r="K2448" s="342">
        <f t="shared" si="701"/>
        <v>45.545053399999993</v>
      </c>
      <c r="L2448" s="344"/>
    </row>
    <row r="2449" spans="2:12">
      <c r="B2449" s="333"/>
      <c r="C2449" s="345"/>
      <c r="D2449" s="291" t="s">
        <v>458</v>
      </c>
      <c r="E2449" s="346">
        <f>MEDIAN(E2419:E2423,E2425:E2429,E2431:E2435,E2437:E2441,E2443:E2447)</f>
        <v>4.0739999999999998</v>
      </c>
      <c r="F2449" s="346">
        <f t="shared" ref="F2449:K2449" si="702">MEDIAN(F2419:F2423,F2425:F2429,F2431:F2435,F2437:F2441,F2443:F2447)</f>
        <v>4.8164999999999996</v>
      </c>
      <c r="G2449" s="346">
        <f t="shared" si="702"/>
        <v>3.7148560000000002</v>
      </c>
      <c r="H2449" s="346">
        <f t="shared" si="702"/>
        <v>5.7025135000000002</v>
      </c>
      <c r="I2449" s="347">
        <f t="shared" si="702"/>
        <v>0.13830000000000001</v>
      </c>
      <c r="J2449" s="347">
        <f t="shared" si="702"/>
        <v>0.10589999999999999</v>
      </c>
      <c r="K2449" s="348">
        <f t="shared" si="702"/>
        <v>45.481586499999999</v>
      </c>
      <c r="L2449" s="332"/>
    </row>
    <row r="2450" spans="2:12">
      <c r="B2450" s="335"/>
      <c r="C2450" s="320"/>
      <c r="D2450" s="299" t="s">
        <v>457</v>
      </c>
      <c r="E2450" s="349">
        <f>AVERAGE(E2419:E2423,E2425:E2429,E2431:E2435,E2437:E2441,E2443:E2447)</f>
        <v>4.0725416666666669</v>
      </c>
      <c r="F2450" s="349">
        <f t="shared" ref="F2450:K2450" si="703">AVERAGE(F2419:F2423,F2425:F2429,F2431:F2435,F2437:F2441,F2443:F2447)</f>
        <v>4.8162499999999993</v>
      </c>
      <c r="G2450" s="349">
        <f t="shared" si="703"/>
        <v>3.7152932500000002</v>
      </c>
      <c r="H2450" s="349">
        <f t="shared" si="703"/>
        <v>5.7062635416666678</v>
      </c>
      <c r="I2450" s="350">
        <f t="shared" si="703"/>
        <v>0.13831666666666667</v>
      </c>
      <c r="J2450" s="350">
        <f t="shared" si="703"/>
        <v>0.10592083333333335</v>
      </c>
      <c r="K2450" s="351">
        <f t="shared" si="703"/>
        <v>45.47030933333334</v>
      </c>
      <c r="L2450" s="321"/>
    </row>
    <row r="2451" spans="2:12">
      <c r="B2451" s="335"/>
      <c r="C2451" s="320"/>
      <c r="D2451" s="299" t="s">
        <v>199</v>
      </c>
      <c r="E2451" s="349">
        <f>MAX(E2419:E2423,E2425:E2429,E2431:E2435,E2437:E2441,E2443:E2447)</f>
        <v>4.0780000000000003</v>
      </c>
      <c r="F2451" s="349">
        <f t="shared" ref="F2451:K2451" si="704">MAX(F2419:F2423,F2425:F2429,F2431:F2435,F2437:F2441,F2443:F2447)</f>
        <v>4.8380000000000001</v>
      </c>
      <c r="G2451" s="349">
        <f t="shared" si="704"/>
        <v>3.7327119999999998</v>
      </c>
      <c r="H2451" s="349">
        <f t="shared" si="704"/>
        <v>5.7370359999999998</v>
      </c>
      <c r="I2451" s="350">
        <f t="shared" si="704"/>
        <v>0.13850000000000001</v>
      </c>
      <c r="J2451" s="350">
        <f t="shared" si="704"/>
        <v>0.1061</v>
      </c>
      <c r="K2451" s="351">
        <f t="shared" si="704"/>
        <v>45.675165</v>
      </c>
      <c r="L2451" s="321"/>
    </row>
    <row r="2452" spans="2:12">
      <c r="B2452" s="335"/>
      <c r="C2452" s="320"/>
      <c r="D2452" s="299" t="s">
        <v>200</v>
      </c>
      <c r="E2452" s="349">
        <f>MIN(E2419:E2423,E2425:E2429,E2431:E2435,E2437:E2441,E2443:E2447)</f>
        <v>4.056</v>
      </c>
      <c r="F2452" s="349">
        <f t="shared" ref="F2452:K2452" si="705">MIN(F2419:F2423,F2425:F2429,F2431:F2435,F2437:F2441,F2443:F2447)</f>
        <v>4.7869999999999999</v>
      </c>
      <c r="G2452" s="349">
        <f t="shared" si="705"/>
        <v>3.6905009999999998</v>
      </c>
      <c r="H2452" s="349">
        <f t="shared" si="705"/>
        <v>5.6474989999999998</v>
      </c>
      <c r="I2452" s="350">
        <f t="shared" si="705"/>
        <v>0.1381</v>
      </c>
      <c r="J2452" s="350">
        <f t="shared" si="705"/>
        <v>0.10580000000000001</v>
      </c>
      <c r="K2452" s="351">
        <f t="shared" si="705"/>
        <v>45.160376999999997</v>
      </c>
      <c r="L2452" s="321"/>
    </row>
    <row r="2453" spans="2:12">
      <c r="B2453" s="335"/>
      <c r="C2453" s="320"/>
      <c r="D2453" s="299" t="s">
        <v>201</v>
      </c>
      <c r="E2453" s="349">
        <f>E2451-E2452</f>
        <v>2.2000000000000242E-2</v>
      </c>
      <c r="F2453" s="349">
        <f t="shared" ref="F2453:K2453" si="706">F2451-F2452</f>
        <v>5.1000000000000156E-2</v>
      </c>
      <c r="G2453" s="349">
        <f t="shared" si="706"/>
        <v>4.2210999999999999E-2</v>
      </c>
      <c r="H2453" s="349">
        <f t="shared" si="706"/>
        <v>8.9536999999999978E-2</v>
      </c>
      <c r="I2453" s="350">
        <f t="shared" si="706"/>
        <v>4.0000000000001146E-4</v>
      </c>
      <c r="J2453" s="350">
        <f t="shared" si="706"/>
        <v>2.9999999999999472E-4</v>
      </c>
      <c r="K2453" s="349">
        <f t="shared" si="706"/>
        <v>0.51478800000000291</v>
      </c>
      <c r="L2453" s="321"/>
    </row>
    <row r="2454" spans="2:12" ht="17.25" thickBot="1">
      <c r="B2454" s="336"/>
      <c r="C2454" s="323"/>
      <c r="D2454" s="293" t="s">
        <v>202</v>
      </c>
      <c r="E2454" s="352">
        <f>STDEVA(E2419:E2423,E2425:E2429,E2431:E2435,E2437:E2441,E2443:E2447)</f>
        <v>4.3537007413150738E-3</v>
      </c>
      <c r="F2454" s="352">
        <f t="shared" ref="F2454:K2454" si="707">STDEVA(F2419:F2423,F2425:F2429,F2431:F2435,F2437:F2441,F2443:F2447)</f>
        <v>1.4474114826130221E-2</v>
      </c>
      <c r="G2454" s="352">
        <f t="shared" si="707"/>
        <v>1.077127268428067E-2</v>
      </c>
      <c r="H2454" s="352">
        <f t="shared" si="707"/>
        <v>2.2627609320549198E-2</v>
      </c>
      <c r="I2454" s="353">
        <f t="shared" si="707"/>
        <v>1.3077250963166451E-4</v>
      </c>
      <c r="J2454" s="353">
        <f t="shared" si="707"/>
        <v>8.3297093569351281E-5</v>
      </c>
      <c r="K2454" s="352">
        <f t="shared" si="707"/>
        <v>0.14187934091751508</v>
      </c>
      <c r="L2454" s="324"/>
    </row>
    <row r="2456" spans="2:12">
      <c r="B2456" s="240" t="s">
        <v>591</v>
      </c>
      <c r="C2456" s="240"/>
      <c r="E2456" s="240"/>
      <c r="F2456" s="240"/>
      <c r="G2456" s="240"/>
      <c r="H2456" s="240"/>
      <c r="I2456" s="240"/>
      <c r="J2456" s="240"/>
      <c r="K2456" s="240"/>
    </row>
    <row r="2457" spans="2:12" ht="17.25" thickBot="1">
      <c r="B2457" s="240" t="s">
        <v>452</v>
      </c>
      <c r="C2457" s="240"/>
      <c r="E2457" s="240"/>
      <c r="F2457" s="240"/>
      <c r="G2457" s="240"/>
      <c r="H2457" s="240"/>
      <c r="I2457" s="240"/>
      <c r="J2457" s="240"/>
      <c r="K2457" s="240"/>
    </row>
    <row r="2458" spans="2:12" ht="17.25" thickBot="1">
      <c r="B2458" s="313" t="s">
        <v>11</v>
      </c>
      <c r="C2458" s="250" t="s">
        <v>0</v>
      </c>
      <c r="D2458" s="250" t="s">
        <v>1</v>
      </c>
      <c r="E2458" s="250" t="s">
        <v>2</v>
      </c>
      <c r="F2458" s="250" t="s">
        <v>3</v>
      </c>
      <c r="G2458" s="250" t="s">
        <v>192</v>
      </c>
      <c r="H2458" s="250" t="s">
        <v>16</v>
      </c>
      <c r="I2458" s="250" t="s">
        <v>6</v>
      </c>
      <c r="J2458" s="251" t="s">
        <v>7</v>
      </c>
      <c r="K2458" s="252" t="s">
        <v>8</v>
      </c>
      <c r="L2458" s="254" t="s">
        <v>439</v>
      </c>
    </row>
    <row r="2459" spans="2:12">
      <c r="B2459" s="314">
        <v>1</v>
      </c>
      <c r="C2459" s="271" t="s">
        <v>389</v>
      </c>
      <c r="D2459" s="291" t="s">
        <v>213</v>
      </c>
      <c r="E2459" s="302">
        <v>4.13</v>
      </c>
      <c r="F2459" s="302">
        <v>4.7210000000000001</v>
      </c>
      <c r="G2459" s="302">
        <v>3.5911490000000001</v>
      </c>
      <c r="H2459" s="364">
        <v>5.4485070000000002</v>
      </c>
      <c r="I2459" s="287">
        <v>0.1368</v>
      </c>
      <c r="J2459" s="287">
        <v>0.1108</v>
      </c>
      <c r="K2459" s="286">
        <v>42.608302999999999</v>
      </c>
      <c r="L2459" s="275"/>
    </row>
    <row r="2460" spans="2:12">
      <c r="B2460" s="315">
        <v>2</v>
      </c>
      <c r="C2460" s="316"/>
      <c r="D2460" s="299" t="s">
        <v>214</v>
      </c>
      <c r="E2460" s="304">
        <v>4.1340000000000003</v>
      </c>
      <c r="F2460" s="304">
        <v>4.7300000000000004</v>
      </c>
      <c r="G2460" s="304">
        <v>3.5945140000000002</v>
      </c>
      <c r="H2460" s="370">
        <v>5.4539330000000001</v>
      </c>
      <c r="I2460" s="301">
        <v>0.13669999999999999</v>
      </c>
      <c r="J2460" s="301">
        <v>0.1111</v>
      </c>
      <c r="K2460" s="300">
        <v>42.574257000000003</v>
      </c>
      <c r="L2460" s="319"/>
    </row>
    <row r="2461" spans="2:12">
      <c r="B2461" s="315">
        <v>3</v>
      </c>
      <c r="C2461" s="320"/>
      <c r="D2461" s="299" t="s">
        <v>217</v>
      </c>
      <c r="E2461" s="304">
        <v>4.1360000000000001</v>
      </c>
      <c r="F2461" s="304">
        <v>4.7350000000000003</v>
      </c>
      <c r="G2461" s="304">
        <v>3.5965739999999999</v>
      </c>
      <c r="H2461" s="370">
        <v>5.448054</v>
      </c>
      <c r="I2461" s="301">
        <v>0.13650000000000001</v>
      </c>
      <c r="J2461" s="301">
        <v>0.1113</v>
      </c>
      <c r="K2461" s="300">
        <v>42.542676999999998</v>
      </c>
      <c r="L2461" s="356"/>
    </row>
    <row r="2462" spans="2:12">
      <c r="B2462" s="315">
        <v>4</v>
      </c>
      <c r="C2462" s="320"/>
      <c r="D2462" s="299" t="s">
        <v>218</v>
      </c>
      <c r="E2462" s="304">
        <v>4.1349999999999998</v>
      </c>
      <c r="F2462" s="304">
        <v>4.7359999999999998</v>
      </c>
      <c r="G2462" s="304">
        <v>3.5982029999999998</v>
      </c>
      <c r="H2462" s="370">
        <v>5.4584640000000002</v>
      </c>
      <c r="I2462" s="301">
        <v>0.1366</v>
      </c>
      <c r="J2462" s="301">
        <v>0.1113</v>
      </c>
      <c r="K2462" s="300">
        <v>42.551662</v>
      </c>
      <c r="L2462" s="356"/>
    </row>
    <row r="2463" spans="2:12" ht="17.25" thickBot="1">
      <c r="B2463" s="322">
        <v>5</v>
      </c>
      <c r="C2463" s="323"/>
      <c r="D2463" s="293" t="s">
        <v>240</v>
      </c>
      <c r="E2463" s="371">
        <v>4.1310000000000002</v>
      </c>
      <c r="F2463" s="371">
        <v>4.7389999999999999</v>
      </c>
      <c r="G2463" s="371">
        <v>3.6039690000000002</v>
      </c>
      <c r="H2463" s="372">
        <v>5.4616030000000002</v>
      </c>
      <c r="I2463" s="289">
        <v>0.13669999999999999</v>
      </c>
      <c r="J2463" s="289">
        <v>0.1111</v>
      </c>
      <c r="K2463" s="288">
        <v>42.655265999999997</v>
      </c>
      <c r="L2463" s="324"/>
    </row>
    <row r="2464" spans="2:12" ht="17.25" thickBot="1">
      <c r="B2464" s="325"/>
      <c r="C2464" s="326"/>
      <c r="D2464" s="327" t="s">
        <v>463</v>
      </c>
      <c r="E2464" s="328">
        <f>AVERAGE(E2459:E2463)</f>
        <v>4.1331999999999995</v>
      </c>
      <c r="F2464" s="328">
        <f t="shared" ref="F2464:K2464" si="708">AVERAGE(F2459:F2463)</f>
        <v>4.7322000000000006</v>
      </c>
      <c r="G2464" s="328">
        <f t="shared" si="708"/>
        <v>3.5968817999999998</v>
      </c>
      <c r="H2464" s="373">
        <f t="shared" si="708"/>
        <v>5.4541122</v>
      </c>
      <c r="I2464" s="329">
        <f t="shared" si="708"/>
        <v>0.13666</v>
      </c>
      <c r="J2464" s="329">
        <f t="shared" si="708"/>
        <v>0.11112</v>
      </c>
      <c r="K2464" s="330">
        <f t="shared" si="708"/>
        <v>42.586433</v>
      </c>
      <c r="L2464" s="331"/>
    </row>
    <row r="2465" spans="2:12">
      <c r="B2465" s="314">
        <v>6</v>
      </c>
      <c r="C2465" s="271" t="s">
        <v>590</v>
      </c>
      <c r="D2465" s="291" t="s">
        <v>241</v>
      </c>
      <c r="E2465" s="302">
        <v>4.1269999999999998</v>
      </c>
      <c r="F2465" s="302">
        <v>4.6980000000000004</v>
      </c>
      <c r="G2465" s="302">
        <v>3.5762510000000001</v>
      </c>
      <c r="H2465" s="364">
        <v>5.4200549999999996</v>
      </c>
      <c r="I2465" s="287">
        <v>0.1368</v>
      </c>
      <c r="J2465" s="287">
        <v>0.111</v>
      </c>
      <c r="K2465" s="286">
        <v>42.324323999999997</v>
      </c>
      <c r="L2465" s="332"/>
    </row>
    <row r="2466" spans="2:12">
      <c r="B2466" s="315">
        <v>7</v>
      </c>
      <c r="C2466" s="320"/>
      <c r="D2466" s="299" t="s">
        <v>242</v>
      </c>
      <c r="E2466" s="304">
        <v>4.1310000000000002</v>
      </c>
      <c r="F2466" s="304">
        <v>4.71</v>
      </c>
      <c r="G2466" s="304">
        <v>3.581915</v>
      </c>
      <c r="H2466" s="370">
        <v>5.4329070000000002</v>
      </c>
      <c r="I2466" s="301">
        <v>0.1368</v>
      </c>
      <c r="J2466" s="301">
        <v>0.1113</v>
      </c>
      <c r="K2466" s="300">
        <v>42.318058999999998</v>
      </c>
      <c r="L2466" s="321"/>
    </row>
    <row r="2467" spans="2:12">
      <c r="B2467" s="315">
        <v>8</v>
      </c>
      <c r="C2467" s="320"/>
      <c r="D2467" s="299" t="s">
        <v>222</v>
      </c>
      <c r="E2467" s="304">
        <v>4.1319999999999997</v>
      </c>
      <c r="F2467" s="304">
        <v>4.7080000000000002</v>
      </c>
      <c r="G2467" s="304">
        <v>3.5795270000000001</v>
      </c>
      <c r="H2467" s="370">
        <v>5.4176960000000003</v>
      </c>
      <c r="I2467" s="301">
        <v>0.13669999999999999</v>
      </c>
      <c r="J2467" s="301">
        <v>0.1115</v>
      </c>
      <c r="K2467" s="300">
        <v>42.224215000000001</v>
      </c>
      <c r="L2467" s="321"/>
    </row>
    <row r="2468" spans="2:12">
      <c r="B2468" s="315">
        <v>9</v>
      </c>
      <c r="C2468" s="320"/>
      <c r="D2468" s="299" t="s">
        <v>223</v>
      </c>
      <c r="E2468" s="304">
        <v>4.1319999999999997</v>
      </c>
      <c r="F2468" s="304">
        <v>4.702</v>
      </c>
      <c r="G2468" s="304">
        <v>3.5749650000000002</v>
      </c>
      <c r="H2468" s="370">
        <v>5.4080450000000004</v>
      </c>
      <c r="I2468" s="301">
        <v>0.13669999999999999</v>
      </c>
      <c r="J2468" s="301">
        <v>0.1114</v>
      </c>
      <c r="K2468" s="300">
        <v>42.208258999999998</v>
      </c>
      <c r="L2468" s="321"/>
    </row>
    <row r="2469" spans="2:12" ht="17.25" thickBot="1">
      <c r="B2469" s="322">
        <v>10</v>
      </c>
      <c r="C2469" s="323"/>
      <c r="D2469" s="293" t="s">
        <v>243</v>
      </c>
      <c r="E2469" s="371">
        <v>4.1280000000000001</v>
      </c>
      <c r="F2469" s="371">
        <v>4.6980000000000004</v>
      </c>
      <c r="G2469" s="371">
        <v>3.5753849999999998</v>
      </c>
      <c r="H2469" s="372">
        <v>5.4120530000000002</v>
      </c>
      <c r="I2469" s="289">
        <v>0.13669999999999999</v>
      </c>
      <c r="J2469" s="289">
        <v>0.1111</v>
      </c>
      <c r="K2469" s="288">
        <v>42.286228999999999</v>
      </c>
      <c r="L2469" s="324"/>
    </row>
    <row r="2470" spans="2:12" ht="17.25" thickBot="1">
      <c r="B2470" s="325" t="s">
        <v>455</v>
      </c>
      <c r="C2470" s="326"/>
      <c r="D2470" s="327" t="s">
        <v>463</v>
      </c>
      <c r="E2470" s="328">
        <f t="shared" ref="E2470:K2470" si="709">AVERAGE(E2465:E2469)</f>
        <v>4.13</v>
      </c>
      <c r="F2470" s="328">
        <f t="shared" si="709"/>
        <v>4.7032000000000007</v>
      </c>
      <c r="G2470" s="328">
        <f t="shared" si="709"/>
        <v>3.5776086</v>
      </c>
      <c r="H2470" s="373">
        <f t="shared" si="709"/>
        <v>5.4181512000000005</v>
      </c>
      <c r="I2470" s="329">
        <f t="shared" si="709"/>
        <v>0.13674</v>
      </c>
      <c r="J2470" s="329">
        <f t="shared" si="709"/>
        <v>0.11126</v>
      </c>
      <c r="K2470" s="330">
        <f t="shared" si="709"/>
        <v>42.2722172</v>
      </c>
      <c r="L2470" s="331"/>
    </row>
    <row r="2471" spans="2:12">
      <c r="B2471" s="333">
        <v>11</v>
      </c>
      <c r="C2471" s="271" t="s">
        <v>389</v>
      </c>
      <c r="D2471" s="291" t="s">
        <v>244</v>
      </c>
      <c r="E2471" s="302">
        <v>4.1280000000000001</v>
      </c>
      <c r="F2471" s="302">
        <v>4.7110000000000003</v>
      </c>
      <c r="G2471" s="302">
        <v>3.5852789999999999</v>
      </c>
      <c r="H2471" s="302">
        <v>5.4302919999999997</v>
      </c>
      <c r="I2471" s="287">
        <v>0.1366</v>
      </c>
      <c r="J2471" s="287">
        <v>0.11119999999999999</v>
      </c>
      <c r="K2471" s="286">
        <v>42.365107999999999</v>
      </c>
      <c r="L2471" s="332"/>
    </row>
    <row r="2472" spans="2:12">
      <c r="B2472" s="335">
        <v>12</v>
      </c>
      <c r="C2472" s="316"/>
      <c r="D2472" s="299" t="s">
        <v>245</v>
      </c>
      <c r="E2472" s="304">
        <v>4.133</v>
      </c>
      <c r="F2472" s="304">
        <v>4.7210000000000001</v>
      </c>
      <c r="G2472" s="304">
        <v>3.588543</v>
      </c>
      <c r="H2472" s="304">
        <v>5.4273009999999999</v>
      </c>
      <c r="I2472" s="301">
        <v>0.1366</v>
      </c>
      <c r="J2472" s="301">
        <v>0.1116</v>
      </c>
      <c r="K2472" s="300">
        <v>42.302866999999999</v>
      </c>
      <c r="L2472" s="321"/>
    </row>
    <row r="2473" spans="2:12">
      <c r="B2473" s="335">
        <v>13</v>
      </c>
      <c r="C2473" s="320"/>
      <c r="D2473" s="299" t="s">
        <v>227</v>
      </c>
      <c r="E2473" s="304">
        <v>4.133</v>
      </c>
      <c r="F2473" s="304">
        <v>4.7030000000000003</v>
      </c>
      <c r="G2473" s="304">
        <v>3.5748600000000001</v>
      </c>
      <c r="H2473" s="304">
        <v>5.4070790000000004</v>
      </c>
      <c r="I2473" s="301">
        <v>0.13650000000000001</v>
      </c>
      <c r="J2473" s="301">
        <v>0.11169999999999999</v>
      </c>
      <c r="K2473" s="300">
        <v>42.103850000000001</v>
      </c>
      <c r="L2473" s="321"/>
    </row>
    <row r="2474" spans="2:12">
      <c r="B2474" s="335">
        <v>14</v>
      </c>
      <c r="C2474" s="320"/>
      <c r="D2474" s="299" t="s">
        <v>228</v>
      </c>
      <c r="E2474" s="304">
        <v>4.1340000000000003</v>
      </c>
      <c r="F2474" s="304">
        <v>4.7229999999999999</v>
      </c>
      <c r="G2474" s="304">
        <v>3.589194</v>
      </c>
      <c r="H2474" s="304">
        <v>5.4259880000000003</v>
      </c>
      <c r="I2474" s="301">
        <v>0.1366</v>
      </c>
      <c r="J2474" s="301">
        <v>0.1118</v>
      </c>
      <c r="K2474" s="300">
        <v>42.245080999999999</v>
      </c>
      <c r="L2474" s="321"/>
    </row>
    <row r="2475" spans="2:12" ht="17.25" thickBot="1">
      <c r="B2475" s="336">
        <v>15</v>
      </c>
      <c r="C2475" s="323"/>
      <c r="D2475" s="293" t="s">
        <v>246</v>
      </c>
      <c r="E2475" s="371">
        <v>4.13</v>
      </c>
      <c r="F2475" s="371">
        <v>4.7069999999999999</v>
      </c>
      <c r="G2475" s="371">
        <v>3.5804999999999998</v>
      </c>
      <c r="H2475" s="371">
        <v>5.4215960000000001</v>
      </c>
      <c r="I2475" s="289">
        <v>0.1366</v>
      </c>
      <c r="J2475" s="289">
        <v>0.1115</v>
      </c>
      <c r="K2475" s="288">
        <v>42.215246999999998</v>
      </c>
      <c r="L2475" s="324"/>
    </row>
    <row r="2476" spans="2:12" ht="17.25" thickBot="1">
      <c r="B2476" s="337"/>
      <c r="C2476" s="326"/>
      <c r="D2476" s="327" t="s">
        <v>463</v>
      </c>
      <c r="E2476" s="328">
        <f>AVERAGE(E2471:E2475)</f>
        <v>4.1315999999999997</v>
      </c>
      <c r="F2476" s="328">
        <f t="shared" ref="F2476:K2476" si="710">AVERAGE(F2471:F2475)</f>
        <v>4.7130000000000001</v>
      </c>
      <c r="G2476" s="328">
        <f t="shared" si="710"/>
        <v>3.5836751999999996</v>
      </c>
      <c r="H2476" s="328">
        <f t="shared" si="710"/>
        <v>5.4224512000000002</v>
      </c>
      <c r="I2476" s="329">
        <f t="shared" si="710"/>
        <v>0.13658000000000001</v>
      </c>
      <c r="J2476" s="329">
        <f t="shared" si="710"/>
        <v>0.11156000000000002</v>
      </c>
      <c r="K2476" s="330">
        <f t="shared" si="710"/>
        <v>42.246430600000004</v>
      </c>
      <c r="L2476" s="331"/>
    </row>
    <row r="2477" spans="2:12">
      <c r="B2477" s="333">
        <v>16</v>
      </c>
      <c r="C2477" s="271" t="s">
        <v>589</v>
      </c>
      <c r="D2477" s="291" t="s">
        <v>247</v>
      </c>
      <c r="E2477" s="302"/>
      <c r="F2477" s="302"/>
      <c r="G2477" s="302"/>
      <c r="H2477" s="302"/>
      <c r="I2477" s="287"/>
      <c r="J2477" s="287"/>
      <c r="K2477" s="286"/>
      <c r="L2477" s="359"/>
    </row>
    <row r="2478" spans="2:12">
      <c r="B2478" s="335">
        <v>17</v>
      </c>
      <c r="C2478" s="320"/>
      <c r="D2478" s="299" t="s">
        <v>248</v>
      </c>
      <c r="E2478" s="304">
        <v>4.1289999999999996</v>
      </c>
      <c r="F2478" s="304">
        <v>4.6950000000000003</v>
      </c>
      <c r="G2478" s="304">
        <v>3.5722369999999999</v>
      </c>
      <c r="H2478" s="304">
        <v>5.401103</v>
      </c>
      <c r="I2478" s="301">
        <v>0.13669999999999999</v>
      </c>
      <c r="J2478" s="301">
        <v>0.11119999999999999</v>
      </c>
      <c r="K2478" s="300">
        <v>42.221223000000002</v>
      </c>
      <c r="L2478" s="321"/>
    </row>
    <row r="2479" spans="2:12">
      <c r="B2479" s="335">
        <v>18</v>
      </c>
      <c r="C2479" s="320"/>
      <c r="D2479" s="299" t="s">
        <v>232</v>
      </c>
      <c r="E2479" s="304">
        <v>4.1310000000000002</v>
      </c>
      <c r="F2479" s="304">
        <v>4.702</v>
      </c>
      <c r="G2479" s="304">
        <v>3.575831</v>
      </c>
      <c r="H2479" s="304">
        <v>5.4157830000000002</v>
      </c>
      <c r="I2479" s="301">
        <v>0.13669999999999999</v>
      </c>
      <c r="J2479" s="301">
        <v>0.1114</v>
      </c>
      <c r="K2479" s="300">
        <v>42.208258999999998</v>
      </c>
      <c r="L2479" s="321"/>
    </row>
    <row r="2480" spans="2:12">
      <c r="B2480" s="335">
        <v>19</v>
      </c>
      <c r="C2480" s="320"/>
      <c r="D2480" s="299" t="s">
        <v>233</v>
      </c>
      <c r="E2480" s="304">
        <v>4.13</v>
      </c>
      <c r="F2480" s="304">
        <v>4.7009999999999996</v>
      </c>
      <c r="G2480" s="304">
        <v>3.575936</v>
      </c>
      <c r="H2480" s="304">
        <v>5.4153130000000003</v>
      </c>
      <c r="I2480" s="301">
        <v>0.1366</v>
      </c>
      <c r="J2480" s="301">
        <v>0.1114</v>
      </c>
      <c r="K2480" s="300">
        <v>42.199281999999997</v>
      </c>
      <c r="L2480" s="321"/>
    </row>
    <row r="2481" spans="2:12" ht="17.25" thickBot="1">
      <c r="B2481" s="336">
        <v>20</v>
      </c>
      <c r="C2481" s="323"/>
      <c r="D2481" s="293" t="s">
        <v>249</v>
      </c>
      <c r="E2481" s="371">
        <v>4.1260000000000003</v>
      </c>
      <c r="F2481" s="371">
        <v>4.6920000000000002</v>
      </c>
      <c r="G2481" s="371">
        <v>3.5725500000000001</v>
      </c>
      <c r="H2481" s="371">
        <v>5.4009090000000004</v>
      </c>
      <c r="I2481" s="289">
        <v>0.13669999999999999</v>
      </c>
      <c r="J2481" s="289">
        <v>0.11119999999999999</v>
      </c>
      <c r="K2481" s="288">
        <v>42.194245000000002</v>
      </c>
      <c r="L2481" s="324"/>
    </row>
    <row r="2482" spans="2:12" ht="17.25" thickBot="1">
      <c r="B2482" s="337"/>
      <c r="C2482" s="326"/>
      <c r="D2482" s="327" t="s">
        <v>463</v>
      </c>
      <c r="E2482" s="328">
        <f>AVERAGE(E2477:E2481)</f>
        <v>4.1290000000000004</v>
      </c>
      <c r="F2482" s="328">
        <f t="shared" ref="F2482:K2482" si="711">AVERAGE(F2477:F2481)</f>
        <v>4.6974999999999998</v>
      </c>
      <c r="G2482" s="328">
        <f t="shared" si="711"/>
        <v>3.5741385000000001</v>
      </c>
      <c r="H2482" s="328">
        <f t="shared" si="711"/>
        <v>5.408277</v>
      </c>
      <c r="I2482" s="329">
        <f t="shared" si="711"/>
        <v>0.13667499999999999</v>
      </c>
      <c r="J2482" s="329">
        <f t="shared" si="711"/>
        <v>0.11129999999999998</v>
      </c>
      <c r="K2482" s="328">
        <f t="shared" si="711"/>
        <v>42.205752250000003</v>
      </c>
      <c r="L2482" s="331"/>
    </row>
    <row r="2483" spans="2:12">
      <c r="B2483" s="333">
        <v>21</v>
      </c>
      <c r="C2483" s="271" t="s">
        <v>589</v>
      </c>
      <c r="D2483" s="291" t="s">
        <v>250</v>
      </c>
      <c r="E2483" s="302">
        <v>4.1189999999999998</v>
      </c>
      <c r="F2483" s="302">
        <v>4.6890000000000001</v>
      </c>
      <c r="G2483" s="302">
        <v>3.576333</v>
      </c>
      <c r="H2483" s="302">
        <v>5.4246939999999997</v>
      </c>
      <c r="I2483" s="287">
        <v>0.13689999999999999</v>
      </c>
      <c r="J2483" s="287">
        <v>0.1106</v>
      </c>
      <c r="K2483" s="286">
        <v>42.396022000000002</v>
      </c>
      <c r="L2483" s="332"/>
    </row>
    <row r="2484" spans="2:12">
      <c r="B2484" s="335">
        <v>22</v>
      </c>
      <c r="C2484" s="320"/>
      <c r="D2484" s="299" t="s">
        <v>251</v>
      </c>
      <c r="E2484" s="304">
        <v>4.1239999999999997</v>
      </c>
      <c r="F2484" s="304">
        <v>4.6920000000000002</v>
      </c>
      <c r="G2484" s="304">
        <v>3.5742820000000002</v>
      </c>
      <c r="H2484" s="304">
        <v>5.408201</v>
      </c>
      <c r="I2484" s="301">
        <v>0.1368</v>
      </c>
      <c r="J2484" s="301">
        <v>0.111</v>
      </c>
      <c r="K2484" s="300">
        <v>42.270269999999996</v>
      </c>
      <c r="L2484" s="321"/>
    </row>
    <row r="2485" spans="2:12">
      <c r="B2485" s="335">
        <v>23</v>
      </c>
      <c r="C2485" s="320"/>
      <c r="D2485" s="299" t="s">
        <v>237</v>
      </c>
      <c r="E2485" s="304">
        <v>4.1260000000000003</v>
      </c>
      <c r="F2485" s="304">
        <v>4.6980000000000004</v>
      </c>
      <c r="G2485" s="304">
        <v>3.577118</v>
      </c>
      <c r="H2485" s="304">
        <v>5.4099709999999996</v>
      </c>
      <c r="I2485" s="301">
        <v>0.13669999999999999</v>
      </c>
      <c r="J2485" s="301">
        <v>0.1111</v>
      </c>
      <c r="K2485" s="300">
        <v>42.286228999999999</v>
      </c>
      <c r="L2485" s="321"/>
    </row>
    <row r="2486" spans="2:12">
      <c r="B2486" s="335">
        <v>24</v>
      </c>
      <c r="C2486" s="320"/>
      <c r="D2486" s="299" t="s">
        <v>238</v>
      </c>
      <c r="E2486" s="304">
        <v>4.1260000000000003</v>
      </c>
      <c r="F2486" s="304">
        <v>4.6989999999999998</v>
      </c>
      <c r="G2486" s="304">
        <v>3.5778799999999999</v>
      </c>
      <c r="H2486" s="304">
        <v>5.4158580000000001</v>
      </c>
      <c r="I2486" s="301">
        <v>0.1368</v>
      </c>
      <c r="J2486" s="301">
        <v>0.11119999999999999</v>
      </c>
      <c r="K2486" s="300">
        <v>42.257193999999998</v>
      </c>
      <c r="L2486" s="321"/>
    </row>
    <row r="2487" spans="2:12" ht="17.25" thickBot="1">
      <c r="B2487" s="336">
        <v>25</v>
      </c>
      <c r="C2487" s="323"/>
      <c r="D2487" s="293" t="s">
        <v>252</v>
      </c>
      <c r="E2487" s="371">
        <v>4.1219999999999999</v>
      </c>
      <c r="F2487" s="371">
        <v>4.694</v>
      </c>
      <c r="G2487" s="371">
        <v>3.5775410000000001</v>
      </c>
      <c r="H2487" s="371">
        <v>5.4174110000000004</v>
      </c>
      <c r="I2487" s="289">
        <v>0.1368</v>
      </c>
      <c r="J2487" s="289">
        <v>0.1109</v>
      </c>
      <c r="K2487" s="288">
        <v>42.326419999999999</v>
      </c>
      <c r="L2487" s="324"/>
    </row>
    <row r="2488" spans="2:12" ht="17.25" thickBot="1">
      <c r="B2488" s="339" t="s">
        <v>455</v>
      </c>
      <c r="C2488" s="340"/>
      <c r="D2488" s="341" t="s">
        <v>465</v>
      </c>
      <c r="E2488" s="342">
        <f>AVERAGE(E2483:E2487)</f>
        <v>4.1234000000000002</v>
      </c>
      <c r="F2488" s="342">
        <f t="shared" ref="F2488:K2488" si="712">AVERAGE(F2483:F2487)</f>
        <v>4.6943999999999999</v>
      </c>
      <c r="G2488" s="342">
        <f t="shared" si="712"/>
        <v>3.5766308000000002</v>
      </c>
      <c r="H2488" s="342">
        <f t="shared" si="712"/>
        <v>5.4152269999999998</v>
      </c>
      <c r="I2488" s="343">
        <f t="shared" si="712"/>
        <v>0.1368</v>
      </c>
      <c r="J2488" s="343">
        <f t="shared" si="712"/>
        <v>0.11095999999999999</v>
      </c>
      <c r="K2488" s="342">
        <f t="shared" si="712"/>
        <v>42.307226999999997</v>
      </c>
      <c r="L2488" s="344"/>
    </row>
    <row r="2489" spans="2:12">
      <c r="B2489" s="333"/>
      <c r="C2489" s="345"/>
      <c r="D2489" s="291" t="s">
        <v>458</v>
      </c>
      <c r="E2489" s="346">
        <f>MEDIAN(E2459:E2463,E2465:E2469,E2471:E2475,E2477:E2481,E2483:E2487)</f>
        <v>4.13</v>
      </c>
      <c r="F2489" s="346">
        <f t="shared" ref="F2489:K2489" si="713">MEDIAN(F2459:F2463,F2465:F2469,F2471:F2475,F2477:F2481,F2483:F2487)</f>
        <v>4.7025000000000006</v>
      </c>
      <c r="G2489" s="346">
        <f t="shared" si="713"/>
        <v>3.5777105000000002</v>
      </c>
      <c r="H2489" s="346">
        <f t="shared" si="713"/>
        <v>5.4188755000000004</v>
      </c>
      <c r="I2489" s="347">
        <f t="shared" si="713"/>
        <v>0.13669999999999999</v>
      </c>
      <c r="J2489" s="347">
        <f t="shared" si="713"/>
        <v>0.11119999999999999</v>
      </c>
      <c r="K2489" s="348">
        <f t="shared" si="713"/>
        <v>42.286228999999999</v>
      </c>
      <c r="L2489" s="332"/>
    </row>
    <row r="2490" spans="2:12">
      <c r="B2490" s="335"/>
      <c r="C2490" s="320"/>
      <c r="D2490" s="299" t="s">
        <v>457</v>
      </c>
      <c r="E2490" s="349">
        <f>AVERAGE(E2459:E2463,E2465:E2469,E2471:E2475,E2477:E2481,E2483:E2487)</f>
        <v>4.1294583333333339</v>
      </c>
      <c r="F2490" s="349">
        <f t="shared" ref="F2490:K2490" si="714">AVERAGE(F2459:F2463,F2465:F2469,F2471:F2475,F2477:F2481,F2483:F2487)</f>
        <v>4.7084999999999999</v>
      </c>
      <c r="G2490" s="349">
        <f t="shared" si="714"/>
        <v>3.5821056666666666</v>
      </c>
      <c r="H2490" s="349">
        <f t="shared" si="714"/>
        <v>5.4242840000000001</v>
      </c>
      <c r="I2490" s="350">
        <f t="shared" si="714"/>
        <v>0.13669166666666666</v>
      </c>
      <c r="J2490" s="350">
        <f t="shared" si="714"/>
        <v>0.11123749999999999</v>
      </c>
      <c r="K2490" s="351">
        <f t="shared" si="714"/>
        <v>42.328522833333338</v>
      </c>
      <c r="L2490" s="321"/>
    </row>
    <row r="2491" spans="2:12">
      <c r="B2491" s="335"/>
      <c r="C2491" s="320"/>
      <c r="D2491" s="299" t="s">
        <v>199</v>
      </c>
      <c r="E2491" s="349">
        <f>MAX(E2459:E2463,E2465:E2469,E2471:E2475,E2477:E2481,E2483:E2487)</f>
        <v>4.1360000000000001</v>
      </c>
      <c r="F2491" s="349">
        <f t="shared" ref="F2491:K2491" si="715">MAX(F2459:F2463,F2465:F2469,F2471:F2475,F2477:F2481,F2483:F2487)</f>
        <v>4.7389999999999999</v>
      </c>
      <c r="G2491" s="349">
        <f t="shared" si="715"/>
        <v>3.6039690000000002</v>
      </c>
      <c r="H2491" s="349">
        <f t="shared" si="715"/>
        <v>5.4616030000000002</v>
      </c>
      <c r="I2491" s="350">
        <f t="shared" si="715"/>
        <v>0.13689999999999999</v>
      </c>
      <c r="J2491" s="350">
        <f t="shared" si="715"/>
        <v>0.1118</v>
      </c>
      <c r="K2491" s="351">
        <f t="shared" si="715"/>
        <v>42.655265999999997</v>
      </c>
      <c r="L2491" s="321"/>
    </row>
    <row r="2492" spans="2:12">
      <c r="B2492" s="335"/>
      <c r="C2492" s="320"/>
      <c r="D2492" s="299" t="s">
        <v>200</v>
      </c>
      <c r="E2492" s="349">
        <f>MIN(E2459:E2463,E2465:E2469,E2471:E2475,E2477:E2481,E2483:E2487)</f>
        <v>4.1189999999999998</v>
      </c>
      <c r="F2492" s="349">
        <f t="shared" ref="F2492:K2492" si="716">MIN(F2459:F2463,F2465:F2469,F2471:F2475,F2477:F2481,F2483:F2487)</f>
        <v>4.6890000000000001</v>
      </c>
      <c r="G2492" s="349">
        <f t="shared" si="716"/>
        <v>3.5722369999999999</v>
      </c>
      <c r="H2492" s="349">
        <f t="shared" si="716"/>
        <v>5.4009090000000004</v>
      </c>
      <c r="I2492" s="350">
        <f t="shared" si="716"/>
        <v>0.13650000000000001</v>
      </c>
      <c r="J2492" s="350">
        <f t="shared" si="716"/>
        <v>0.1106</v>
      </c>
      <c r="K2492" s="351">
        <f t="shared" si="716"/>
        <v>42.103850000000001</v>
      </c>
      <c r="L2492" s="321"/>
    </row>
    <row r="2493" spans="2:12">
      <c r="B2493" s="335"/>
      <c r="C2493" s="320"/>
      <c r="D2493" s="299" t="s">
        <v>201</v>
      </c>
      <c r="E2493" s="349">
        <f>E2491-E2492</f>
        <v>1.7000000000000348E-2</v>
      </c>
      <c r="F2493" s="349">
        <f t="shared" ref="F2493:K2493" si="717">F2491-F2492</f>
        <v>4.9999999999999822E-2</v>
      </c>
      <c r="G2493" s="349">
        <f t="shared" si="717"/>
        <v>3.1732000000000316E-2</v>
      </c>
      <c r="H2493" s="349">
        <f t="shared" si="717"/>
        <v>6.0693999999999804E-2</v>
      </c>
      <c r="I2493" s="350">
        <f t="shared" si="717"/>
        <v>3.999999999999837E-4</v>
      </c>
      <c r="J2493" s="350">
        <f t="shared" si="717"/>
        <v>1.1999999999999927E-3</v>
      </c>
      <c r="K2493" s="349">
        <f t="shared" si="717"/>
        <v>0.55141599999999613</v>
      </c>
      <c r="L2493" s="321"/>
    </row>
    <row r="2494" spans="2:12" ht="17.25" thickBot="1">
      <c r="B2494" s="336"/>
      <c r="C2494" s="323"/>
      <c r="D2494" s="293" t="s">
        <v>202</v>
      </c>
      <c r="E2494" s="352">
        <f>STDEVA(E2459:E2463,E2465:E2469,E2471:E2475,E2477:E2481,E2483:E2487)</f>
        <v>4.1804843350218002E-3</v>
      </c>
      <c r="F2494" s="352">
        <f t="shared" ref="F2494:K2494" si="718">STDEVA(F2459:F2463,F2465:F2469,F2471:F2475,F2477:F2481,F2483:F2487)</f>
        <v>1.5171483547876171E-2</v>
      </c>
      <c r="G2494" s="352">
        <f t="shared" si="718"/>
        <v>9.0898944063636244E-3</v>
      </c>
      <c r="H2494" s="352">
        <f t="shared" si="718"/>
        <v>1.7828309090978805E-2</v>
      </c>
      <c r="I2494" s="353">
        <f t="shared" si="718"/>
        <v>1.0179547554080928E-4</v>
      </c>
      <c r="J2494" s="353">
        <f t="shared" si="718"/>
        <v>2.7945988278634204E-4</v>
      </c>
      <c r="K2494" s="352">
        <f t="shared" si="718"/>
        <v>0.14980353024825752</v>
      </c>
      <c r="L2494" s="324"/>
    </row>
    <row r="2496" spans="2:12">
      <c r="B2496" s="240" t="s">
        <v>594</v>
      </c>
      <c r="C2496" s="240"/>
      <c r="E2496" s="240"/>
      <c r="F2496" s="240"/>
      <c r="G2496" s="240"/>
      <c r="H2496" s="240"/>
      <c r="I2496" s="240"/>
      <c r="J2496" s="240"/>
      <c r="K2496" s="240"/>
    </row>
    <row r="2497" spans="2:12" ht="17.25" thickBot="1">
      <c r="B2497" s="240" t="s">
        <v>452</v>
      </c>
      <c r="C2497" s="240"/>
      <c r="E2497" s="240"/>
      <c r="F2497" s="240"/>
      <c r="G2497" s="240"/>
      <c r="H2497" s="240"/>
      <c r="I2497" s="240"/>
      <c r="J2497" s="240"/>
      <c r="K2497" s="240"/>
    </row>
    <row r="2498" spans="2:12" ht="17.25" thickBot="1">
      <c r="B2498" s="313" t="s">
        <v>11</v>
      </c>
      <c r="C2498" s="250" t="s">
        <v>0</v>
      </c>
      <c r="D2498" s="250" t="s">
        <v>1</v>
      </c>
      <c r="E2498" s="250" t="s">
        <v>2</v>
      </c>
      <c r="F2498" s="250" t="s">
        <v>3</v>
      </c>
      <c r="G2498" s="250" t="s">
        <v>192</v>
      </c>
      <c r="H2498" s="250" t="s">
        <v>16</v>
      </c>
      <c r="I2498" s="250" t="s">
        <v>6</v>
      </c>
      <c r="J2498" s="251" t="s">
        <v>7</v>
      </c>
      <c r="K2498" s="252" t="s">
        <v>8</v>
      </c>
      <c r="L2498" s="254" t="s">
        <v>439</v>
      </c>
    </row>
    <row r="2499" spans="2:12">
      <c r="B2499" s="314">
        <v>1</v>
      </c>
      <c r="C2499" s="271" t="s">
        <v>389</v>
      </c>
      <c r="D2499" s="291" t="s">
        <v>213</v>
      </c>
      <c r="E2499" s="302">
        <v>3.9929999999999999</v>
      </c>
      <c r="F2499" s="302">
        <v>4.952</v>
      </c>
      <c r="G2499" s="302">
        <v>3.8961070000000002</v>
      </c>
      <c r="H2499" s="364">
        <v>5.888541</v>
      </c>
      <c r="I2499" s="287">
        <v>0.13750000000000001</v>
      </c>
      <c r="J2499" s="287">
        <v>0.1061</v>
      </c>
      <c r="K2499" s="286">
        <v>46.67295</v>
      </c>
      <c r="L2499" s="275"/>
    </row>
    <row r="2500" spans="2:12">
      <c r="B2500" s="315">
        <v>2</v>
      </c>
      <c r="C2500" s="316"/>
      <c r="D2500" s="299" t="s">
        <v>214</v>
      </c>
      <c r="E2500" s="304">
        <v>3.9980000000000002</v>
      </c>
      <c r="F2500" s="304">
        <v>4.968</v>
      </c>
      <c r="G2500" s="304">
        <v>3.903807</v>
      </c>
      <c r="H2500" s="370">
        <v>5.9047960000000002</v>
      </c>
      <c r="I2500" s="301">
        <v>0.13739999999999999</v>
      </c>
      <c r="J2500" s="301">
        <v>0.10639999999999999</v>
      </c>
      <c r="K2500" s="300">
        <v>46.691729000000002</v>
      </c>
      <c r="L2500" s="319"/>
    </row>
    <row r="2501" spans="2:12">
      <c r="B2501" s="315">
        <v>3</v>
      </c>
      <c r="C2501" s="320"/>
      <c r="D2501" s="299" t="s">
        <v>217</v>
      </c>
      <c r="E2501" s="304">
        <v>4.0010000000000003</v>
      </c>
      <c r="F2501" s="304">
        <v>4.9790000000000001</v>
      </c>
      <c r="G2501" s="304">
        <v>3.9095170000000001</v>
      </c>
      <c r="H2501" s="370">
        <v>5.8953759999999997</v>
      </c>
      <c r="I2501" s="301">
        <v>0.13730000000000001</v>
      </c>
      <c r="J2501" s="301">
        <v>0.1066</v>
      </c>
      <c r="K2501" s="300">
        <v>46.707317000000003</v>
      </c>
      <c r="L2501" s="356"/>
    </row>
    <row r="2502" spans="2:12">
      <c r="B2502" s="315">
        <v>4</v>
      </c>
      <c r="C2502" s="320"/>
      <c r="D2502" s="299" t="s">
        <v>218</v>
      </c>
      <c r="E2502" s="304">
        <v>4.0030000000000001</v>
      </c>
      <c r="F2502" s="304">
        <v>4.984</v>
      </c>
      <c r="G2502" s="304">
        <v>3.9114879999999999</v>
      </c>
      <c r="H2502" s="370">
        <v>5.9131229999999997</v>
      </c>
      <c r="I2502" s="301">
        <v>0.13719999999999999</v>
      </c>
      <c r="J2502" s="301">
        <v>0.1065</v>
      </c>
      <c r="K2502" s="300">
        <v>46.798121999999999</v>
      </c>
      <c r="L2502" s="356"/>
    </row>
    <row r="2503" spans="2:12" ht="17.25" thickBot="1">
      <c r="B2503" s="322">
        <v>5</v>
      </c>
      <c r="C2503" s="323"/>
      <c r="D2503" s="293" t="s">
        <v>240</v>
      </c>
      <c r="E2503" s="371">
        <v>4.0010000000000003</v>
      </c>
      <c r="F2503" s="371">
        <v>4.9820000000000002</v>
      </c>
      <c r="G2503" s="371">
        <v>3.9118719999999998</v>
      </c>
      <c r="H2503" s="372">
        <v>5.9242480000000004</v>
      </c>
      <c r="I2503" s="289">
        <v>0.13730000000000001</v>
      </c>
      <c r="J2503" s="289">
        <v>0.10630000000000001</v>
      </c>
      <c r="K2503" s="288">
        <v>46.867356999999998</v>
      </c>
      <c r="L2503" s="324"/>
    </row>
    <row r="2504" spans="2:12" ht="17.25" thickBot="1">
      <c r="B2504" s="325"/>
      <c r="C2504" s="326"/>
      <c r="D2504" s="327" t="s">
        <v>463</v>
      </c>
      <c r="E2504" s="328">
        <f>AVERAGE(E2499:E2503)</f>
        <v>3.9992000000000005</v>
      </c>
      <c r="F2504" s="328">
        <f t="shared" ref="F2504:K2504" si="719">AVERAGE(F2499:F2503)</f>
        <v>4.9730000000000008</v>
      </c>
      <c r="G2504" s="328">
        <f t="shared" si="719"/>
        <v>3.9065582000000001</v>
      </c>
      <c r="H2504" s="373">
        <f t="shared" si="719"/>
        <v>5.9052167999999998</v>
      </c>
      <c r="I2504" s="329">
        <f t="shared" si="719"/>
        <v>0.13733999999999999</v>
      </c>
      <c r="J2504" s="329">
        <f t="shared" si="719"/>
        <v>0.10638</v>
      </c>
      <c r="K2504" s="330">
        <f t="shared" si="719"/>
        <v>46.747495000000001</v>
      </c>
      <c r="L2504" s="331"/>
    </row>
    <row r="2505" spans="2:12">
      <c r="B2505" s="314">
        <v>6</v>
      </c>
      <c r="C2505" s="271" t="s">
        <v>596</v>
      </c>
      <c r="D2505" s="291" t="s">
        <v>241</v>
      </c>
      <c r="E2505" s="302">
        <v>3.99</v>
      </c>
      <c r="F2505" s="302">
        <v>4.9169999999999998</v>
      </c>
      <c r="G2505" s="302">
        <v>3.8714780000000002</v>
      </c>
      <c r="H2505" s="364">
        <v>5.8508100000000001</v>
      </c>
      <c r="I2505" s="287">
        <v>0.13769999999999999</v>
      </c>
      <c r="J2505" s="287">
        <v>0.10589999999999999</v>
      </c>
      <c r="K2505" s="286">
        <v>46.430594999999997</v>
      </c>
      <c r="L2505" s="332"/>
    </row>
    <row r="2506" spans="2:12">
      <c r="B2506" s="315">
        <v>7</v>
      </c>
      <c r="C2506" s="320"/>
      <c r="D2506" s="299" t="s">
        <v>242</v>
      </c>
      <c r="E2506" s="304">
        <v>3.996</v>
      </c>
      <c r="F2506" s="304">
        <v>4.93</v>
      </c>
      <c r="G2506" s="304">
        <v>3.8758859999999999</v>
      </c>
      <c r="H2506" s="370">
        <v>5.851521</v>
      </c>
      <c r="I2506" s="301">
        <v>0.13750000000000001</v>
      </c>
      <c r="J2506" s="301">
        <v>0.1062</v>
      </c>
      <c r="K2506" s="300">
        <v>46.421846000000002</v>
      </c>
      <c r="L2506" s="321"/>
    </row>
    <row r="2507" spans="2:12">
      <c r="B2507" s="315">
        <v>8</v>
      </c>
      <c r="C2507" s="320"/>
      <c r="D2507" s="299" t="s">
        <v>222</v>
      </c>
      <c r="E2507" s="304">
        <v>3.9990000000000001</v>
      </c>
      <c r="F2507" s="304">
        <v>4.9370000000000003</v>
      </c>
      <c r="G2507" s="304">
        <v>3.8784770000000002</v>
      </c>
      <c r="H2507" s="370">
        <v>5.8655379999999999</v>
      </c>
      <c r="I2507" s="301">
        <v>0.13739999999999999</v>
      </c>
      <c r="J2507" s="301">
        <v>0.10630000000000001</v>
      </c>
      <c r="K2507" s="300">
        <v>46.444026000000001</v>
      </c>
      <c r="L2507" s="321"/>
    </row>
    <row r="2508" spans="2:12">
      <c r="B2508" s="315">
        <v>9</v>
      </c>
      <c r="C2508" s="320"/>
      <c r="D2508" s="299" t="s">
        <v>223</v>
      </c>
      <c r="E2508" s="304">
        <v>3.9990000000000001</v>
      </c>
      <c r="F2508" s="304">
        <v>4.9340000000000002</v>
      </c>
      <c r="G2508" s="304">
        <v>3.8761199999999998</v>
      </c>
      <c r="H2508" s="370">
        <v>5.8502939999999999</v>
      </c>
      <c r="I2508" s="301">
        <v>0.13739999999999999</v>
      </c>
      <c r="J2508" s="301">
        <v>0.10630000000000001</v>
      </c>
      <c r="K2508" s="300">
        <v>46.415804000000001</v>
      </c>
      <c r="L2508" s="321"/>
    </row>
    <row r="2509" spans="2:12" ht="17.25" thickBot="1">
      <c r="B2509" s="322">
        <v>10</v>
      </c>
      <c r="C2509" s="323"/>
      <c r="D2509" s="293" t="s">
        <v>243</v>
      </c>
      <c r="E2509" s="371">
        <v>3.9950000000000001</v>
      </c>
      <c r="F2509" s="371">
        <v>4.9340000000000002</v>
      </c>
      <c r="G2509" s="371">
        <v>3.880001</v>
      </c>
      <c r="H2509" s="372">
        <v>5.8710459999999998</v>
      </c>
      <c r="I2509" s="289">
        <v>0.13750000000000001</v>
      </c>
      <c r="J2509" s="289">
        <v>0.1061</v>
      </c>
      <c r="K2509" s="288">
        <v>46.503298999999998</v>
      </c>
      <c r="L2509" s="324"/>
    </row>
    <row r="2510" spans="2:12" ht="17.25" thickBot="1">
      <c r="B2510" s="325" t="s">
        <v>455</v>
      </c>
      <c r="C2510" s="326"/>
      <c r="D2510" s="327" t="s">
        <v>463</v>
      </c>
      <c r="E2510" s="328">
        <f t="shared" ref="E2510:K2510" si="720">AVERAGE(E2505:E2509)</f>
        <v>3.9958000000000005</v>
      </c>
      <c r="F2510" s="328">
        <f t="shared" si="720"/>
        <v>4.9304000000000006</v>
      </c>
      <c r="G2510" s="328">
        <f t="shared" si="720"/>
        <v>3.8763924000000003</v>
      </c>
      <c r="H2510" s="373">
        <f t="shared" si="720"/>
        <v>5.8578418000000001</v>
      </c>
      <c r="I2510" s="329">
        <f t="shared" si="720"/>
        <v>0.13750000000000001</v>
      </c>
      <c r="J2510" s="329">
        <f t="shared" si="720"/>
        <v>0.10616</v>
      </c>
      <c r="K2510" s="330">
        <f t="shared" si="720"/>
        <v>46.443114000000001</v>
      </c>
      <c r="L2510" s="331"/>
    </row>
    <row r="2511" spans="2:12">
      <c r="B2511" s="333">
        <v>11</v>
      </c>
      <c r="C2511" s="271" t="s">
        <v>389</v>
      </c>
      <c r="D2511" s="291" t="s">
        <v>244</v>
      </c>
      <c r="E2511" s="302">
        <v>3.99</v>
      </c>
      <c r="F2511" s="302">
        <v>4.9420000000000002</v>
      </c>
      <c r="G2511" s="302">
        <v>3.891162</v>
      </c>
      <c r="H2511" s="302">
        <v>5.8568389999999999</v>
      </c>
      <c r="I2511" s="287">
        <v>0.13739999999999999</v>
      </c>
      <c r="J2511" s="287">
        <v>0.10639999999999999</v>
      </c>
      <c r="K2511" s="286">
        <v>46.447367999999997</v>
      </c>
      <c r="L2511" s="332"/>
    </row>
    <row r="2512" spans="2:12">
      <c r="B2512" s="335">
        <v>12</v>
      </c>
      <c r="C2512" s="316"/>
      <c r="D2512" s="299" t="s">
        <v>245</v>
      </c>
      <c r="E2512" s="304">
        <v>3.9969999999999999</v>
      </c>
      <c r="F2512" s="304">
        <v>4.9569999999999999</v>
      </c>
      <c r="G2512" s="304">
        <v>3.8961380000000001</v>
      </c>
      <c r="H2512" s="304">
        <v>5.8768630000000002</v>
      </c>
      <c r="I2512" s="301">
        <v>0.13730000000000001</v>
      </c>
      <c r="J2512" s="301">
        <v>0.10680000000000001</v>
      </c>
      <c r="K2512" s="300">
        <v>46.413857999999998</v>
      </c>
      <c r="L2512" s="321"/>
    </row>
    <row r="2513" spans="2:12">
      <c r="B2513" s="335">
        <v>13</v>
      </c>
      <c r="C2513" s="320"/>
      <c r="D2513" s="299" t="s">
        <v>227</v>
      </c>
      <c r="E2513" s="304">
        <v>3.9929999999999999</v>
      </c>
      <c r="F2513" s="304">
        <v>4.8440000000000003</v>
      </c>
      <c r="G2513" s="304">
        <v>3.8111350000000002</v>
      </c>
      <c r="H2513" s="304">
        <v>5.7260970000000002</v>
      </c>
      <c r="I2513" s="301">
        <v>0.13719999999999999</v>
      </c>
      <c r="J2513" s="301">
        <v>0.107</v>
      </c>
      <c r="K2513" s="300">
        <v>45.271028000000001</v>
      </c>
      <c r="L2513" s="321"/>
    </row>
    <row r="2514" spans="2:12">
      <c r="B2514" s="335">
        <v>14</v>
      </c>
      <c r="C2514" s="320"/>
      <c r="D2514" s="299" t="s">
        <v>228</v>
      </c>
      <c r="E2514" s="304">
        <v>3.9990000000000001</v>
      </c>
      <c r="F2514" s="304">
        <v>4.9619999999999997</v>
      </c>
      <c r="G2514" s="304">
        <v>3.8981170000000001</v>
      </c>
      <c r="H2514" s="304">
        <v>5.8766660000000002</v>
      </c>
      <c r="I2514" s="301">
        <v>0.1371</v>
      </c>
      <c r="J2514" s="301">
        <v>0.1069</v>
      </c>
      <c r="K2514" s="300">
        <v>46.417211999999999</v>
      </c>
      <c r="L2514" s="321"/>
    </row>
    <row r="2515" spans="2:12" ht="17.25" thickBot="1">
      <c r="B2515" s="336">
        <v>15</v>
      </c>
      <c r="C2515" s="323"/>
      <c r="D2515" s="293" t="s">
        <v>246</v>
      </c>
      <c r="E2515" s="371">
        <v>3.996</v>
      </c>
      <c r="F2515" s="371">
        <v>4.9610000000000003</v>
      </c>
      <c r="G2515" s="371">
        <v>3.9002569999999999</v>
      </c>
      <c r="H2515" s="371">
        <v>5.8796489999999997</v>
      </c>
      <c r="I2515" s="289">
        <v>0.13719999999999999</v>
      </c>
      <c r="J2515" s="289">
        <v>0.1067</v>
      </c>
      <c r="K2515" s="288">
        <v>46.494844999999998</v>
      </c>
      <c r="L2515" s="324"/>
    </row>
    <row r="2516" spans="2:12" ht="17.25" thickBot="1">
      <c r="B2516" s="337"/>
      <c r="C2516" s="326"/>
      <c r="D2516" s="327" t="s">
        <v>463</v>
      </c>
      <c r="E2516" s="328">
        <f>AVERAGE(E2511:E2515)</f>
        <v>3.9950000000000001</v>
      </c>
      <c r="F2516" s="328">
        <f t="shared" ref="F2516:K2516" si="721">AVERAGE(F2511:F2515)</f>
        <v>4.9332000000000011</v>
      </c>
      <c r="G2516" s="328">
        <f t="shared" si="721"/>
        <v>3.8793618000000003</v>
      </c>
      <c r="H2516" s="328">
        <f t="shared" si="721"/>
        <v>5.8432228000000004</v>
      </c>
      <c r="I2516" s="329">
        <f t="shared" si="721"/>
        <v>0.13723999999999997</v>
      </c>
      <c r="J2516" s="329">
        <f t="shared" si="721"/>
        <v>0.10675999999999999</v>
      </c>
      <c r="K2516" s="330">
        <f t="shared" si="721"/>
        <v>46.208862199999999</v>
      </c>
      <c r="L2516" s="331"/>
    </row>
    <row r="2517" spans="2:12">
      <c r="B2517" s="333">
        <v>16</v>
      </c>
      <c r="C2517" s="271" t="s">
        <v>595</v>
      </c>
      <c r="D2517" s="291" t="s">
        <v>247</v>
      </c>
      <c r="E2517" s="302">
        <v>3.9910000000000001</v>
      </c>
      <c r="F2517" s="302">
        <v>4.9180000000000001</v>
      </c>
      <c r="G2517" s="302">
        <v>3.8712949999999999</v>
      </c>
      <c r="H2517" s="302">
        <v>5.8537179999999998</v>
      </c>
      <c r="I2517" s="287">
        <v>0.1376</v>
      </c>
      <c r="J2517" s="287">
        <v>0.10589999999999999</v>
      </c>
      <c r="K2517" s="286">
        <v>46.440038000000001</v>
      </c>
      <c r="L2517" s="359"/>
    </row>
    <row r="2518" spans="2:12">
      <c r="B2518" s="335">
        <v>17</v>
      </c>
      <c r="C2518" s="320"/>
      <c r="D2518" s="299" t="s">
        <v>248</v>
      </c>
      <c r="E2518" s="304">
        <v>3.996</v>
      </c>
      <c r="F2518" s="304">
        <v>4.9290000000000003</v>
      </c>
      <c r="G2518" s="304">
        <v>3.8750990000000001</v>
      </c>
      <c r="H2518" s="304">
        <v>5.8497870000000001</v>
      </c>
      <c r="I2518" s="301">
        <v>0.13739999999999999</v>
      </c>
      <c r="J2518" s="301">
        <v>0.10630000000000001</v>
      </c>
      <c r="K2518" s="300">
        <v>46.368768000000003</v>
      </c>
      <c r="L2518" s="321"/>
    </row>
    <row r="2519" spans="2:12">
      <c r="B2519" s="335">
        <v>18</v>
      </c>
      <c r="C2519" s="320"/>
      <c r="D2519" s="299" t="s">
        <v>232</v>
      </c>
      <c r="E2519" s="304">
        <v>3.9990000000000001</v>
      </c>
      <c r="F2519" s="304">
        <v>4.9390000000000001</v>
      </c>
      <c r="G2519" s="304">
        <v>3.8800479999999999</v>
      </c>
      <c r="H2519" s="304">
        <v>5.8482459999999996</v>
      </c>
      <c r="I2519" s="301">
        <v>0.13739999999999999</v>
      </c>
      <c r="J2519" s="301">
        <v>0.1065</v>
      </c>
      <c r="K2519" s="300">
        <v>46.375587000000003</v>
      </c>
      <c r="L2519" s="321"/>
    </row>
    <row r="2520" spans="2:12">
      <c r="B2520" s="335">
        <v>19</v>
      </c>
      <c r="C2520" s="320"/>
      <c r="D2520" s="299" t="s">
        <v>233</v>
      </c>
      <c r="E2520" s="304">
        <v>3.9980000000000002</v>
      </c>
      <c r="F2520" s="304">
        <v>4.9379999999999997</v>
      </c>
      <c r="G2520" s="304">
        <v>3.880233</v>
      </c>
      <c r="H2520" s="304">
        <v>5.8565379999999996</v>
      </c>
      <c r="I2520" s="301">
        <v>0.13730000000000001</v>
      </c>
      <c r="J2520" s="301">
        <v>0.10639999999999999</v>
      </c>
      <c r="K2520" s="300">
        <v>46.409773999999999</v>
      </c>
      <c r="L2520" s="321"/>
    </row>
    <row r="2521" spans="2:12" ht="17.25" thickBot="1">
      <c r="B2521" s="336">
        <v>20</v>
      </c>
      <c r="C2521" s="323"/>
      <c r="D2521" s="293" t="s">
        <v>249</v>
      </c>
      <c r="E2521" s="371">
        <v>3.9950000000000001</v>
      </c>
      <c r="F2521" s="371">
        <v>4.9370000000000003</v>
      </c>
      <c r="G2521" s="371">
        <v>3.8823599999999998</v>
      </c>
      <c r="H2521" s="371">
        <v>5.8677739999999998</v>
      </c>
      <c r="I2521" s="289">
        <v>0.13739999999999999</v>
      </c>
      <c r="J2521" s="289">
        <v>0.1062</v>
      </c>
      <c r="K2521" s="288">
        <v>46.487758999999997</v>
      </c>
      <c r="L2521" s="324"/>
    </row>
    <row r="2522" spans="2:12" ht="17.25" thickBot="1">
      <c r="B2522" s="337"/>
      <c r="C2522" s="326"/>
      <c r="D2522" s="327" t="s">
        <v>463</v>
      </c>
      <c r="E2522" s="328">
        <f>AVERAGE(E2517:E2521)</f>
        <v>3.9958000000000005</v>
      </c>
      <c r="F2522" s="328">
        <f t="shared" ref="F2522:K2522" si="722">AVERAGE(F2517:F2521)</f>
        <v>4.9321999999999999</v>
      </c>
      <c r="G2522" s="328">
        <f t="shared" si="722"/>
        <v>3.8778069999999998</v>
      </c>
      <c r="H2522" s="328">
        <f t="shared" si="722"/>
        <v>5.8552125999999998</v>
      </c>
      <c r="I2522" s="329">
        <f t="shared" si="722"/>
        <v>0.13741999999999999</v>
      </c>
      <c r="J2522" s="329">
        <f t="shared" si="722"/>
        <v>0.10625999999999999</v>
      </c>
      <c r="K2522" s="328">
        <f t="shared" si="722"/>
        <v>46.416385200000001</v>
      </c>
      <c r="L2522" s="331"/>
    </row>
    <row r="2523" spans="2:12">
      <c r="B2523" s="333">
        <v>21</v>
      </c>
      <c r="C2523" s="271" t="s">
        <v>595</v>
      </c>
      <c r="D2523" s="291" t="s">
        <v>250</v>
      </c>
      <c r="E2523" s="302">
        <v>3.9870000000000001</v>
      </c>
      <c r="F2523" s="302">
        <v>4.915</v>
      </c>
      <c r="G2523" s="302">
        <v>3.8728150000000001</v>
      </c>
      <c r="H2523" s="302">
        <v>5.8473620000000004</v>
      </c>
      <c r="I2523" s="287">
        <v>0.1376</v>
      </c>
      <c r="J2523" s="287">
        <v>0.1057</v>
      </c>
      <c r="K2523" s="286">
        <v>46.499527</v>
      </c>
      <c r="L2523" s="332"/>
    </row>
    <row r="2524" spans="2:12">
      <c r="B2524" s="335">
        <v>22</v>
      </c>
      <c r="C2524" s="320"/>
      <c r="D2524" s="299" t="s">
        <v>251</v>
      </c>
      <c r="E2524" s="304">
        <v>3.992</v>
      </c>
      <c r="F2524" s="304">
        <v>4.9260000000000002</v>
      </c>
      <c r="G2524" s="304">
        <v>3.8766210000000001</v>
      </c>
      <c r="H2524" s="304">
        <v>5.8564540000000003</v>
      </c>
      <c r="I2524" s="301">
        <v>0.13750000000000001</v>
      </c>
      <c r="J2524" s="301">
        <v>0.106</v>
      </c>
      <c r="K2524" s="300">
        <v>46.471698000000004</v>
      </c>
      <c r="L2524" s="321"/>
    </row>
    <row r="2525" spans="2:12">
      <c r="B2525" s="335">
        <v>23</v>
      </c>
      <c r="C2525" s="320"/>
      <c r="D2525" s="299" t="s">
        <v>237</v>
      </c>
      <c r="E2525" s="304">
        <v>3.9950000000000001</v>
      </c>
      <c r="F2525" s="304">
        <v>4.9400000000000004</v>
      </c>
      <c r="G2525" s="304">
        <v>3.8847200000000002</v>
      </c>
      <c r="H2525" s="304">
        <v>5.8626800000000001</v>
      </c>
      <c r="I2525" s="301">
        <v>0.13739999999999999</v>
      </c>
      <c r="J2525" s="301">
        <v>0.10630000000000001</v>
      </c>
      <c r="K2525" s="300">
        <v>46.472248</v>
      </c>
      <c r="L2525" s="321"/>
    </row>
    <row r="2526" spans="2:12">
      <c r="B2526" s="335">
        <v>24</v>
      </c>
      <c r="C2526" s="320"/>
      <c r="D2526" s="299" t="s">
        <v>238</v>
      </c>
      <c r="E2526" s="304">
        <v>3.9929999999999999</v>
      </c>
      <c r="F2526" s="304">
        <v>4.9420000000000002</v>
      </c>
      <c r="G2526" s="304">
        <v>3.888239</v>
      </c>
      <c r="H2526" s="304">
        <v>5.8577130000000004</v>
      </c>
      <c r="I2526" s="301">
        <v>0.13739999999999999</v>
      </c>
      <c r="J2526" s="301">
        <v>0.10630000000000001</v>
      </c>
      <c r="K2526" s="300">
        <v>46.491062999999997</v>
      </c>
      <c r="L2526" s="321"/>
    </row>
    <row r="2527" spans="2:12" ht="17.25" thickBot="1">
      <c r="B2527" s="336">
        <v>25</v>
      </c>
      <c r="C2527" s="323"/>
      <c r="D2527" s="293" t="s">
        <v>252</v>
      </c>
      <c r="E2527" s="371">
        <v>3.99</v>
      </c>
      <c r="F2527" s="371">
        <v>4.9379999999999997</v>
      </c>
      <c r="G2527" s="371">
        <v>3.8880129999999999</v>
      </c>
      <c r="H2527" s="371">
        <v>5.8654770000000003</v>
      </c>
      <c r="I2527" s="289">
        <v>0.13739999999999999</v>
      </c>
      <c r="J2527" s="289">
        <v>0.1061</v>
      </c>
      <c r="K2527" s="288">
        <v>46.540998999999999</v>
      </c>
      <c r="L2527" s="324"/>
    </row>
    <row r="2528" spans="2:12" ht="17.25" thickBot="1">
      <c r="B2528" s="339" t="s">
        <v>455</v>
      </c>
      <c r="C2528" s="340"/>
      <c r="D2528" s="341" t="s">
        <v>465</v>
      </c>
      <c r="E2528" s="342">
        <f>AVERAGE(E2523:E2527)</f>
        <v>3.9914000000000001</v>
      </c>
      <c r="F2528" s="342">
        <f t="shared" ref="F2528:K2528" si="723">AVERAGE(F2523:F2527)</f>
        <v>4.9321999999999999</v>
      </c>
      <c r="G2528" s="342">
        <f t="shared" si="723"/>
        <v>3.8820816000000002</v>
      </c>
      <c r="H2528" s="342">
        <f t="shared" si="723"/>
        <v>5.8579372000000003</v>
      </c>
      <c r="I2528" s="343">
        <f t="shared" si="723"/>
        <v>0.13745999999999997</v>
      </c>
      <c r="J2528" s="343">
        <f t="shared" si="723"/>
        <v>0.10607999999999999</v>
      </c>
      <c r="K2528" s="342">
        <f t="shared" si="723"/>
        <v>46.495107000000004</v>
      </c>
      <c r="L2528" s="344"/>
    </row>
    <row r="2529" spans="2:12">
      <c r="B2529" s="333"/>
      <c r="C2529" s="345"/>
      <c r="D2529" s="291" t="s">
        <v>458</v>
      </c>
      <c r="E2529" s="346">
        <f>MEDIAN(E2499:E2503,E2505:E2509,E2511:E2515,E2517:E2521,E2523:E2527)</f>
        <v>3.996</v>
      </c>
      <c r="F2529" s="346">
        <f t="shared" ref="F2529:K2529" si="724">MEDIAN(F2499:F2503,F2505:F2509,F2511:F2515,F2517:F2521,F2523:F2527)</f>
        <v>4.9379999999999997</v>
      </c>
      <c r="G2529" s="346">
        <f t="shared" si="724"/>
        <v>3.8823599999999998</v>
      </c>
      <c r="H2529" s="346">
        <f t="shared" si="724"/>
        <v>5.8626800000000001</v>
      </c>
      <c r="I2529" s="347">
        <f t="shared" si="724"/>
        <v>0.13739999999999999</v>
      </c>
      <c r="J2529" s="347">
        <f t="shared" si="724"/>
        <v>0.10630000000000001</v>
      </c>
      <c r="K2529" s="348">
        <f t="shared" si="724"/>
        <v>46.471698000000004</v>
      </c>
      <c r="L2529" s="332"/>
    </row>
    <row r="2530" spans="2:12">
      <c r="B2530" s="335"/>
      <c r="C2530" s="320"/>
      <c r="D2530" s="299" t="s">
        <v>457</v>
      </c>
      <c r="E2530" s="349">
        <f>AVERAGE(E2499:E2503,E2505:E2509,E2511:E2515,E2517:E2521,E2523:E2527)</f>
        <v>3.9954400000000003</v>
      </c>
      <c r="F2530" s="349">
        <f t="shared" ref="F2530:K2530" si="725">AVERAGE(F2499:F2503,F2505:F2509,F2511:F2515,F2517:F2521,F2523:F2527)</f>
        <v>4.9402000000000008</v>
      </c>
      <c r="G2530" s="349">
        <f t="shared" si="725"/>
        <v>3.8844402000000007</v>
      </c>
      <c r="H2530" s="349">
        <f t="shared" si="725"/>
        <v>5.8638862400000002</v>
      </c>
      <c r="I2530" s="350">
        <f t="shared" si="725"/>
        <v>0.13739199999999999</v>
      </c>
      <c r="J2530" s="350">
        <f t="shared" si="725"/>
        <v>0.10632800000000002</v>
      </c>
      <c r="K2530" s="351">
        <f t="shared" si="725"/>
        <v>46.462192680000001</v>
      </c>
      <c r="L2530" s="321"/>
    </row>
    <row r="2531" spans="2:12">
      <c r="B2531" s="335"/>
      <c r="C2531" s="320"/>
      <c r="D2531" s="299" t="s">
        <v>199</v>
      </c>
      <c r="E2531" s="349">
        <f>MAX(E2499:E2503,E2505:E2509,E2511:E2515,E2517:E2521,E2523:E2527)</f>
        <v>4.0030000000000001</v>
      </c>
      <c r="F2531" s="349">
        <f t="shared" ref="F2531:K2531" si="726">MAX(F2499:F2503,F2505:F2509,F2511:F2515,F2517:F2521,F2523:F2527)</f>
        <v>4.984</v>
      </c>
      <c r="G2531" s="349">
        <f t="shared" si="726"/>
        <v>3.9118719999999998</v>
      </c>
      <c r="H2531" s="349">
        <f t="shared" si="726"/>
        <v>5.9242480000000004</v>
      </c>
      <c r="I2531" s="350">
        <f t="shared" si="726"/>
        <v>0.13769999999999999</v>
      </c>
      <c r="J2531" s="350">
        <f t="shared" si="726"/>
        <v>0.107</v>
      </c>
      <c r="K2531" s="351">
        <f t="shared" si="726"/>
        <v>46.867356999999998</v>
      </c>
      <c r="L2531" s="321"/>
    </row>
    <row r="2532" spans="2:12">
      <c r="B2532" s="335"/>
      <c r="C2532" s="320"/>
      <c r="D2532" s="299" t="s">
        <v>200</v>
      </c>
      <c r="E2532" s="349">
        <f>MIN(E2499:E2503,E2505:E2509,E2511:E2515,E2517:E2521,E2523:E2527)</f>
        <v>3.9870000000000001</v>
      </c>
      <c r="F2532" s="349">
        <f t="shared" ref="F2532:K2532" si="727">MIN(F2499:F2503,F2505:F2509,F2511:F2515,F2517:F2521,F2523:F2527)</f>
        <v>4.8440000000000003</v>
      </c>
      <c r="G2532" s="349">
        <f t="shared" si="727"/>
        <v>3.8111350000000002</v>
      </c>
      <c r="H2532" s="349">
        <f t="shared" si="727"/>
        <v>5.7260970000000002</v>
      </c>
      <c r="I2532" s="350">
        <f t="shared" si="727"/>
        <v>0.1371</v>
      </c>
      <c r="J2532" s="350">
        <f t="shared" si="727"/>
        <v>0.1057</v>
      </c>
      <c r="K2532" s="351">
        <f t="shared" si="727"/>
        <v>45.271028000000001</v>
      </c>
      <c r="L2532" s="321"/>
    </row>
    <row r="2533" spans="2:12">
      <c r="B2533" s="335"/>
      <c r="C2533" s="320"/>
      <c r="D2533" s="299" t="s">
        <v>201</v>
      </c>
      <c r="E2533" s="349">
        <f>E2531-E2532</f>
        <v>1.6000000000000014E-2</v>
      </c>
      <c r="F2533" s="349">
        <f t="shared" ref="F2533:K2533" si="728">F2531-F2532</f>
        <v>0.13999999999999968</v>
      </c>
      <c r="G2533" s="349">
        <f t="shared" si="728"/>
        <v>0.10073699999999963</v>
      </c>
      <c r="H2533" s="349">
        <f t="shared" si="728"/>
        <v>0.19815100000000019</v>
      </c>
      <c r="I2533" s="350">
        <f t="shared" si="728"/>
        <v>5.9999999999998943E-4</v>
      </c>
      <c r="J2533" s="350">
        <f t="shared" si="728"/>
        <v>1.2999999999999956E-3</v>
      </c>
      <c r="K2533" s="349">
        <f t="shared" si="728"/>
        <v>1.5963289999999972</v>
      </c>
      <c r="L2533" s="321"/>
    </row>
    <row r="2534" spans="2:12" ht="17.25" thickBot="1">
      <c r="B2534" s="336"/>
      <c r="C2534" s="323"/>
      <c r="D2534" s="293" t="s">
        <v>202</v>
      </c>
      <c r="E2534" s="352">
        <f>STDEVA(E2499:E2503,E2505:E2509,E2511:E2515,E2517:E2521,E2523:E2527)</f>
        <v>4.0628397293847214E-3</v>
      </c>
      <c r="F2534" s="352">
        <f t="shared" ref="F2534:K2534" si="729">STDEVA(F2499:F2503,F2505:F2509,F2511:F2515,F2517:F2521,F2523:F2527)</f>
        <v>2.7943395164749241E-2</v>
      </c>
      <c r="G2534" s="352">
        <f t="shared" si="729"/>
        <v>1.9903556371915005E-2</v>
      </c>
      <c r="H2534" s="352">
        <f t="shared" si="729"/>
        <v>3.5651970815416795E-2</v>
      </c>
      <c r="I2534" s="353">
        <f t="shared" si="729"/>
        <v>1.3820274961085424E-4</v>
      </c>
      <c r="J2534" s="353">
        <f t="shared" si="729"/>
        <v>3.1294301930756243E-4</v>
      </c>
      <c r="K2534" s="352">
        <f t="shared" si="729"/>
        <v>0.28094075276941083</v>
      </c>
      <c r="L2534" s="324"/>
    </row>
    <row r="2536" spans="2:12">
      <c r="B2536" s="240" t="s">
        <v>602</v>
      </c>
      <c r="C2536" s="240"/>
      <c r="E2536" s="240"/>
      <c r="F2536" s="240"/>
      <c r="G2536" s="240"/>
      <c r="H2536" s="240"/>
      <c r="I2536" s="240"/>
      <c r="J2536" s="240"/>
      <c r="K2536" s="240"/>
    </row>
    <row r="2537" spans="2:12" ht="17.25" thickBot="1">
      <c r="B2537" s="240" t="s">
        <v>452</v>
      </c>
      <c r="C2537" s="240"/>
      <c r="E2537" s="240"/>
      <c r="F2537" s="240"/>
      <c r="G2537" s="240"/>
      <c r="H2537" s="240"/>
      <c r="I2537" s="240"/>
      <c r="J2537" s="240"/>
      <c r="K2537" s="240"/>
    </row>
    <row r="2538" spans="2:12" ht="17.25" thickBot="1">
      <c r="B2538" s="313" t="s">
        <v>11</v>
      </c>
      <c r="C2538" s="250" t="s">
        <v>0</v>
      </c>
      <c r="D2538" s="250" t="s">
        <v>1</v>
      </c>
      <c r="E2538" s="250" t="s">
        <v>2</v>
      </c>
      <c r="F2538" s="250" t="s">
        <v>3</v>
      </c>
      <c r="G2538" s="250" t="s">
        <v>192</v>
      </c>
      <c r="H2538" s="250" t="s">
        <v>16</v>
      </c>
      <c r="I2538" s="250" t="s">
        <v>6</v>
      </c>
      <c r="J2538" s="251" t="s">
        <v>7</v>
      </c>
      <c r="K2538" s="252" t="s">
        <v>8</v>
      </c>
      <c r="L2538" s="254" t="s">
        <v>439</v>
      </c>
    </row>
    <row r="2539" spans="2:12">
      <c r="B2539" s="314">
        <v>1</v>
      </c>
      <c r="C2539" s="271" t="s">
        <v>389</v>
      </c>
      <c r="D2539" s="291" t="s">
        <v>213</v>
      </c>
      <c r="E2539" s="302">
        <v>4.0640000000000001</v>
      </c>
      <c r="F2539" s="302">
        <v>4.7640000000000002</v>
      </c>
      <c r="G2539" s="302">
        <v>3.6827100000000002</v>
      </c>
      <c r="H2539" s="364">
        <v>5.6755969999999998</v>
      </c>
      <c r="I2539" s="287">
        <v>0.13750000000000001</v>
      </c>
      <c r="J2539" s="287">
        <v>0.1055</v>
      </c>
      <c r="K2539" s="286">
        <v>45.156398000000003</v>
      </c>
      <c r="L2539" s="275"/>
    </row>
    <row r="2540" spans="2:12">
      <c r="B2540" s="315">
        <v>2</v>
      </c>
      <c r="C2540" s="316"/>
      <c r="D2540" s="299" t="s">
        <v>214</v>
      </c>
      <c r="E2540" s="304">
        <v>4.0679999999999996</v>
      </c>
      <c r="F2540" s="304">
        <v>4.7670000000000003</v>
      </c>
      <c r="G2540" s="304">
        <v>3.681406</v>
      </c>
      <c r="H2540" s="370">
        <v>5.6752099999999999</v>
      </c>
      <c r="I2540" s="301">
        <v>0.13739999999999999</v>
      </c>
      <c r="J2540" s="301">
        <v>0.10589999999999999</v>
      </c>
      <c r="K2540" s="300">
        <v>45.014164000000001</v>
      </c>
      <c r="L2540" s="319"/>
    </row>
    <row r="2541" spans="2:12">
      <c r="B2541" s="315">
        <v>3</v>
      </c>
      <c r="C2541" s="320"/>
      <c r="D2541" s="299" t="s">
        <v>217</v>
      </c>
      <c r="E2541" s="304">
        <v>4.069</v>
      </c>
      <c r="F2541" s="304">
        <v>4.75</v>
      </c>
      <c r="G2541" s="304">
        <v>3.667376</v>
      </c>
      <c r="H2541" s="370">
        <v>5.6506420000000004</v>
      </c>
      <c r="I2541" s="301">
        <v>0.13739999999999999</v>
      </c>
      <c r="J2541" s="301">
        <v>0.10589999999999999</v>
      </c>
      <c r="K2541" s="300">
        <v>44.853636000000002</v>
      </c>
      <c r="L2541" s="356"/>
    </row>
    <row r="2542" spans="2:12">
      <c r="B2542" s="315">
        <v>4</v>
      </c>
      <c r="C2542" s="320"/>
      <c r="D2542" s="299" t="s">
        <v>218</v>
      </c>
      <c r="E2542" s="304">
        <v>4.07</v>
      </c>
      <c r="F2542" s="304">
        <v>4.7519999999999998</v>
      </c>
      <c r="G2542" s="304">
        <v>3.6680190000000001</v>
      </c>
      <c r="H2542" s="370">
        <v>5.6607560000000001</v>
      </c>
      <c r="I2542" s="301">
        <v>0.13730000000000001</v>
      </c>
      <c r="J2542" s="301">
        <v>0.1057</v>
      </c>
      <c r="K2542" s="300">
        <v>44.957427000000003</v>
      </c>
      <c r="L2542" s="356"/>
    </row>
    <row r="2543" spans="2:12" ht="17.25" thickBot="1">
      <c r="B2543" s="322">
        <v>5</v>
      </c>
      <c r="C2543" s="323"/>
      <c r="D2543" s="293" t="s">
        <v>240</v>
      </c>
      <c r="E2543" s="371">
        <v>4.0679999999999996</v>
      </c>
      <c r="F2543" s="371">
        <v>4.742</v>
      </c>
      <c r="G2543" s="371">
        <v>3.662099</v>
      </c>
      <c r="H2543" s="372">
        <v>5.6575610000000003</v>
      </c>
      <c r="I2543" s="289">
        <v>0.1376</v>
      </c>
      <c r="J2543" s="289">
        <v>0.10539999999999999</v>
      </c>
      <c r="K2543" s="288">
        <v>44.990512000000003</v>
      </c>
      <c r="L2543" s="324"/>
    </row>
    <row r="2544" spans="2:12" ht="17.25" thickBot="1">
      <c r="B2544" s="325"/>
      <c r="C2544" s="326"/>
      <c r="D2544" s="327" t="s">
        <v>463</v>
      </c>
      <c r="E2544" s="328">
        <f>AVERAGE(E2539:E2543)</f>
        <v>4.0678000000000001</v>
      </c>
      <c r="F2544" s="328">
        <f t="shared" ref="F2544:K2544" si="730">AVERAGE(F2539:F2543)</f>
        <v>4.7550000000000008</v>
      </c>
      <c r="G2544" s="328">
        <f t="shared" si="730"/>
        <v>3.6723220000000003</v>
      </c>
      <c r="H2544" s="373">
        <f t="shared" si="730"/>
        <v>5.6639531999999999</v>
      </c>
      <c r="I2544" s="329">
        <f t="shared" si="730"/>
        <v>0.13744000000000001</v>
      </c>
      <c r="J2544" s="329">
        <f t="shared" si="730"/>
        <v>0.10568</v>
      </c>
      <c r="K2544" s="330">
        <f t="shared" si="730"/>
        <v>44.994427399999999</v>
      </c>
      <c r="L2544" s="331"/>
    </row>
    <row r="2545" spans="2:12">
      <c r="B2545" s="314">
        <v>6</v>
      </c>
      <c r="C2545" s="271" t="s">
        <v>601</v>
      </c>
      <c r="D2545" s="291" t="s">
        <v>241</v>
      </c>
      <c r="E2545" s="302">
        <v>4.056</v>
      </c>
      <c r="F2545" s="302">
        <v>4.7679999999999998</v>
      </c>
      <c r="G2545" s="302">
        <v>3.6930719999999999</v>
      </c>
      <c r="H2545" s="364">
        <v>5.6632569999999998</v>
      </c>
      <c r="I2545" s="287">
        <v>0.1371</v>
      </c>
      <c r="J2545" s="287">
        <v>0.1065</v>
      </c>
      <c r="K2545" s="286">
        <v>44.769953000000001</v>
      </c>
      <c r="L2545" s="332"/>
    </row>
    <row r="2546" spans="2:12">
      <c r="B2546" s="315">
        <v>7</v>
      </c>
      <c r="C2546" s="320"/>
      <c r="D2546" s="299" t="s">
        <v>242</v>
      </c>
      <c r="E2546" s="304">
        <v>4.0609999999999999</v>
      </c>
      <c r="F2546" s="304">
        <v>4.7679999999999998</v>
      </c>
      <c r="G2546" s="304">
        <v>3.6885249999999998</v>
      </c>
      <c r="H2546" s="370">
        <v>5.6408050000000003</v>
      </c>
      <c r="I2546" s="301">
        <v>0.1371</v>
      </c>
      <c r="J2546" s="301">
        <v>0.1069</v>
      </c>
      <c r="K2546" s="300">
        <v>44.602432</v>
      </c>
      <c r="L2546" s="321"/>
    </row>
    <row r="2547" spans="2:12">
      <c r="B2547" s="315">
        <v>8</v>
      </c>
      <c r="C2547" s="320"/>
      <c r="D2547" s="299" t="s">
        <v>222</v>
      </c>
      <c r="E2547" s="304">
        <v>4.0620000000000003</v>
      </c>
      <c r="F2547" s="304">
        <v>4.7530000000000001</v>
      </c>
      <c r="G2547" s="304">
        <v>3.6760160000000002</v>
      </c>
      <c r="H2547" s="370">
        <v>5.6170609999999996</v>
      </c>
      <c r="I2547" s="301">
        <v>0.1371</v>
      </c>
      <c r="J2547" s="301">
        <v>0.1069</v>
      </c>
      <c r="K2547" s="300">
        <v>44.462114</v>
      </c>
      <c r="L2547" s="321"/>
    </row>
    <row r="2548" spans="2:12">
      <c r="B2548" s="315">
        <v>9</v>
      </c>
      <c r="C2548" s="320"/>
      <c r="D2548" s="299" t="s">
        <v>223</v>
      </c>
      <c r="E2548" s="304">
        <v>4.0629999999999997</v>
      </c>
      <c r="F2548" s="304">
        <v>4.7450000000000001</v>
      </c>
      <c r="G2548" s="304">
        <v>3.6689259999999999</v>
      </c>
      <c r="H2548" s="370">
        <v>5.6156620000000004</v>
      </c>
      <c r="I2548" s="301">
        <v>0.13719999999999999</v>
      </c>
      <c r="J2548" s="301">
        <v>0.1067</v>
      </c>
      <c r="K2548" s="300">
        <v>44.470478</v>
      </c>
      <c r="L2548" s="321"/>
    </row>
    <row r="2549" spans="2:12" ht="17.25" thickBot="1">
      <c r="B2549" s="322">
        <v>10</v>
      </c>
      <c r="C2549" s="323"/>
      <c r="D2549" s="293" t="s">
        <v>243</v>
      </c>
      <c r="E2549" s="371">
        <v>4.0620000000000003</v>
      </c>
      <c r="F2549" s="371">
        <v>4.7290000000000001</v>
      </c>
      <c r="G2549" s="371">
        <v>3.657454</v>
      </c>
      <c r="H2549" s="372">
        <v>5.6178109999999997</v>
      </c>
      <c r="I2549" s="289">
        <v>0.13730000000000001</v>
      </c>
      <c r="J2549" s="289">
        <v>0.10630000000000001</v>
      </c>
      <c r="K2549" s="288">
        <v>44.487299999999998</v>
      </c>
      <c r="L2549" s="324"/>
    </row>
    <row r="2550" spans="2:12" ht="17.25" thickBot="1">
      <c r="B2550" s="325" t="s">
        <v>455</v>
      </c>
      <c r="C2550" s="326"/>
      <c r="D2550" s="327" t="s">
        <v>463</v>
      </c>
      <c r="E2550" s="328">
        <f t="shared" ref="E2550:K2550" si="731">AVERAGE(E2545:E2549)</f>
        <v>4.0608000000000004</v>
      </c>
      <c r="F2550" s="328">
        <f t="shared" si="731"/>
        <v>4.7525999999999993</v>
      </c>
      <c r="G2550" s="328">
        <f t="shared" si="731"/>
        <v>3.6767986000000001</v>
      </c>
      <c r="H2550" s="373">
        <f t="shared" si="731"/>
        <v>5.6309192000000001</v>
      </c>
      <c r="I2550" s="329">
        <f t="shared" si="731"/>
        <v>0.13716</v>
      </c>
      <c r="J2550" s="329">
        <f t="shared" si="731"/>
        <v>0.10666</v>
      </c>
      <c r="K2550" s="330">
        <f t="shared" si="731"/>
        <v>44.5584554</v>
      </c>
      <c r="L2550" s="331"/>
    </row>
    <row r="2551" spans="2:12">
      <c r="B2551" s="333">
        <v>11</v>
      </c>
      <c r="C2551" s="271" t="s">
        <v>389</v>
      </c>
      <c r="D2551" s="291" t="s">
        <v>244</v>
      </c>
      <c r="E2551" s="302">
        <v>4.0590000000000002</v>
      </c>
      <c r="F2551" s="302">
        <v>4.7569999999999997</v>
      </c>
      <c r="G2551" s="302">
        <v>3.681829</v>
      </c>
      <c r="H2551" s="302">
        <v>5.6569190000000003</v>
      </c>
      <c r="I2551" s="287">
        <v>0.13739999999999999</v>
      </c>
      <c r="J2551" s="287">
        <v>0.1061</v>
      </c>
      <c r="K2551" s="286">
        <v>44.835061000000003</v>
      </c>
      <c r="L2551" s="332"/>
    </row>
    <row r="2552" spans="2:12">
      <c r="B2552" s="335">
        <v>12</v>
      </c>
      <c r="C2552" s="316"/>
      <c r="D2552" s="299" t="s">
        <v>245</v>
      </c>
      <c r="E2552" s="304">
        <v>4.0640000000000001</v>
      </c>
      <c r="F2552" s="304">
        <v>4.7590000000000003</v>
      </c>
      <c r="G2552" s="304">
        <v>3.6788449999999999</v>
      </c>
      <c r="H2552" s="304">
        <v>5.6510059999999998</v>
      </c>
      <c r="I2552" s="301">
        <v>0.13719999999999999</v>
      </c>
      <c r="J2552" s="301">
        <v>0.10630000000000001</v>
      </c>
      <c r="K2552" s="300">
        <v>44.76952</v>
      </c>
      <c r="L2552" s="321"/>
    </row>
    <row r="2553" spans="2:12">
      <c r="B2553" s="335">
        <v>13</v>
      </c>
      <c r="C2553" s="320"/>
      <c r="D2553" s="299" t="s">
        <v>227</v>
      </c>
      <c r="E2553" s="304">
        <v>4.0650000000000004</v>
      </c>
      <c r="F2553" s="304">
        <v>4.7439999999999998</v>
      </c>
      <c r="G2553" s="304">
        <v>3.6663480000000002</v>
      </c>
      <c r="H2553" s="304">
        <v>5.6293129999999998</v>
      </c>
      <c r="I2553" s="301">
        <v>0.13730000000000001</v>
      </c>
      <c r="J2553" s="301">
        <v>0.1065</v>
      </c>
      <c r="K2553" s="300">
        <v>44.544601</v>
      </c>
      <c r="L2553" s="321"/>
    </row>
    <row r="2554" spans="2:12">
      <c r="B2554" s="335">
        <v>14</v>
      </c>
      <c r="C2554" s="320"/>
      <c r="D2554" s="299" t="s">
        <v>228</v>
      </c>
      <c r="E2554" s="304">
        <v>4.0659999999999998</v>
      </c>
      <c r="F2554" s="304">
        <v>4.7380000000000004</v>
      </c>
      <c r="G2554" s="304">
        <v>3.6608100000000001</v>
      </c>
      <c r="H2554" s="304">
        <v>5.6225779999999999</v>
      </c>
      <c r="I2554" s="301">
        <v>0.13739999999999999</v>
      </c>
      <c r="J2554" s="301">
        <v>0.10630000000000001</v>
      </c>
      <c r="K2554" s="300">
        <v>44.571966000000003</v>
      </c>
      <c r="L2554" s="321"/>
    </row>
    <row r="2555" spans="2:12" ht="17.25" thickBot="1">
      <c r="B2555" s="336">
        <v>15</v>
      </c>
      <c r="C2555" s="323"/>
      <c r="D2555" s="293" t="s">
        <v>246</v>
      </c>
      <c r="E2555" s="371">
        <v>4.0640000000000001</v>
      </c>
      <c r="F2555" s="371">
        <v>4.32</v>
      </c>
      <c r="G2555" s="371">
        <v>3.3394849999999998</v>
      </c>
      <c r="H2555" s="371">
        <v>5.1484059999999996</v>
      </c>
      <c r="I2555" s="289">
        <v>0.1376</v>
      </c>
      <c r="J2555" s="289">
        <v>0.1056</v>
      </c>
      <c r="K2555" s="288">
        <v>40.909090999999997</v>
      </c>
      <c r="L2555" s="324"/>
    </row>
    <row r="2556" spans="2:12" ht="17.25" thickBot="1">
      <c r="B2556" s="337"/>
      <c r="C2556" s="326"/>
      <c r="D2556" s="327" t="s">
        <v>463</v>
      </c>
      <c r="E2556" s="328">
        <f>AVERAGE(E2551:E2555)</f>
        <v>4.0636000000000001</v>
      </c>
      <c r="F2556" s="328">
        <f t="shared" ref="F2556:K2556" si="732">AVERAGE(F2551:F2555)</f>
        <v>4.6636000000000006</v>
      </c>
      <c r="G2556" s="328">
        <f t="shared" si="732"/>
        <v>3.6054633999999992</v>
      </c>
      <c r="H2556" s="328">
        <f t="shared" si="732"/>
        <v>5.5416444</v>
      </c>
      <c r="I2556" s="329">
        <f t="shared" si="732"/>
        <v>0.13737999999999997</v>
      </c>
      <c r="J2556" s="329">
        <f t="shared" si="732"/>
        <v>0.10616</v>
      </c>
      <c r="K2556" s="330">
        <f t="shared" si="732"/>
        <v>43.926047799999999</v>
      </c>
      <c r="L2556" s="331"/>
    </row>
    <row r="2557" spans="2:12">
      <c r="B2557" s="333">
        <v>16</v>
      </c>
      <c r="C2557" s="271" t="s">
        <v>600</v>
      </c>
      <c r="D2557" s="291" t="s">
        <v>247</v>
      </c>
      <c r="E2557" s="302">
        <v>4.0549999999999997</v>
      </c>
      <c r="F2557" s="302">
        <v>4.766</v>
      </c>
      <c r="G2557" s="302">
        <v>3.692434</v>
      </c>
      <c r="H2557" s="302">
        <v>5.6475790000000003</v>
      </c>
      <c r="I2557" s="287">
        <v>0.1371</v>
      </c>
      <c r="J2557" s="287">
        <v>0.1065</v>
      </c>
      <c r="K2557" s="286">
        <v>44.751173999999999</v>
      </c>
      <c r="L2557" s="359"/>
    </row>
    <row r="2558" spans="2:12">
      <c r="B2558" s="335">
        <v>17</v>
      </c>
      <c r="C2558" s="320"/>
      <c r="D2558" s="299" t="s">
        <v>248</v>
      </c>
      <c r="E2558" s="304">
        <v>4.0599999999999996</v>
      </c>
      <c r="F2558" s="304">
        <v>4.7619999999999996</v>
      </c>
      <c r="G2558" s="304">
        <v>3.6847910000000001</v>
      </c>
      <c r="H2558" s="304">
        <v>5.6457100000000002</v>
      </c>
      <c r="I2558" s="301">
        <v>0.1371</v>
      </c>
      <c r="J2558" s="301">
        <v>0.10680000000000001</v>
      </c>
      <c r="K2558" s="300">
        <v>44.588014999999999</v>
      </c>
      <c r="L2558" s="321"/>
    </row>
    <row r="2559" spans="2:12">
      <c r="B2559" s="335">
        <v>18</v>
      </c>
      <c r="C2559" s="320"/>
      <c r="D2559" s="299" t="s">
        <v>232</v>
      </c>
      <c r="E2559" s="304">
        <v>4.0620000000000003</v>
      </c>
      <c r="F2559" s="304">
        <v>4.7590000000000003</v>
      </c>
      <c r="G2559" s="304">
        <v>3.6806570000000001</v>
      </c>
      <c r="H2559" s="304">
        <v>5.6266870000000004</v>
      </c>
      <c r="I2559" s="301">
        <v>0.1371</v>
      </c>
      <c r="J2559" s="301">
        <v>0.1069</v>
      </c>
      <c r="K2559" s="300">
        <v>44.518241000000003</v>
      </c>
      <c r="L2559" s="321"/>
    </row>
    <row r="2560" spans="2:12">
      <c r="B2560" s="335">
        <v>19</v>
      </c>
      <c r="C2560" s="320"/>
      <c r="D2560" s="299" t="s">
        <v>233</v>
      </c>
      <c r="E2560" s="304">
        <v>4.0620000000000003</v>
      </c>
      <c r="F2560" s="304">
        <v>4.7389999999999999</v>
      </c>
      <c r="G2560" s="304">
        <v>3.6651880000000001</v>
      </c>
      <c r="H2560" s="304">
        <v>5.6165409999999998</v>
      </c>
      <c r="I2560" s="301">
        <v>0.13719999999999999</v>
      </c>
      <c r="J2560" s="301">
        <v>0.1066</v>
      </c>
      <c r="K2560" s="300">
        <v>44.455910000000003</v>
      </c>
      <c r="L2560" s="321"/>
    </row>
    <row r="2561" spans="2:13" ht="17.25" thickBot="1">
      <c r="B2561" s="336">
        <v>20</v>
      </c>
      <c r="C2561" s="323"/>
      <c r="D2561" s="293" t="s">
        <v>249</v>
      </c>
      <c r="E2561" s="371">
        <v>4.0599999999999996</v>
      </c>
      <c r="F2561" s="371">
        <v>4.7350000000000003</v>
      </c>
      <c r="G2561" s="371">
        <v>3.6638989999999998</v>
      </c>
      <c r="H2561" s="371">
        <v>5.6245089999999998</v>
      </c>
      <c r="I2561" s="289">
        <v>0.13730000000000001</v>
      </c>
      <c r="J2561" s="289">
        <v>0.10630000000000001</v>
      </c>
      <c r="K2561" s="288">
        <v>44.543743999999997</v>
      </c>
      <c r="L2561" s="324"/>
    </row>
    <row r="2562" spans="2:13" ht="17.25" thickBot="1">
      <c r="B2562" s="337"/>
      <c r="C2562" s="326"/>
      <c r="D2562" s="327" t="s">
        <v>463</v>
      </c>
      <c r="E2562" s="328">
        <f>AVERAGE(E2557:E2561)</f>
        <v>4.0598000000000001</v>
      </c>
      <c r="F2562" s="328">
        <f t="shared" ref="F2562:K2562" si="733">AVERAGE(F2557:F2561)</f>
        <v>4.7522000000000002</v>
      </c>
      <c r="G2562" s="328">
        <f t="shared" si="733"/>
        <v>3.6773937999999999</v>
      </c>
      <c r="H2562" s="328">
        <f t="shared" si="733"/>
        <v>5.6322052000000005</v>
      </c>
      <c r="I2562" s="329">
        <f t="shared" si="733"/>
        <v>0.13716</v>
      </c>
      <c r="J2562" s="329">
        <f t="shared" si="733"/>
        <v>0.10661999999999998</v>
      </c>
      <c r="K2562" s="328">
        <f t="shared" si="733"/>
        <v>44.571416800000009</v>
      </c>
      <c r="L2562" s="331"/>
    </row>
    <row r="2563" spans="2:13">
      <c r="B2563" s="333">
        <v>21</v>
      </c>
      <c r="C2563" s="271" t="s">
        <v>600</v>
      </c>
      <c r="D2563" s="291" t="s">
        <v>250</v>
      </c>
      <c r="E2563" s="302">
        <v>4.0519999999999996</v>
      </c>
      <c r="F2563" s="302">
        <v>4.7649999999999997</v>
      </c>
      <c r="G2563" s="302">
        <v>3.6943920000000001</v>
      </c>
      <c r="H2563" s="302">
        <v>5.6613980000000002</v>
      </c>
      <c r="I2563" s="287">
        <v>0.13730000000000001</v>
      </c>
      <c r="J2563" s="287">
        <v>0.1062</v>
      </c>
      <c r="K2563" s="286">
        <v>44.868172999999999</v>
      </c>
      <c r="L2563" s="332"/>
    </row>
    <row r="2564" spans="2:13">
      <c r="B2564" s="335">
        <v>22</v>
      </c>
      <c r="C2564" s="320"/>
      <c r="D2564" s="299" t="s">
        <v>251</v>
      </c>
      <c r="E2564" s="304">
        <v>4.0570000000000004</v>
      </c>
      <c r="F2564" s="304">
        <v>4.7729999999999997</v>
      </c>
      <c r="G2564" s="304">
        <v>3.696034</v>
      </c>
      <c r="H2564" s="304">
        <v>5.6591060000000004</v>
      </c>
      <c r="I2564" s="301">
        <v>0.13719999999999999</v>
      </c>
      <c r="J2564" s="301">
        <v>0.1066</v>
      </c>
      <c r="K2564" s="300">
        <v>44.774858999999999</v>
      </c>
      <c r="L2564" s="321"/>
    </row>
    <row r="2565" spans="2:13">
      <c r="B2565" s="335">
        <v>23</v>
      </c>
      <c r="C2565" s="320"/>
      <c r="D2565" s="299" t="s">
        <v>237</v>
      </c>
      <c r="E2565" s="304">
        <v>4.0599999999999996</v>
      </c>
      <c r="F2565" s="304">
        <v>4.7560000000000002</v>
      </c>
      <c r="G2565" s="304">
        <v>3.680148</v>
      </c>
      <c r="H2565" s="304">
        <v>5.6335730000000002</v>
      </c>
      <c r="I2565" s="301">
        <v>0.13719999999999999</v>
      </c>
      <c r="J2565" s="301">
        <v>0.1067</v>
      </c>
      <c r="K2565" s="300">
        <v>44.573571000000001</v>
      </c>
      <c r="L2565" s="321"/>
    </row>
    <row r="2566" spans="2:13">
      <c r="B2566" s="335">
        <v>24</v>
      </c>
      <c r="C2566" s="320"/>
      <c r="D2566" s="299" t="s">
        <v>238</v>
      </c>
      <c r="E2566" s="304">
        <v>4.0599999999999996</v>
      </c>
      <c r="F2566" s="304">
        <v>4.7469999999999999</v>
      </c>
      <c r="G2566" s="304">
        <v>3.673184</v>
      </c>
      <c r="H2566" s="304">
        <v>5.6265900000000002</v>
      </c>
      <c r="I2566" s="301">
        <v>0.13730000000000001</v>
      </c>
      <c r="J2566" s="301">
        <v>0.10639999999999999</v>
      </c>
      <c r="K2566" s="300">
        <v>44.614662000000003</v>
      </c>
      <c r="L2566" s="321"/>
    </row>
    <row r="2567" spans="2:13" ht="17.25" thickBot="1">
      <c r="B2567" s="336">
        <v>25</v>
      </c>
      <c r="C2567" s="323"/>
      <c r="D2567" s="293" t="s">
        <v>252</v>
      </c>
      <c r="E2567" s="371">
        <v>4.0579999999999998</v>
      </c>
      <c r="F2567" s="371">
        <v>4.7320000000000002</v>
      </c>
      <c r="G2567" s="371">
        <v>3.6633819999999999</v>
      </c>
      <c r="H2567" s="371">
        <v>5.6285189999999998</v>
      </c>
      <c r="I2567" s="289">
        <v>0.13739999999999999</v>
      </c>
      <c r="J2567" s="289">
        <v>0.106</v>
      </c>
      <c r="K2567" s="288">
        <v>44.641508999999999</v>
      </c>
      <c r="L2567" s="324"/>
    </row>
    <row r="2568" spans="2:13" ht="17.25" thickBot="1">
      <c r="B2568" s="339" t="s">
        <v>455</v>
      </c>
      <c r="C2568" s="340"/>
      <c r="D2568" s="341" t="s">
        <v>465</v>
      </c>
      <c r="E2568" s="342">
        <f>AVERAGE(E2563:E2567)</f>
        <v>4.0573999999999995</v>
      </c>
      <c r="F2568" s="342">
        <f t="shared" ref="F2568:K2568" si="734">AVERAGE(F2563:F2567)</f>
        <v>4.7545999999999999</v>
      </c>
      <c r="G2568" s="342">
        <f t="shared" si="734"/>
        <v>3.6814279999999995</v>
      </c>
      <c r="H2568" s="342">
        <f t="shared" si="734"/>
        <v>5.6418371999999994</v>
      </c>
      <c r="I2568" s="343">
        <f t="shared" si="734"/>
        <v>0.13727999999999999</v>
      </c>
      <c r="J2568" s="343">
        <f t="shared" si="734"/>
        <v>0.10638</v>
      </c>
      <c r="K2568" s="342">
        <f t="shared" si="734"/>
        <v>44.694554800000006</v>
      </c>
      <c r="L2568" s="344"/>
    </row>
    <row r="2569" spans="2:13">
      <c r="B2569" s="333"/>
      <c r="C2569" s="345"/>
      <c r="D2569" s="291" t="s">
        <v>458</v>
      </c>
      <c r="E2569" s="346">
        <f>MEDIAN(E2539:E2543,E2545:E2549,E2551:E2555,E2557:E2561,E2563:E2567)</f>
        <v>4.0620000000000003</v>
      </c>
      <c r="F2569" s="346">
        <f t="shared" ref="F2569:K2569" si="735">MEDIAN(F2539:F2543,F2545:F2549,F2551:F2555,F2557:F2561,F2563:F2567)</f>
        <v>4.7530000000000001</v>
      </c>
      <c r="G2569" s="346">
        <f t="shared" si="735"/>
        <v>3.6760160000000002</v>
      </c>
      <c r="H2569" s="346">
        <f t="shared" si="735"/>
        <v>5.6408050000000003</v>
      </c>
      <c r="I2569" s="347">
        <f t="shared" si="735"/>
        <v>0.13730000000000001</v>
      </c>
      <c r="J2569" s="347">
        <f t="shared" si="735"/>
        <v>0.10630000000000001</v>
      </c>
      <c r="K2569" s="348">
        <f t="shared" si="735"/>
        <v>44.614662000000003</v>
      </c>
      <c r="L2569" s="332"/>
    </row>
    <row r="2570" spans="2:13">
      <c r="B2570" s="335"/>
      <c r="C2570" s="320"/>
      <c r="D2570" s="299" t="s">
        <v>457</v>
      </c>
      <c r="E2570" s="349">
        <f>AVERAGE(E2539:E2543,E2545:E2549,E2551:E2555,E2557:E2561,E2563:E2567)</f>
        <v>4.0618799999999995</v>
      </c>
      <c r="F2570" s="349">
        <f t="shared" ref="F2570:K2570" si="736">AVERAGE(F2539:F2543,F2545:F2549,F2551:F2555,F2557:F2561,F2563:F2567)</f>
        <v>4.7355999999999998</v>
      </c>
      <c r="G2570" s="349">
        <f t="shared" si="736"/>
        <v>3.6626811599999995</v>
      </c>
      <c r="H2570" s="349">
        <f t="shared" si="736"/>
        <v>5.6221118399999996</v>
      </c>
      <c r="I2570" s="350">
        <f t="shared" si="736"/>
        <v>0.13728400000000004</v>
      </c>
      <c r="J2570" s="350">
        <f t="shared" si="736"/>
        <v>0.10629999999999999</v>
      </c>
      <c r="K2570" s="351">
        <f t="shared" si="736"/>
        <v>44.548980439999994</v>
      </c>
      <c r="L2570" s="321"/>
    </row>
    <row r="2571" spans="2:13">
      <c r="B2571" s="335"/>
      <c r="C2571" s="320"/>
      <c r="D2571" s="299" t="s">
        <v>199</v>
      </c>
      <c r="E2571" s="349">
        <f>MAX(E2539:E2543,E2545:E2549,E2551:E2555,E2557:E2561,E2563:E2567)</f>
        <v>4.07</v>
      </c>
      <c r="F2571" s="349">
        <f t="shared" ref="F2571:K2571" si="737">MAX(F2539:F2543,F2545:F2549,F2551:F2555,F2557:F2561,F2563:F2567)</f>
        <v>4.7729999999999997</v>
      </c>
      <c r="G2571" s="349">
        <f t="shared" si="737"/>
        <v>3.696034</v>
      </c>
      <c r="H2571" s="349">
        <f t="shared" si="737"/>
        <v>5.6755969999999998</v>
      </c>
      <c r="I2571" s="350">
        <f t="shared" si="737"/>
        <v>0.1376</v>
      </c>
      <c r="J2571" s="350">
        <f t="shared" si="737"/>
        <v>0.1069</v>
      </c>
      <c r="K2571" s="351">
        <f t="shared" si="737"/>
        <v>45.156398000000003</v>
      </c>
      <c r="L2571" s="321"/>
    </row>
    <row r="2572" spans="2:13">
      <c r="B2572" s="335"/>
      <c r="C2572" s="320"/>
      <c r="D2572" s="299" t="s">
        <v>200</v>
      </c>
      <c r="E2572" s="349">
        <f>MIN(E2539:E2543,E2545:E2549,E2551:E2555,E2557:E2561,E2563:E2567)</f>
        <v>4.0519999999999996</v>
      </c>
      <c r="F2572" s="349">
        <f t="shared" ref="F2572:K2572" si="738">MIN(F2539:F2543,F2545:F2549,F2551:F2555,F2557:F2561,F2563:F2567)</f>
        <v>4.32</v>
      </c>
      <c r="G2572" s="349">
        <f t="shared" si="738"/>
        <v>3.3394849999999998</v>
      </c>
      <c r="H2572" s="349">
        <f t="shared" si="738"/>
        <v>5.1484059999999996</v>
      </c>
      <c r="I2572" s="350">
        <f t="shared" si="738"/>
        <v>0.1371</v>
      </c>
      <c r="J2572" s="350">
        <f t="shared" si="738"/>
        <v>0.10539999999999999</v>
      </c>
      <c r="K2572" s="351">
        <f t="shared" si="738"/>
        <v>40.909090999999997</v>
      </c>
      <c r="L2572" s="321"/>
    </row>
    <row r="2573" spans="2:13">
      <c r="B2573" s="335"/>
      <c r="C2573" s="320"/>
      <c r="D2573" s="299" t="s">
        <v>201</v>
      </c>
      <c r="E2573" s="349">
        <f>E2571-E2572</f>
        <v>1.8000000000000682E-2</v>
      </c>
      <c r="F2573" s="349">
        <f t="shared" ref="F2573:K2573" si="739">F2571-F2572</f>
        <v>0.4529999999999994</v>
      </c>
      <c r="G2573" s="349">
        <f t="shared" si="739"/>
        <v>0.35654900000000023</v>
      </c>
      <c r="H2573" s="349">
        <f t="shared" si="739"/>
        <v>0.52719100000000019</v>
      </c>
      <c r="I2573" s="350">
        <f t="shared" si="739"/>
        <v>5.0000000000000044E-4</v>
      </c>
      <c r="J2573" s="350">
        <f t="shared" si="739"/>
        <v>1.5000000000000013E-3</v>
      </c>
      <c r="K2573" s="349">
        <f t="shared" si="739"/>
        <v>4.2473070000000064</v>
      </c>
      <c r="L2573" s="321"/>
    </row>
    <row r="2574" spans="2:13" ht="17.25" thickBot="1">
      <c r="B2574" s="336"/>
      <c r="C2574" s="323"/>
      <c r="D2574" s="293" t="s">
        <v>202</v>
      </c>
      <c r="E2574" s="352">
        <f>STDEVA(E2539:E2543,E2545:E2549,E2551:E2555,E2557:E2561,E2563:E2567)</f>
        <v>4.4470964310060869E-3</v>
      </c>
      <c r="F2574" s="352">
        <f t="shared" ref="F2574:K2574" si="740">STDEVA(F2539:F2543,F2545:F2549,F2551:F2555,F2557:F2561,F2563:F2567)</f>
        <v>8.7476663554725595E-2</v>
      </c>
      <c r="G2574" s="352">
        <f t="shared" si="740"/>
        <v>6.8306223205795866E-2</v>
      </c>
      <c r="H2574" s="352">
        <f t="shared" si="740"/>
        <v>0.10046461482643207</v>
      </c>
      <c r="I2574" s="353">
        <f t="shared" si="740"/>
        <v>1.5187714333192822E-4</v>
      </c>
      <c r="J2574" s="353">
        <f t="shared" si="740"/>
        <v>4.4347115652166978E-4</v>
      </c>
      <c r="K2574" s="352">
        <f t="shared" si="740"/>
        <v>0.78282055487326818</v>
      </c>
      <c r="L2574" s="324"/>
    </row>
    <row r="2576" spans="2:13">
      <c r="B2576" s="241" t="s">
        <v>779</v>
      </c>
      <c r="C2576" s="240"/>
      <c r="E2576" s="418"/>
      <c r="F2576" s="418"/>
      <c r="G2576" s="418"/>
      <c r="H2576" s="418"/>
      <c r="I2576" s="419"/>
      <c r="J2576" s="419"/>
      <c r="K2576" s="418"/>
      <c r="L2576" s="416"/>
      <c r="M2576" s="417"/>
    </row>
    <row r="2577" spans="2:14" ht="17.25" thickBot="1">
      <c r="B2577" s="240" t="s">
        <v>778</v>
      </c>
      <c r="C2577" s="240"/>
      <c r="E2577" s="418"/>
      <c r="F2577" s="418"/>
      <c r="G2577" s="418"/>
      <c r="H2577" s="418"/>
      <c r="I2577" s="419"/>
      <c r="J2577" s="419"/>
      <c r="K2577" s="418"/>
      <c r="L2577" s="416"/>
      <c r="M2577" s="417"/>
    </row>
    <row r="2578" spans="2:14" ht="17.25" thickBot="1">
      <c r="B2578" s="313" t="s">
        <v>11</v>
      </c>
      <c r="C2578" s="250" t="s">
        <v>0</v>
      </c>
      <c r="D2578" s="250" t="s">
        <v>1</v>
      </c>
      <c r="E2578" s="420" t="s">
        <v>2</v>
      </c>
      <c r="F2578" s="420" t="s">
        <v>3</v>
      </c>
      <c r="G2578" s="420" t="s">
        <v>623</v>
      </c>
      <c r="H2578" s="420" t="s">
        <v>16</v>
      </c>
      <c r="I2578" s="421" t="s">
        <v>6</v>
      </c>
      <c r="J2578" s="422" t="s">
        <v>7</v>
      </c>
      <c r="K2578" s="423" t="s">
        <v>8</v>
      </c>
      <c r="L2578" s="424" t="s">
        <v>625</v>
      </c>
      <c r="M2578" s="425" t="s">
        <v>626</v>
      </c>
      <c r="N2578" s="254" t="s">
        <v>439</v>
      </c>
    </row>
    <row r="2579" spans="2:14">
      <c r="B2579" s="314">
        <v>1</v>
      </c>
      <c r="C2579" s="271" t="s">
        <v>388</v>
      </c>
      <c r="D2579" s="291" t="s">
        <v>213</v>
      </c>
      <c r="E2579" s="426">
        <v>3.0659999999999998</v>
      </c>
      <c r="F2579" s="426">
        <v>0</v>
      </c>
      <c r="G2579" s="426">
        <v>0</v>
      </c>
      <c r="H2579" s="427">
        <v>0</v>
      </c>
      <c r="I2579" s="428">
        <v>0</v>
      </c>
      <c r="J2579" s="428">
        <v>0</v>
      </c>
      <c r="K2579" s="429">
        <v>0</v>
      </c>
      <c r="L2579" s="430">
        <v>458</v>
      </c>
      <c r="M2579" s="431">
        <v>-300</v>
      </c>
      <c r="N2579" s="275"/>
    </row>
    <row r="2580" spans="2:14">
      <c r="B2580" s="315">
        <v>2</v>
      </c>
      <c r="C2580" s="583"/>
      <c r="D2580" s="584" t="s">
        <v>214</v>
      </c>
      <c r="E2580" s="585">
        <v>4.101</v>
      </c>
      <c r="F2580" s="585">
        <v>4.7690000000000001</v>
      </c>
      <c r="G2580" s="585">
        <v>3.653314</v>
      </c>
      <c r="H2580" s="585">
        <v>5.691961</v>
      </c>
      <c r="I2580" s="586">
        <v>0.13730000000000001</v>
      </c>
      <c r="J2580" s="586">
        <v>0.1057</v>
      </c>
      <c r="K2580" s="587">
        <v>45.118259224219493</v>
      </c>
      <c r="L2580" s="433">
        <v>458</v>
      </c>
      <c r="M2580" s="434">
        <v>-1.7099999999999999E-3</v>
      </c>
      <c r="N2580" s="432"/>
    </row>
    <row r="2581" spans="2:14">
      <c r="B2581" s="315">
        <v>3</v>
      </c>
      <c r="C2581" s="590"/>
      <c r="D2581" s="584" t="s">
        <v>217</v>
      </c>
      <c r="E2581" s="585">
        <v>4.1059999999999999</v>
      </c>
      <c r="F2581" s="585">
        <v>4.7690000000000001</v>
      </c>
      <c r="G2581" s="585">
        <v>3.6488659999999999</v>
      </c>
      <c r="H2581" s="585">
        <v>5.682207</v>
      </c>
      <c r="I2581" s="586">
        <v>0.13730000000000001</v>
      </c>
      <c r="J2581" s="586">
        <v>0.10580000000000001</v>
      </c>
      <c r="K2581" s="587">
        <v>45.075614366729681</v>
      </c>
      <c r="L2581" s="435">
        <v>458</v>
      </c>
      <c r="M2581" s="436">
        <v>-1.1900000000000001E-2</v>
      </c>
      <c r="N2581" s="437"/>
    </row>
    <row r="2582" spans="2:14">
      <c r="B2582" s="315">
        <v>4</v>
      </c>
      <c r="C2582" s="590"/>
      <c r="D2582" s="584" t="s">
        <v>218</v>
      </c>
      <c r="E2582" s="585">
        <v>4.109</v>
      </c>
      <c r="F2582" s="585">
        <v>4.7670000000000003</v>
      </c>
      <c r="G2582" s="585">
        <v>3.6446730000000001</v>
      </c>
      <c r="H2582" s="585">
        <v>5.6806720000000004</v>
      </c>
      <c r="I2582" s="586">
        <v>0.13719999999999999</v>
      </c>
      <c r="J2582" s="586">
        <v>0.1056</v>
      </c>
      <c r="K2582" s="587">
        <v>45.14204545454546</v>
      </c>
      <c r="L2582" s="433">
        <v>458</v>
      </c>
      <c r="M2582" s="434">
        <v>-7.2199999999999999E-4</v>
      </c>
      <c r="N2582" s="438"/>
    </row>
    <row r="2583" spans="2:14" ht="17.25" thickBot="1">
      <c r="B2583" s="322">
        <v>5</v>
      </c>
      <c r="C2583" s="594"/>
      <c r="D2583" s="595" t="s">
        <v>240</v>
      </c>
      <c r="E2583" s="596">
        <v>2.6</v>
      </c>
      <c r="F2583" s="596">
        <v>0</v>
      </c>
      <c r="G2583" s="596">
        <v>0</v>
      </c>
      <c r="H2583" s="596">
        <v>0</v>
      </c>
      <c r="I2583" s="597">
        <v>0</v>
      </c>
      <c r="J2583" s="597">
        <v>0</v>
      </c>
      <c r="K2583" s="598">
        <v>0</v>
      </c>
      <c r="L2583" s="599">
        <v>738</v>
      </c>
      <c r="M2583" s="600">
        <v>-300</v>
      </c>
      <c r="N2583" s="439"/>
    </row>
    <row r="2584" spans="2:14" ht="17.25" thickBot="1">
      <c r="B2584" s="325"/>
      <c r="C2584" s="326"/>
      <c r="D2584" s="440" t="s">
        <v>465</v>
      </c>
      <c r="E2584" s="441">
        <f t="shared" ref="E2584:K2584" si="741">AVERAGE(E2579:E2583)</f>
        <v>3.5964</v>
      </c>
      <c r="F2584" s="441">
        <f>AVERAGE(F2579:F2583)</f>
        <v>2.8609999999999998</v>
      </c>
      <c r="G2584" s="441">
        <f t="shared" si="741"/>
        <v>2.1893706000000002</v>
      </c>
      <c r="H2584" s="441">
        <f t="shared" si="741"/>
        <v>3.4109680000000004</v>
      </c>
      <c r="I2584" s="442">
        <f t="shared" si="741"/>
        <v>8.2360000000000003E-2</v>
      </c>
      <c r="J2584" s="442">
        <f t="shared" si="741"/>
        <v>6.3420000000000004E-2</v>
      </c>
      <c r="K2584" s="443">
        <f t="shared" si="741"/>
        <v>27.067183809098928</v>
      </c>
      <c r="L2584" s="444"/>
      <c r="M2584" s="445"/>
      <c r="N2584" s="446"/>
    </row>
    <row r="2585" spans="2:14">
      <c r="B2585" s="314">
        <v>6</v>
      </c>
      <c r="C2585" s="271" t="s">
        <v>780</v>
      </c>
      <c r="D2585" s="447" t="s">
        <v>241</v>
      </c>
      <c r="E2585" s="426">
        <v>4.08</v>
      </c>
      <c r="F2585" s="426">
        <v>4.7249999999999996</v>
      </c>
      <c r="G2585" s="426">
        <v>3.6382379999999999</v>
      </c>
      <c r="H2585" s="427">
        <v>5.6269520000000002</v>
      </c>
      <c r="I2585" s="428">
        <v>0.13739999999999999</v>
      </c>
      <c r="J2585" s="428">
        <v>0.1057</v>
      </c>
      <c r="K2585" s="429">
        <v>44.701986754966882</v>
      </c>
      <c r="L2585" s="449">
        <v>458</v>
      </c>
      <c r="M2585" s="450">
        <v>-1.75E-3</v>
      </c>
      <c r="N2585" s="606"/>
    </row>
    <row r="2586" spans="2:14">
      <c r="B2586" s="315">
        <v>7</v>
      </c>
      <c r="C2586" s="590"/>
      <c r="D2586" s="584" t="s">
        <v>242</v>
      </c>
      <c r="E2586" s="585">
        <v>4.0839999999999996</v>
      </c>
      <c r="F2586" s="585">
        <v>4.7329999999999997</v>
      </c>
      <c r="G2586" s="585">
        <v>3.6408290000000001</v>
      </c>
      <c r="H2586" s="585">
        <v>5.6430879999999997</v>
      </c>
      <c r="I2586" s="586">
        <v>0.13730000000000001</v>
      </c>
      <c r="J2586" s="586">
        <v>0.10589999999999999</v>
      </c>
      <c r="K2586" s="587">
        <v>44.693106704438151</v>
      </c>
      <c r="L2586" s="433">
        <v>458</v>
      </c>
      <c r="M2586" s="434">
        <v>-4.9800000000000001E-3</v>
      </c>
      <c r="N2586" s="438"/>
    </row>
    <row r="2587" spans="2:14">
      <c r="B2587" s="315">
        <v>8</v>
      </c>
      <c r="C2587" s="590"/>
      <c r="D2587" s="584" t="s">
        <v>222</v>
      </c>
      <c r="E2587" s="585">
        <v>4.0880000000000001</v>
      </c>
      <c r="F2587" s="585">
        <v>4.7270000000000003</v>
      </c>
      <c r="G2587" s="585">
        <v>3.6326559999999999</v>
      </c>
      <c r="H2587" s="585">
        <v>5.6209550000000004</v>
      </c>
      <c r="I2587" s="586">
        <v>0.13719999999999999</v>
      </c>
      <c r="J2587" s="586">
        <v>0.1061</v>
      </c>
      <c r="K2587" s="587">
        <v>44.55230914231857</v>
      </c>
      <c r="L2587" s="433">
        <v>458</v>
      </c>
      <c r="M2587" s="434">
        <v>-8.1999999999999998E-4</v>
      </c>
      <c r="N2587" s="438"/>
    </row>
    <row r="2588" spans="2:14">
      <c r="B2588" s="315">
        <v>9</v>
      </c>
      <c r="C2588" s="590"/>
      <c r="D2588" s="584" t="s">
        <v>223</v>
      </c>
      <c r="E2588" s="585">
        <v>4.0880000000000001</v>
      </c>
      <c r="F2588" s="585">
        <v>4.7270000000000003</v>
      </c>
      <c r="G2588" s="585">
        <v>3.6326559999999999</v>
      </c>
      <c r="H2588" s="585">
        <v>5.6243309999999997</v>
      </c>
      <c r="I2588" s="586">
        <v>0.13730000000000001</v>
      </c>
      <c r="J2588" s="586">
        <v>0.1061</v>
      </c>
      <c r="K2588" s="587">
        <v>44.55230914231857</v>
      </c>
      <c r="L2588" s="433">
        <v>458</v>
      </c>
      <c r="M2588" s="434">
        <v>-6.7699999999999998E-4</v>
      </c>
      <c r="N2588" s="438"/>
    </row>
    <row r="2589" spans="2:14" ht="17.25" thickBot="1">
      <c r="B2589" s="322">
        <v>10</v>
      </c>
      <c r="C2589" s="594"/>
      <c r="D2589" s="595" t="s">
        <v>243</v>
      </c>
      <c r="E2589" s="596">
        <v>4.0839999999999996</v>
      </c>
      <c r="F2589" s="596">
        <v>4.7220000000000004</v>
      </c>
      <c r="G2589" s="596">
        <v>3.6323669999999999</v>
      </c>
      <c r="H2589" s="596">
        <v>5.6291760000000002</v>
      </c>
      <c r="I2589" s="597">
        <v>0.13739999999999999</v>
      </c>
      <c r="J2589" s="597">
        <v>0.10589999999999999</v>
      </c>
      <c r="K2589" s="598">
        <v>44.589235127478759</v>
      </c>
      <c r="L2589" s="599">
        <v>458</v>
      </c>
      <c r="M2589" s="600">
        <v>-1.32E-3</v>
      </c>
      <c r="N2589" s="439"/>
    </row>
    <row r="2590" spans="2:14" ht="17.25" thickBot="1">
      <c r="B2590" s="325" t="s">
        <v>455</v>
      </c>
      <c r="C2590" s="326"/>
      <c r="D2590" s="440" t="s">
        <v>465</v>
      </c>
      <c r="E2590" s="441">
        <f t="shared" ref="E2590:K2590" si="742">AVERAGE(E2585:E2589)</f>
        <v>4.0847999999999995</v>
      </c>
      <c r="F2590" s="441">
        <f t="shared" si="742"/>
        <v>4.7267999999999999</v>
      </c>
      <c r="G2590" s="441">
        <f t="shared" si="742"/>
        <v>3.6353491999999994</v>
      </c>
      <c r="H2590" s="441">
        <f t="shared" si="742"/>
        <v>5.6289004000000009</v>
      </c>
      <c r="I2590" s="442">
        <f t="shared" si="742"/>
        <v>0.13732</v>
      </c>
      <c r="J2590" s="442">
        <f t="shared" si="742"/>
        <v>0.10593999999999999</v>
      </c>
      <c r="K2590" s="443">
        <f t="shared" si="742"/>
        <v>44.617789374304188</v>
      </c>
      <c r="L2590" s="444"/>
      <c r="M2590" s="445"/>
      <c r="N2590" s="446"/>
    </row>
    <row r="2591" spans="2:14">
      <c r="B2591" s="333">
        <v>11</v>
      </c>
      <c r="C2591" s="271" t="s">
        <v>389</v>
      </c>
      <c r="D2591" s="447" t="s">
        <v>244</v>
      </c>
      <c r="E2591" s="426">
        <v>4.0869999999999997</v>
      </c>
      <c r="F2591" s="426">
        <v>4.7460000000000004</v>
      </c>
      <c r="G2591" s="426">
        <v>3.6481490000000001</v>
      </c>
      <c r="H2591" s="427">
        <v>5.6515310000000003</v>
      </c>
      <c r="I2591" s="428">
        <v>0.13730000000000001</v>
      </c>
      <c r="J2591" s="428">
        <v>0.10580000000000001</v>
      </c>
      <c r="K2591" s="429">
        <v>44.858223062381853</v>
      </c>
      <c r="L2591" s="449">
        <v>458</v>
      </c>
      <c r="M2591" s="450">
        <v>-1.31E-3</v>
      </c>
      <c r="N2591" s="606"/>
    </row>
    <row r="2592" spans="2:14">
      <c r="B2592" s="335">
        <v>12</v>
      </c>
      <c r="C2592" s="583"/>
      <c r="D2592" s="584" t="s">
        <v>245</v>
      </c>
      <c r="E2592" s="585">
        <v>4.0439999999999996</v>
      </c>
      <c r="F2592" s="585">
        <v>4.1479999999999997</v>
      </c>
      <c r="G2592" s="585">
        <v>3.2223830000000002</v>
      </c>
      <c r="H2592" s="585">
        <v>4.9352980000000004</v>
      </c>
      <c r="I2592" s="586">
        <v>0.13730000000000001</v>
      </c>
      <c r="J2592" s="586">
        <v>0.1061</v>
      </c>
      <c r="K2592" s="587">
        <v>39.095193213949102</v>
      </c>
      <c r="L2592" s="433">
        <v>458</v>
      </c>
      <c r="M2592" s="434">
        <v>-1.75</v>
      </c>
      <c r="N2592" s="438"/>
    </row>
    <row r="2593" spans="2:14">
      <c r="B2593" s="335">
        <v>13</v>
      </c>
      <c r="C2593" s="590"/>
      <c r="D2593" s="584" t="s">
        <v>631</v>
      </c>
      <c r="E2593" s="585">
        <v>4.0940000000000003</v>
      </c>
      <c r="F2593" s="585">
        <v>4.7350000000000003</v>
      </c>
      <c r="G2593" s="585">
        <v>3.6334710000000001</v>
      </c>
      <c r="H2593" s="585">
        <v>5.6390149999999997</v>
      </c>
      <c r="I2593" s="586">
        <v>0.13719999999999999</v>
      </c>
      <c r="J2593" s="586">
        <v>0.1061</v>
      </c>
      <c r="K2593" s="587">
        <v>44.62770970782281</v>
      </c>
      <c r="L2593" s="433">
        <v>458</v>
      </c>
      <c r="M2593" s="434">
        <v>-1.51</v>
      </c>
      <c r="N2593" s="438"/>
    </row>
    <row r="2594" spans="2:14">
      <c r="B2594" s="335">
        <v>14</v>
      </c>
      <c r="C2594" s="590"/>
      <c r="D2594" s="584" t="s">
        <v>228</v>
      </c>
      <c r="E2594" s="585">
        <v>4.0949999999999998</v>
      </c>
      <c r="F2594" s="585">
        <v>4.7469999999999999</v>
      </c>
      <c r="G2594" s="585">
        <v>3.6417890000000002</v>
      </c>
      <c r="H2594" s="585">
        <v>5.6428770000000004</v>
      </c>
      <c r="I2594" s="586">
        <v>0.13719999999999999</v>
      </c>
      <c r="J2594" s="586">
        <v>0.1061</v>
      </c>
      <c r="K2594" s="587">
        <v>44.740810556079168</v>
      </c>
      <c r="L2594" s="433">
        <v>458</v>
      </c>
      <c r="M2594" s="434">
        <v>-7.27E-4</v>
      </c>
      <c r="N2594" s="438"/>
    </row>
    <row r="2595" spans="2:14" ht="17.25" thickBot="1">
      <c r="B2595" s="336">
        <v>15</v>
      </c>
      <c r="C2595" s="594"/>
      <c r="D2595" s="595" t="s">
        <v>246</v>
      </c>
      <c r="E2595" s="596">
        <v>4.0910000000000002</v>
      </c>
      <c r="F2595" s="596">
        <v>4.7469999999999999</v>
      </c>
      <c r="G2595" s="596">
        <v>3.6453500000000001</v>
      </c>
      <c r="H2595" s="596">
        <v>5.65496</v>
      </c>
      <c r="I2595" s="597">
        <v>0.13730000000000001</v>
      </c>
      <c r="J2595" s="597">
        <v>0.10589999999999999</v>
      </c>
      <c r="K2595" s="598">
        <v>44.825306893295561</v>
      </c>
      <c r="L2595" s="599">
        <v>458</v>
      </c>
      <c r="M2595" s="600">
        <v>-3.13E-3</v>
      </c>
      <c r="N2595" s="439"/>
    </row>
    <row r="2596" spans="2:14" ht="17.25" thickBot="1">
      <c r="B2596" s="337"/>
      <c r="C2596" s="326"/>
      <c r="D2596" s="440" t="s">
        <v>465</v>
      </c>
      <c r="E2596" s="441">
        <f t="shared" ref="E2596:K2596" si="743">AVERAGE(E2591:E2595)</f>
        <v>4.0822000000000003</v>
      </c>
      <c r="F2596" s="441">
        <f t="shared" si="743"/>
        <v>4.6246</v>
      </c>
      <c r="G2596" s="441">
        <f t="shared" si="743"/>
        <v>3.5582284</v>
      </c>
      <c r="H2596" s="441">
        <f t="shared" si="743"/>
        <v>5.5047362</v>
      </c>
      <c r="I2596" s="442">
        <f t="shared" si="743"/>
        <v>0.13725999999999999</v>
      </c>
      <c r="J2596" s="442">
        <f t="shared" si="743"/>
        <v>0.10600000000000001</v>
      </c>
      <c r="K2596" s="443">
        <f t="shared" si="743"/>
        <v>43.6294486867057</v>
      </c>
      <c r="L2596" s="444"/>
      <c r="M2596" s="445"/>
      <c r="N2596" s="446"/>
    </row>
    <row r="2597" spans="2:14">
      <c r="B2597" s="333">
        <v>16</v>
      </c>
      <c r="C2597" s="271" t="s">
        <v>780</v>
      </c>
      <c r="D2597" s="447" t="s">
        <v>247</v>
      </c>
      <c r="E2597" s="426">
        <v>4.085</v>
      </c>
      <c r="F2597" s="426">
        <v>4.7539999999999996</v>
      </c>
      <c r="G2597" s="426">
        <v>3.656088</v>
      </c>
      <c r="H2597" s="427">
        <v>5.6712119999999997</v>
      </c>
      <c r="I2597" s="428">
        <v>0.13739999999999999</v>
      </c>
      <c r="J2597" s="428">
        <v>0.1056</v>
      </c>
      <c r="K2597" s="429">
        <v>45.018939393939391</v>
      </c>
      <c r="L2597" s="449">
        <v>458</v>
      </c>
      <c r="M2597" s="450">
        <v>-1.99E-3</v>
      </c>
      <c r="N2597" s="606"/>
    </row>
    <row r="2598" spans="2:14">
      <c r="B2598" s="335">
        <v>17</v>
      </c>
      <c r="C2598" s="590"/>
      <c r="D2598" s="584" t="s">
        <v>248</v>
      </c>
      <c r="E2598" s="585">
        <v>4.0890000000000004</v>
      </c>
      <c r="F2598" s="585">
        <v>4.7560000000000002</v>
      </c>
      <c r="G2598" s="585">
        <v>3.654048</v>
      </c>
      <c r="H2598" s="585">
        <v>5.6721029999999999</v>
      </c>
      <c r="I2598" s="586">
        <v>0.13730000000000001</v>
      </c>
      <c r="J2598" s="586">
        <v>0.10589999999999999</v>
      </c>
      <c r="K2598" s="587">
        <v>44.910292728989617</v>
      </c>
      <c r="L2598" s="433">
        <v>458</v>
      </c>
      <c r="M2598" s="434">
        <v>-2.65E-3</v>
      </c>
      <c r="N2598" s="438"/>
    </row>
    <row r="2599" spans="2:14">
      <c r="B2599" s="335">
        <v>18</v>
      </c>
      <c r="C2599" s="590"/>
      <c r="D2599" s="584" t="s">
        <v>232</v>
      </c>
      <c r="E2599" s="585">
        <v>4.0919999999999996</v>
      </c>
      <c r="F2599" s="585">
        <v>4.7549999999999999</v>
      </c>
      <c r="G2599" s="585">
        <v>3.650601</v>
      </c>
      <c r="H2599" s="585">
        <v>5.661581</v>
      </c>
      <c r="I2599" s="586">
        <v>0.13719999999999999</v>
      </c>
      <c r="J2599" s="586">
        <v>0.10589999999999999</v>
      </c>
      <c r="K2599" s="587">
        <v>44.900849858356942</v>
      </c>
      <c r="L2599" s="433">
        <v>458</v>
      </c>
      <c r="M2599" s="434">
        <v>-2.0600000000000002E-3</v>
      </c>
      <c r="N2599" s="438"/>
    </row>
    <row r="2600" spans="2:14">
      <c r="B2600" s="335">
        <v>19</v>
      </c>
      <c r="C2600" s="590"/>
      <c r="D2600" s="584" t="s">
        <v>233</v>
      </c>
      <c r="E2600" s="585">
        <v>2.1440000000000001</v>
      </c>
      <c r="F2600" s="585">
        <v>0</v>
      </c>
      <c r="G2600" s="585">
        <v>0</v>
      </c>
      <c r="H2600" s="585">
        <v>0</v>
      </c>
      <c r="I2600" s="586">
        <v>0</v>
      </c>
      <c r="J2600" s="586">
        <v>0</v>
      </c>
      <c r="K2600" s="587">
        <v>0</v>
      </c>
      <c r="L2600" s="433">
        <v>740</v>
      </c>
      <c r="M2600" s="434">
        <v>-11.7</v>
      </c>
      <c r="N2600" s="438"/>
    </row>
    <row r="2601" spans="2:14" ht="17.25" thickBot="1">
      <c r="B2601" s="336">
        <v>20</v>
      </c>
      <c r="C2601" s="594"/>
      <c r="D2601" s="595" t="s">
        <v>249</v>
      </c>
      <c r="E2601" s="596">
        <v>4.0890000000000004</v>
      </c>
      <c r="F2601" s="596">
        <v>4.7430000000000003</v>
      </c>
      <c r="G2601" s="596">
        <v>3.6440600000000001</v>
      </c>
      <c r="H2601" s="596">
        <v>5.6535299999999999</v>
      </c>
      <c r="I2601" s="597">
        <v>0.13730000000000001</v>
      </c>
      <c r="J2601" s="597">
        <v>0.1057</v>
      </c>
      <c r="K2601" s="598">
        <v>44.872280037842955</v>
      </c>
      <c r="L2601" s="599">
        <v>458</v>
      </c>
      <c r="M2601" s="600">
        <v>-1.97E-3</v>
      </c>
      <c r="N2601" s="439"/>
    </row>
    <row r="2602" spans="2:14" ht="17.25" thickBot="1">
      <c r="B2602" s="337"/>
      <c r="C2602" s="326"/>
      <c r="D2602" s="440" t="s">
        <v>465</v>
      </c>
      <c r="E2602" s="441">
        <f t="shared" ref="E2602:K2602" si="744">AVERAGE(E2597:E2601)</f>
        <v>3.6997999999999998</v>
      </c>
      <c r="F2602" s="441">
        <f t="shared" si="744"/>
        <v>3.8016000000000005</v>
      </c>
      <c r="G2602" s="441">
        <f t="shared" si="744"/>
        <v>2.9209594000000001</v>
      </c>
      <c r="H2602" s="441">
        <f t="shared" si="744"/>
        <v>4.5316852000000001</v>
      </c>
      <c r="I2602" s="442">
        <f t="shared" si="744"/>
        <v>0.10984000000000001</v>
      </c>
      <c r="J2602" s="442">
        <f t="shared" si="744"/>
        <v>8.4620000000000001E-2</v>
      </c>
      <c r="K2602" s="443">
        <f t="shared" si="744"/>
        <v>35.94047240382578</v>
      </c>
      <c r="L2602" s="444"/>
      <c r="M2602" s="445"/>
      <c r="N2602" s="446"/>
    </row>
    <row r="2603" spans="2:14">
      <c r="B2603" s="333">
        <v>21</v>
      </c>
      <c r="C2603" s="271" t="s">
        <v>780</v>
      </c>
      <c r="D2603" s="447" t="s">
        <v>250</v>
      </c>
      <c r="E2603" s="426">
        <v>4.0819999999999999</v>
      </c>
      <c r="F2603" s="426">
        <v>4.7489999999999997</v>
      </c>
      <c r="G2603" s="426">
        <v>3.6549269999999998</v>
      </c>
      <c r="H2603" s="427">
        <v>5.6642250000000001</v>
      </c>
      <c r="I2603" s="428">
        <v>0.13739999999999999</v>
      </c>
      <c r="J2603" s="428">
        <v>0.1055</v>
      </c>
      <c r="K2603" s="429">
        <v>45.014218009478668</v>
      </c>
      <c r="L2603" s="449">
        <v>458</v>
      </c>
      <c r="M2603" s="450">
        <v>-7.2499999999999995E-4</v>
      </c>
      <c r="N2603" s="606"/>
    </row>
    <row r="2604" spans="2:14">
      <c r="B2604" s="335">
        <v>22</v>
      </c>
      <c r="C2604" s="590"/>
      <c r="D2604" s="584" t="s">
        <v>251</v>
      </c>
      <c r="E2604" s="585">
        <v>4.0860000000000003</v>
      </c>
      <c r="F2604" s="585">
        <v>4.758</v>
      </c>
      <c r="G2604" s="585">
        <v>3.6582690000000002</v>
      </c>
      <c r="H2604" s="585">
        <v>5.6689740000000004</v>
      </c>
      <c r="I2604" s="586">
        <v>0.13730000000000001</v>
      </c>
      <c r="J2604" s="586">
        <v>0.1056</v>
      </c>
      <c r="K2604" s="587">
        <v>45.05681818181818</v>
      </c>
      <c r="L2604" s="433">
        <v>458</v>
      </c>
      <c r="M2604" s="434">
        <v>-2.7000000000000001E-3</v>
      </c>
      <c r="N2604" s="438"/>
    </row>
    <row r="2605" spans="2:14">
      <c r="B2605" s="335">
        <v>23</v>
      </c>
      <c r="C2605" s="590"/>
      <c r="D2605" s="584" t="s">
        <v>237</v>
      </c>
      <c r="E2605" s="585">
        <v>4.09</v>
      </c>
      <c r="F2605" s="585">
        <v>4.7480000000000002</v>
      </c>
      <c r="G2605" s="585">
        <v>3.6470099999999999</v>
      </c>
      <c r="H2605" s="585">
        <v>5.6636870000000004</v>
      </c>
      <c r="I2605" s="586">
        <v>0.13730000000000001</v>
      </c>
      <c r="J2605" s="586">
        <v>0.1057</v>
      </c>
      <c r="K2605" s="587">
        <v>44.91958372753075</v>
      </c>
      <c r="L2605" s="433">
        <v>458</v>
      </c>
      <c r="M2605" s="434">
        <v>-7.7499999999999997E-4</v>
      </c>
      <c r="N2605" s="438"/>
    </row>
    <row r="2606" spans="2:14">
      <c r="B2606" s="335">
        <v>24</v>
      </c>
      <c r="C2606" s="590"/>
      <c r="D2606" s="608" t="s">
        <v>238</v>
      </c>
      <c r="E2606" s="585">
        <v>4.09</v>
      </c>
      <c r="F2606" s="585">
        <v>4.7469999999999999</v>
      </c>
      <c r="G2606" s="585">
        <v>3.6462409999999998</v>
      </c>
      <c r="H2606" s="585">
        <v>5.6597840000000001</v>
      </c>
      <c r="I2606" s="586">
        <v>0.13730000000000001</v>
      </c>
      <c r="J2606" s="586">
        <v>0.1057</v>
      </c>
      <c r="K2606" s="587">
        <v>44.910122989593184</v>
      </c>
      <c r="L2606" s="451">
        <v>458</v>
      </c>
      <c r="M2606" s="452">
        <v>-7.27E-4</v>
      </c>
      <c r="N2606" s="321"/>
    </row>
    <row r="2607" spans="2:14" ht="17.25" thickBot="1">
      <c r="B2607" s="336">
        <v>25</v>
      </c>
      <c r="C2607" s="594"/>
      <c r="D2607" s="609" t="s">
        <v>252</v>
      </c>
      <c r="E2607" s="596">
        <v>4.0860000000000003</v>
      </c>
      <c r="F2607" s="596">
        <v>4.742</v>
      </c>
      <c r="G2607" s="596">
        <v>3.6459670000000002</v>
      </c>
      <c r="H2607" s="596">
        <v>5.663875</v>
      </c>
      <c r="I2607" s="597">
        <v>0.13739999999999999</v>
      </c>
      <c r="J2607" s="597">
        <v>0.1056</v>
      </c>
      <c r="K2607" s="598">
        <v>44.905303030303031</v>
      </c>
      <c r="L2607" s="610">
        <v>458</v>
      </c>
      <c r="M2607" s="611">
        <v>-6.2500000000000001E-4</v>
      </c>
      <c r="N2607" s="453"/>
    </row>
    <row r="2608" spans="2:14" ht="17.25" thickBot="1">
      <c r="B2608" s="339" t="s">
        <v>455</v>
      </c>
      <c r="C2608" s="340"/>
      <c r="D2608" s="341" t="s">
        <v>465</v>
      </c>
      <c r="E2608" s="454">
        <f t="shared" ref="E2608:K2608" si="745">AVERAGE(E2603:E2607)</f>
        <v>4.0867999999999993</v>
      </c>
      <c r="F2608" s="454">
        <f t="shared" si="745"/>
        <v>4.7488000000000001</v>
      </c>
      <c r="G2608" s="454">
        <f t="shared" si="745"/>
        <v>3.6504827999999998</v>
      </c>
      <c r="H2608" s="454">
        <f t="shared" si="745"/>
        <v>5.6641089999999998</v>
      </c>
      <c r="I2608" s="455">
        <f t="shared" si="745"/>
        <v>0.13733999999999999</v>
      </c>
      <c r="J2608" s="455">
        <f t="shared" si="745"/>
        <v>0.10562000000000001</v>
      </c>
      <c r="K2608" s="456">
        <f t="shared" si="745"/>
        <v>44.961209187744764</v>
      </c>
      <c r="L2608" s="457"/>
      <c r="M2608" s="458"/>
      <c r="N2608" s="344"/>
    </row>
    <row r="2609" spans="2:14">
      <c r="B2609" s="333"/>
      <c r="C2609" s="345"/>
      <c r="D2609" s="291" t="s">
        <v>458</v>
      </c>
      <c r="E2609" s="459">
        <f t="shared" ref="E2609:K2609" si="746">MEDIAN(E2579:E2583,E2585:E2589,E2591:E2595,E2597:E2601,E2603:E2607)</f>
        <v>4.0880000000000001</v>
      </c>
      <c r="F2609" s="461">
        <f t="shared" si="746"/>
        <v>4.7460000000000004</v>
      </c>
      <c r="G2609" s="461">
        <f t="shared" si="746"/>
        <v>3.6446730000000001</v>
      </c>
      <c r="H2609" s="461">
        <f t="shared" si="746"/>
        <v>5.6535299999999999</v>
      </c>
      <c r="I2609" s="460">
        <f t="shared" si="746"/>
        <v>0.13730000000000001</v>
      </c>
      <c r="J2609" s="460">
        <f t="shared" si="746"/>
        <v>0.1057</v>
      </c>
      <c r="K2609" s="461">
        <f t="shared" si="746"/>
        <v>44.858223062381853</v>
      </c>
      <c r="L2609" s="462"/>
      <c r="M2609" s="463"/>
      <c r="N2609" s="612"/>
    </row>
    <row r="2610" spans="2:14">
      <c r="B2610" s="335"/>
      <c r="C2610" s="590"/>
      <c r="D2610" s="608" t="s">
        <v>457</v>
      </c>
      <c r="E2610" s="613">
        <f t="shared" ref="E2610:K2610" si="747">AVERAGE(E2579:E2583,E2585:E2589,E2591:E2595,E2597:E2601,E2603:E2607)</f>
        <v>3.91</v>
      </c>
      <c r="F2610" s="614">
        <f t="shared" si="747"/>
        <v>4.1525599999999994</v>
      </c>
      <c r="G2610" s="614">
        <f t="shared" si="747"/>
        <v>3.1908780800000005</v>
      </c>
      <c r="H2610" s="614">
        <f t="shared" si="747"/>
        <v>4.9480797600000006</v>
      </c>
      <c r="I2610" s="615">
        <f t="shared" si="747"/>
        <v>0.12082400000000003</v>
      </c>
      <c r="J2610" s="615">
        <f t="shared" si="747"/>
        <v>9.3120000000000008E-2</v>
      </c>
      <c r="K2610" s="614">
        <f t="shared" si="747"/>
        <v>39.243220692335875</v>
      </c>
      <c r="L2610" s="451"/>
      <c r="M2610" s="452"/>
      <c r="N2610" s="321"/>
    </row>
    <row r="2611" spans="2:14">
      <c r="B2611" s="335"/>
      <c r="C2611" s="590"/>
      <c r="D2611" s="608" t="s">
        <v>199</v>
      </c>
      <c r="E2611" s="613">
        <f t="shared" ref="E2611:K2611" si="748">MAX(E2579:E2583,E2585:E2589,E2591:E2595,E2597:E2601,E2603:E2607)</f>
        <v>4.109</v>
      </c>
      <c r="F2611" s="614">
        <f t="shared" si="748"/>
        <v>4.7690000000000001</v>
      </c>
      <c r="G2611" s="614">
        <f t="shared" si="748"/>
        <v>3.6582690000000002</v>
      </c>
      <c r="H2611" s="614">
        <f t="shared" si="748"/>
        <v>5.691961</v>
      </c>
      <c r="I2611" s="615">
        <f t="shared" si="748"/>
        <v>0.13739999999999999</v>
      </c>
      <c r="J2611" s="615">
        <f t="shared" si="748"/>
        <v>0.1061</v>
      </c>
      <c r="K2611" s="614">
        <f t="shared" si="748"/>
        <v>45.14204545454546</v>
      </c>
      <c r="L2611" s="451"/>
      <c r="M2611" s="452"/>
      <c r="N2611" s="321"/>
    </row>
    <row r="2612" spans="2:14">
      <c r="B2612" s="335"/>
      <c r="C2612" s="590"/>
      <c r="D2612" s="608" t="s">
        <v>200</v>
      </c>
      <c r="E2612" s="613">
        <f t="shared" ref="E2612:K2612" si="749">MIN(E2579:E2583,E2585:E2589,E2591:E2595,E2597:E2601,E2603:E2607)</f>
        <v>2.1440000000000001</v>
      </c>
      <c r="F2612" s="614">
        <f t="shared" si="749"/>
        <v>0</v>
      </c>
      <c r="G2612" s="614">
        <f t="shared" si="749"/>
        <v>0</v>
      </c>
      <c r="H2612" s="614">
        <f t="shared" si="749"/>
        <v>0</v>
      </c>
      <c r="I2612" s="615">
        <f t="shared" si="749"/>
        <v>0</v>
      </c>
      <c r="J2612" s="615">
        <f t="shared" si="749"/>
        <v>0</v>
      </c>
      <c r="K2612" s="614">
        <f t="shared" si="749"/>
        <v>0</v>
      </c>
      <c r="L2612" s="451"/>
      <c r="M2612" s="452"/>
      <c r="N2612" s="321"/>
    </row>
    <row r="2613" spans="2:14">
      <c r="B2613" s="335"/>
      <c r="C2613" s="590"/>
      <c r="D2613" s="608" t="s">
        <v>201</v>
      </c>
      <c r="E2613" s="613">
        <f t="shared" ref="E2613:K2613" si="750">E2611-E2612</f>
        <v>1.9649999999999999</v>
      </c>
      <c r="F2613" s="614">
        <f t="shared" si="750"/>
        <v>4.7690000000000001</v>
      </c>
      <c r="G2613" s="614">
        <f t="shared" si="750"/>
        <v>3.6582690000000002</v>
      </c>
      <c r="H2613" s="614">
        <f t="shared" si="750"/>
        <v>5.691961</v>
      </c>
      <c r="I2613" s="615">
        <f t="shared" si="750"/>
        <v>0.13739999999999999</v>
      </c>
      <c r="J2613" s="615">
        <f t="shared" si="750"/>
        <v>0.1061</v>
      </c>
      <c r="K2613" s="614">
        <f t="shared" si="750"/>
        <v>45.14204545454546</v>
      </c>
      <c r="L2613" s="451"/>
      <c r="M2613" s="452"/>
      <c r="N2613" s="321"/>
    </row>
    <row r="2614" spans="2:14" ht="17.25" thickBot="1">
      <c r="B2614" s="336"/>
      <c r="C2614" s="594"/>
      <c r="D2614" s="609" t="s">
        <v>202</v>
      </c>
      <c r="E2614" s="616">
        <f t="shared" ref="E2614:K2614" si="751">STDEVA(E2579:E2583,E2585:E2589,E2591:E2595,E2597:E2601,E2603:E2607)</f>
        <v>0.51026153424820886</v>
      </c>
      <c r="F2614" s="616">
        <f t="shared" si="751"/>
        <v>1.5696447867803289</v>
      </c>
      <c r="G2614" s="616">
        <f t="shared" si="751"/>
        <v>1.2055824192528224</v>
      </c>
      <c r="H2614" s="616">
        <f t="shared" si="751"/>
        <v>1.8704898383935689</v>
      </c>
      <c r="I2614" s="617">
        <f t="shared" si="751"/>
        <v>4.5537304121639234E-2</v>
      </c>
      <c r="J2614" s="617">
        <f t="shared" si="751"/>
        <v>3.5096391077526254E-2</v>
      </c>
      <c r="K2614" s="616">
        <f t="shared" si="751"/>
        <v>14.83585801050711</v>
      </c>
      <c r="L2614" s="610"/>
      <c r="M2614" s="464"/>
      <c r="N2614" s="618"/>
    </row>
    <row r="2615" spans="2:14" ht="17.25" thickBot="1">
      <c r="B2615" s="465" t="s">
        <v>642</v>
      </c>
      <c r="C2615" s="466" t="s">
        <v>643</v>
      </c>
      <c r="D2615" s="467" t="s">
        <v>644</v>
      </c>
      <c r="E2615" s="468" t="s">
        <v>2</v>
      </c>
      <c r="F2615" s="468" t="s">
        <v>3</v>
      </c>
      <c r="G2615" s="468" t="s">
        <v>623</v>
      </c>
      <c r="H2615" s="468" t="s">
        <v>16</v>
      </c>
      <c r="I2615" s="469" t="s">
        <v>6</v>
      </c>
      <c r="J2615" s="470" t="s">
        <v>7</v>
      </c>
      <c r="K2615" s="471" t="s">
        <v>8</v>
      </c>
      <c r="L2615" s="472" t="s">
        <v>608</v>
      </c>
      <c r="M2615" s="550" t="s">
        <v>647</v>
      </c>
      <c r="N2615" s="332"/>
    </row>
    <row r="2616" spans="2:14">
      <c r="B2616" s="473">
        <v>33</v>
      </c>
      <c r="C2616" s="474" t="str">
        <f ca="1">IFERROR(OFFSET(B2576,IF(VALUE(MID(D2616,2,1))=1,3,IF(VALUE(MID(D2616,2,1))=2,9,IF(VALUE(MID(D2616,2,1))=3,15,IF(VALUE(MID(D2616,2,1))=4,21,27)))),1),"")</f>
        <v>Ref.</v>
      </c>
      <c r="D2616" s="475" t="str">
        <f>IF(B2616="","","C"&amp;B2616)</f>
        <v>C33</v>
      </c>
      <c r="E2616" s="539">
        <f>IF(IFERROR(VLOOKUP(D2616,D2579:K2607,2,0),0),VLOOKUP(D2616,D2579:K2607,2,0),"")</f>
        <v>4.0940000000000003</v>
      </c>
      <c r="F2616" s="539">
        <f>IF(IFERROR(VLOOKUP(D2616,D2579:K2607,3,0),0),VLOOKUP(D2616,D2579:K2607,3,0),"")</f>
        <v>4.7350000000000003</v>
      </c>
      <c r="G2616" s="539">
        <f>IF(IFERROR(VLOOKUP(D2616,D2579:K2607,4,0),0),VLOOKUP(D2616,D2579:K2607,4,0),"")</f>
        <v>3.6334710000000001</v>
      </c>
      <c r="H2616" s="539">
        <f>IF(IFERROR(VLOOKUP(D2616,D2579:K2607,5,0),0),VLOOKUP(D2616,D2579:K2607,5,0),"")</f>
        <v>5.6390149999999997</v>
      </c>
      <c r="I2616" s="540">
        <f>IF(IFERROR(VLOOKUP(D2616,D2579:K2607,6,0),0),VLOOKUP(D2616,D2579:K2607,6,0),"")</f>
        <v>0.13719999999999999</v>
      </c>
      <c r="J2616" s="540">
        <f>IF(IFERROR(VLOOKUP(D2616,D2579:K2607,7,0),0),VLOOKUP(D2616,D2579:K2607,7,0),"")</f>
        <v>0.1061</v>
      </c>
      <c r="K2616" s="541">
        <f>IF(IFERROR(VLOOKUP(D2616,D2579:K2607,8,0),0),VLOOKUP(D2616,D2579:K2607,8,0),"")</f>
        <v>44.62770970782281</v>
      </c>
      <c r="L2616" s="542">
        <f>IF(IFERROR(VLOOKUP(D2616,D2579:N2608,9,0),0),VLOOKUP(D2616,D2579:N2608,9,0),"")</f>
        <v>458</v>
      </c>
      <c r="M2616" s="541"/>
      <c r="N2616" s="321"/>
    </row>
    <row r="2617" spans="2:14">
      <c r="B2617" s="473">
        <v>43</v>
      </c>
      <c r="C2617" s="474" t="str">
        <f ca="1">IFERROR(OFFSET(B2576,IF(VALUE(MID(D2617,2,1))=1,3,IF(VALUE(MID(D2617,2,1))=2,9,IF(VALUE(MID(D2617,2,1))=3,15,IF(VALUE(MID(D2617,2,1))=4,21,27)))),1),"")</f>
        <v>101G20005</v>
      </c>
      <c r="D2617" s="475" t="str">
        <f t="shared" ref="D2617:D2620" si="752">IF(B2617="","","C"&amp;B2617)</f>
        <v>C43</v>
      </c>
      <c r="E2617" s="539">
        <f>IF(IFERROR(VLOOKUP(D2617,D2579:K2607,2,0),0),VLOOKUP(D2617,D2579:K2607,2,0),"")</f>
        <v>4.0919999999999996</v>
      </c>
      <c r="F2617" s="539">
        <f>IF(IFERROR(VLOOKUP(D2617,D2579:K2607,3,0),0),VLOOKUP(D2617,D2579:K2607,3,0),"")</f>
        <v>4.7549999999999999</v>
      </c>
      <c r="G2617" s="539">
        <f>IF(IFERROR(VLOOKUP(D2617,D2579:K2607,4,0),0),VLOOKUP(D2617,D2579:K2607,4,0),"")</f>
        <v>3.650601</v>
      </c>
      <c r="H2617" s="539">
        <f>IF(IFERROR(VLOOKUP(D2617,D2579:K2607,5,0),0),VLOOKUP(D2617,D2579:K2607,5,0),"")</f>
        <v>5.661581</v>
      </c>
      <c r="I2617" s="540">
        <f>IF(IFERROR(VLOOKUP(D2617,D2579:K2607,6,0),0),VLOOKUP(D2617,D2579:K2607,6,0),"")</f>
        <v>0.13719999999999999</v>
      </c>
      <c r="J2617" s="540">
        <f>IF(IFERROR(VLOOKUP(D2617,D2579:K2607,7,0),0),VLOOKUP(D2617,D2579:K2607,7,0),"")</f>
        <v>0.10589999999999999</v>
      </c>
      <c r="K2617" s="541">
        <f>IF(IFERROR(VLOOKUP(D2617,D2579:K2607,8,0),0),VLOOKUP(D2617,D2579:K2607,8,0),"")</f>
        <v>44.900849858356942</v>
      </c>
      <c r="L2617" s="542">
        <f>IF(IFERROR(VLOOKUP(D2617,D2579:N2608,9,0),0),VLOOKUP(D2617,D2579:N2608,9,0),"")</f>
        <v>458</v>
      </c>
      <c r="M2617" s="541"/>
      <c r="N2617" s="321"/>
    </row>
    <row r="2618" spans="2:14">
      <c r="B2618" s="478"/>
      <c r="C2618" s="474" t="str">
        <f ca="1">IFERROR(OFFSET(B2576,IF(VALUE(MID(D2618,2,1))=1,3,IF(VALUE(MID(D2618,2,1))=2,9,IF(VALUE(MID(D2618,2,1))=3,15,IF(VALUE(MID(D2618,2,1))=4,21,27)))),1),"")</f>
        <v/>
      </c>
      <c r="D2618" s="475" t="str">
        <f t="shared" si="752"/>
        <v/>
      </c>
      <c r="E2618" s="539" t="str">
        <f>IF(IFERROR(VLOOKUP(D2618,D2579:K2607,2,0),0),VLOOKUP(D2618,D2579:K2607,2,0),"")</f>
        <v/>
      </c>
      <c r="F2618" s="539" t="str">
        <f>IF(IFERROR(VLOOKUP(D2618,D2579:K2607,3,0),0),VLOOKUP(D2618,D2579:K2607,3,0),"")</f>
        <v/>
      </c>
      <c r="G2618" s="539" t="str">
        <f>IF(IFERROR(VLOOKUP(D2618,D2579:K2607,4,0),0),VLOOKUP(D2618,D2579:K2607,4,0),"")</f>
        <v/>
      </c>
      <c r="H2618" s="539" t="str">
        <f>IF(IFERROR(VLOOKUP(D2618,D2579:K2607,5,0),0),VLOOKUP(D2618,D2579:K2607,5,0),"")</f>
        <v/>
      </c>
      <c r="I2618" s="540" t="str">
        <f>IF(IFERROR(VLOOKUP(D2618,D2579:K2607,6,0),0),VLOOKUP(D2618,D2579:K2607,6,0),"")</f>
        <v/>
      </c>
      <c r="J2618" s="540" t="str">
        <f>IF(IFERROR(VLOOKUP(D2618,D2579:K2607,7,0),0),VLOOKUP(D2618,D2579:K2607,7,0),"")</f>
        <v/>
      </c>
      <c r="K2618" s="541" t="str">
        <f>IF(IFERROR(VLOOKUP(D2618,D2579:K2607,8,0),0),VLOOKUP(D2618,D2579:K2607,8,0),"")</f>
        <v/>
      </c>
      <c r="L2618" s="542" t="str">
        <f>IF(IFERROR(VLOOKUP(D2618,D2579:N2608,9,0),0),VLOOKUP(D2618,D2579:N2608,9,0),"")</f>
        <v/>
      </c>
      <c r="M2618" s="541"/>
      <c r="N2618" s="321"/>
    </row>
    <row r="2619" spans="2:14">
      <c r="B2619" s="478"/>
      <c r="C2619" s="474" t="str">
        <f ca="1">IFERROR(OFFSET(B2576,IF(VALUE(MID(D2619,2,1))=1,3,IF(VALUE(MID(D2619,2,1))=2,9,IF(VALUE(MID(D2619,2,1))=3,15,IF(VALUE(MID(D2619,2,1))=4,21,27)))),1),"")</f>
        <v/>
      </c>
      <c r="D2619" s="475" t="str">
        <f t="shared" si="752"/>
        <v/>
      </c>
      <c r="E2619" s="539" t="str">
        <f>IF(IFERROR(VLOOKUP(D2619,D2579:K2607,2,0),0),VLOOKUP(D2619,D2579:K2607,2,0),"")</f>
        <v/>
      </c>
      <c r="F2619" s="539" t="str">
        <f>IF(IFERROR(VLOOKUP(D2619,D2579:K2607,3,0),0),VLOOKUP(D2619,D2579:K2607,3,0),"")</f>
        <v/>
      </c>
      <c r="G2619" s="539" t="str">
        <f>IF(IFERROR(VLOOKUP(D2619,D2579:K2607,4,0),0),VLOOKUP(D2619,D2579:K2607,4,0),"")</f>
        <v/>
      </c>
      <c r="H2619" s="539" t="str">
        <f>IF(IFERROR(VLOOKUP(D2619,D2579:K2607,5,0),0),VLOOKUP(D2619,D2579:K2607,5,0),"")</f>
        <v/>
      </c>
      <c r="I2619" s="540" t="str">
        <f>IF(IFERROR(VLOOKUP(D2619,D2579:K2607,6,0),0),VLOOKUP(D2619,D2579:K2607,6,0),"")</f>
        <v/>
      </c>
      <c r="J2619" s="540" t="str">
        <f>IF(IFERROR(VLOOKUP(D2619,D2579:K2607,7,0),0),VLOOKUP(D2619,D2579:K2607,7,0),"")</f>
        <v/>
      </c>
      <c r="K2619" s="541" t="str">
        <f>IF(IFERROR(VLOOKUP(D2619,D2579:K2607,8,0),0),VLOOKUP(D2619,D2579:K2607,8,0),"")</f>
        <v/>
      </c>
      <c r="L2619" s="542" t="str">
        <f>IF(IFERROR(VLOOKUP(D2619,D2579:N2608,9,0),0),VLOOKUP(D2619,D2579:N2608,9,0),"")</f>
        <v/>
      </c>
      <c r="M2619" s="541"/>
      <c r="N2619" s="321"/>
    </row>
    <row r="2620" spans="2:14" ht="17.25" thickBot="1">
      <c r="B2620" s="479"/>
      <c r="C2620" s="474" t="str">
        <f ca="1">IFERROR(OFFSET(B2576,IF(VALUE(MID(D2620,2,1))=1,3,IF(VALUE(MID(D2620,2,1))=2,9,IF(VALUE(MID(D2620,2,1))=3,15,IF(VALUE(MID(D2620,2,1))=4,21,27)))),1),"")</f>
        <v/>
      </c>
      <c r="D2620" s="543" t="str">
        <f t="shared" si="752"/>
        <v/>
      </c>
      <c r="E2620" s="544" t="str">
        <f>IF(IFERROR(VLOOKUP(D2620,D2579:K2607,2,0),0),VLOOKUP(D2620,D2579:K2607,2,0),"")</f>
        <v/>
      </c>
      <c r="F2620" s="544" t="str">
        <f>IF(IFERROR(VLOOKUP(D2620,D2579:K2607,3,0),0),VLOOKUP(D2620,D2579:K2607,3,0),"")</f>
        <v/>
      </c>
      <c r="G2620" s="544" t="str">
        <f>IF(IFERROR(VLOOKUP(D2620,D2579:K2607,4,0),0),VLOOKUP(D2620,D2579:K2607,4,0),"")</f>
        <v/>
      </c>
      <c r="H2620" s="544" t="str">
        <f>IF(IFERROR(VLOOKUP(D2620,D2579:K2607,5,0),0),VLOOKUP(D2620,D2579:K2607,5,0),"")</f>
        <v/>
      </c>
      <c r="I2620" s="545" t="str">
        <f>IF(IFERROR(VLOOKUP(D2620,D2579:K2607,6,0),0),VLOOKUP(D2620,D2579:K2607,6,0),"")</f>
        <v/>
      </c>
      <c r="J2620" s="545" t="str">
        <f>IF(IFERROR(VLOOKUP(D2620,D2579:K2607,7,0),0),VLOOKUP(D2620,D2579:K2607,7,0),"")</f>
        <v/>
      </c>
      <c r="K2620" s="546" t="str">
        <f>IF(IFERROR(VLOOKUP(D2620,D2579:K2607,8,0),0),VLOOKUP(D2620,D2579:K2607,8,0),"")</f>
        <v/>
      </c>
      <c r="L2620" s="547" t="str">
        <f>IF(IFERROR(VLOOKUP(D2620,D2579:N2608,9,0),0),VLOOKUP(D2620,D2579:N2608,9,0),"")</f>
        <v/>
      </c>
      <c r="M2620" s="546"/>
      <c r="N2620" s="618"/>
    </row>
    <row r="2621" spans="2:14">
      <c r="B2621" s="480"/>
      <c r="C2621" s="448"/>
      <c r="D2621" s="467" t="s">
        <v>644</v>
      </c>
      <c r="E2621" s="468" t="s">
        <v>2</v>
      </c>
      <c r="F2621" s="481" t="s">
        <v>3</v>
      </c>
      <c r="G2621" s="481" t="s">
        <v>623</v>
      </c>
      <c r="H2621" s="481" t="s">
        <v>16</v>
      </c>
      <c r="I2621" s="469" t="s">
        <v>6</v>
      </c>
      <c r="J2621" s="470" t="s">
        <v>7</v>
      </c>
      <c r="K2621" s="482" t="s">
        <v>8</v>
      </c>
      <c r="L2621" s="483" t="str">
        <f>L2615</f>
        <v>Max파장(nm)</v>
      </c>
      <c r="M2621" s="550" t="str">
        <f>M2615</f>
        <v>LifeTime</v>
      </c>
      <c r="N2621" s="448"/>
    </row>
    <row r="2622" spans="2:14">
      <c r="B2622" s="484"/>
      <c r="C2622" s="438"/>
      <c r="D2622" s="485" t="str">
        <f t="array" ref="D2622:D2626">D2616:D2620</f>
        <v>C33</v>
      </c>
      <c r="E2622" s="539">
        <f t="array" ref="E2622:H2622">IF(E2616:H2616="","",E2616:H2616/E2616:H2616)</f>
        <v>1</v>
      </c>
      <c r="F2622" s="539">
        <v>1</v>
      </c>
      <c r="G2622" s="539">
        <v>1</v>
      </c>
      <c r="H2622" s="539">
        <v>1</v>
      </c>
      <c r="I2622" s="540">
        <f t="array" ref="I2622:J2622">IF(I2616:J2616="","",ABS(I2616:J2616-I2616:J2616))</f>
        <v>0</v>
      </c>
      <c r="J2622" s="540">
        <v>0</v>
      </c>
      <c r="K2622" s="539">
        <f>IF(K2616="","",K2616/K2616)</f>
        <v>1</v>
      </c>
      <c r="L2622" s="548">
        <f>IF(L2616="","",L2616-L2616)</f>
        <v>0</v>
      </c>
      <c r="M2622" s="541" t="str">
        <f>IF(M2616="","",M2616/M2616)</f>
        <v/>
      </c>
      <c r="N2622" s="438"/>
    </row>
    <row r="2623" spans="2:14">
      <c r="B2623" s="484"/>
      <c r="C2623" s="438"/>
      <c r="D2623" s="485" t="str">
        <v>C43</v>
      </c>
      <c r="E2623" s="539">
        <f t="array" ref="E2623:H2623">IF(E2617:H2617="","",E2617:H2617/E2616:H2616)</f>
        <v>0.99951148021494851</v>
      </c>
      <c r="F2623" s="539">
        <v>1.0042238648363251</v>
      </c>
      <c r="G2623" s="539">
        <v>1.0047145002670999</v>
      </c>
      <c r="H2623" s="539">
        <v>1.0040017627191984</v>
      </c>
      <c r="I2623" s="540">
        <f t="array" ref="I2623:J2623">IF(I2617:J2617="","",ABS(I2617:J2617-I2616:J2616))</f>
        <v>0</v>
      </c>
      <c r="J2623" s="540">
        <v>2.0000000000000573E-4</v>
      </c>
      <c r="K2623" s="539">
        <f>IF(K2617="","",K2617/K2616)</f>
        <v>1.0061204160447035</v>
      </c>
      <c r="L2623" s="548">
        <f>IF(L2617="","",L2617-L2616)</f>
        <v>0</v>
      </c>
      <c r="M2623" s="541" t="str">
        <f>IF(M2617="","",M2617/M2616)</f>
        <v/>
      </c>
      <c r="N2623" s="438"/>
    </row>
    <row r="2624" spans="2:14">
      <c r="B2624" s="484"/>
      <c r="C2624" s="438"/>
      <c r="D2624" s="485" t="str">
        <v/>
      </c>
      <c r="E2624" s="539" t="str">
        <f t="array" ref="E2624:H2624">IF(E2618:H2618="","",E2618:H2618/E2616:H2616)</f>
        <v/>
      </c>
      <c r="F2624" s="539" t="str">
        <v/>
      </c>
      <c r="G2624" s="539" t="str">
        <v/>
      </c>
      <c r="H2624" s="539" t="str">
        <v/>
      </c>
      <c r="I2624" s="540" t="str">
        <f t="array" ref="I2624:J2624">IF(I2618:J2618="","",ABS(I2618:J2618-I2616:J2616))</f>
        <v/>
      </c>
      <c r="J2624" s="540" t="str">
        <v/>
      </c>
      <c r="K2624" s="539" t="str">
        <f>IF(K2618="","",K2618/K2616)</f>
        <v/>
      </c>
      <c r="L2624" s="548" t="str">
        <f>IF(L2618="","",L2618-L2616)</f>
        <v/>
      </c>
      <c r="M2624" s="541" t="str">
        <f>IF(M2618="","",M2618/M2616)</f>
        <v/>
      </c>
      <c r="N2624" s="438"/>
    </row>
    <row r="2625" spans="2:14">
      <c r="B2625" s="484"/>
      <c r="C2625" s="438"/>
      <c r="D2625" s="485" t="str">
        <v/>
      </c>
      <c r="E2625" s="539" t="str">
        <f t="array" ref="E2625:H2625">IF(E2619:H2619="","",E2619:H2619/E2616:H2616)</f>
        <v/>
      </c>
      <c r="F2625" s="539" t="str">
        <v/>
      </c>
      <c r="G2625" s="539" t="str">
        <v/>
      </c>
      <c r="H2625" s="539" t="str">
        <v/>
      </c>
      <c r="I2625" s="540" t="str">
        <f t="array" ref="I2625:J2625">IF(I2619:J2619="","",ABS(I2619:J2619-I2616:J2616))</f>
        <v/>
      </c>
      <c r="J2625" s="540" t="str">
        <v/>
      </c>
      <c r="K2625" s="539" t="str">
        <f>IF(K2619="","",K2619/K2616)</f>
        <v/>
      </c>
      <c r="L2625" s="548" t="str">
        <f>IF(L2619="","",L2619-L2616)</f>
        <v/>
      </c>
      <c r="M2625" s="541" t="str">
        <f>IF(M2619="","",M2619/M2616)</f>
        <v/>
      </c>
      <c r="N2625" s="438"/>
    </row>
    <row r="2626" spans="2:14" ht="17.25" thickBot="1">
      <c r="B2626" s="487" t="s">
        <v>53</v>
      </c>
      <c r="C2626" s="629"/>
      <c r="D2626" s="486" t="str">
        <v/>
      </c>
      <c r="E2626" s="544" t="str">
        <f t="array" ref="E2626:H2626">IF(E2620:H2620="","",E2620:H2620/E2616:H2616)</f>
        <v/>
      </c>
      <c r="F2626" s="544" t="str">
        <v/>
      </c>
      <c r="G2626" s="544" t="str">
        <v/>
      </c>
      <c r="H2626" s="544" t="str">
        <v/>
      </c>
      <c r="I2626" s="545" t="str">
        <f t="array" ref="I2626:J2626">IF(I2620:J2620="","",ABS(I2620:J2620-I2616:J2616))</f>
        <v/>
      </c>
      <c r="J2626" s="545" t="str">
        <v/>
      </c>
      <c r="K2626" s="544" t="str">
        <f>IF(K2620="","",K2620/K2616)</f>
        <v/>
      </c>
      <c r="L2626" s="549" t="str">
        <f>IF(L2620="","",L2620-L2616)</f>
        <v/>
      </c>
      <c r="M2626" s="546" t="str">
        <f>IF(M2620="","",M2620/M2616)</f>
        <v/>
      </c>
      <c r="N2626" s="629"/>
    </row>
    <row r="2627" spans="2:14">
      <c r="C2627" s="240"/>
      <c r="E2627" s="240"/>
      <c r="F2627" s="240"/>
      <c r="G2627" s="240"/>
      <c r="H2627" s="240"/>
      <c r="I2627" s="240"/>
      <c r="J2627" s="240"/>
      <c r="K2627" s="240"/>
    </row>
    <row r="2628" spans="2:14">
      <c r="B2628" s="241" t="s">
        <v>783</v>
      </c>
      <c r="C2628" s="240"/>
      <c r="E2628" s="418"/>
      <c r="F2628" s="418"/>
      <c r="G2628" s="418"/>
      <c r="H2628" s="418"/>
      <c r="I2628" s="419"/>
      <c r="J2628" s="419"/>
      <c r="K2628" s="418"/>
      <c r="L2628" s="416"/>
      <c r="M2628" s="417"/>
    </row>
    <row r="2629" spans="2:14" ht="17.25" thickBot="1">
      <c r="B2629" s="240" t="s">
        <v>782</v>
      </c>
      <c r="C2629" s="240"/>
      <c r="E2629" s="418"/>
      <c r="F2629" s="418"/>
      <c r="G2629" s="418"/>
      <c r="H2629" s="418"/>
      <c r="I2629" s="419"/>
      <c r="J2629" s="419"/>
      <c r="K2629" s="418"/>
      <c r="L2629" s="416"/>
      <c r="M2629" s="417"/>
    </row>
    <row r="2630" spans="2:14" ht="17.25" thickBot="1">
      <c r="B2630" s="313" t="s">
        <v>11</v>
      </c>
      <c r="C2630" s="250" t="s">
        <v>0</v>
      </c>
      <c r="D2630" s="250" t="s">
        <v>1</v>
      </c>
      <c r="E2630" s="420" t="s">
        <v>2</v>
      </c>
      <c r="F2630" s="420" t="s">
        <v>3</v>
      </c>
      <c r="G2630" s="420" t="s">
        <v>623</v>
      </c>
      <c r="H2630" s="420" t="s">
        <v>16</v>
      </c>
      <c r="I2630" s="421" t="s">
        <v>6</v>
      </c>
      <c r="J2630" s="422" t="s">
        <v>7</v>
      </c>
      <c r="K2630" s="423" t="s">
        <v>8</v>
      </c>
      <c r="L2630" s="424" t="s">
        <v>625</v>
      </c>
      <c r="M2630" s="425" t="s">
        <v>626</v>
      </c>
      <c r="N2630" s="254" t="s">
        <v>439</v>
      </c>
    </row>
    <row r="2631" spans="2:14">
      <c r="B2631" s="314">
        <v>1</v>
      </c>
      <c r="C2631" s="271" t="s">
        <v>388</v>
      </c>
      <c r="D2631" s="291" t="s">
        <v>213</v>
      </c>
      <c r="E2631" s="426">
        <v>4.0529999999999999</v>
      </c>
      <c r="F2631" s="426">
        <v>4.8109999999999999</v>
      </c>
      <c r="G2631" s="426">
        <v>3.729136</v>
      </c>
      <c r="H2631" s="427">
        <v>5.783137</v>
      </c>
      <c r="I2631" s="428">
        <v>0.1376</v>
      </c>
      <c r="J2631" s="428">
        <v>0.1045</v>
      </c>
      <c r="K2631" s="429">
        <v>46.038277511961724</v>
      </c>
      <c r="L2631" s="430">
        <v>458</v>
      </c>
      <c r="M2631" s="431">
        <v>-6.9999999999999999E-4</v>
      </c>
      <c r="N2631" s="275"/>
    </row>
    <row r="2632" spans="2:14">
      <c r="B2632" s="315">
        <v>2</v>
      </c>
      <c r="C2632" s="583"/>
      <c r="D2632" s="584" t="s">
        <v>214</v>
      </c>
      <c r="E2632" s="585">
        <v>4.0579999999999998</v>
      </c>
      <c r="F2632" s="585">
        <v>4.8079999999999998</v>
      </c>
      <c r="G2632" s="585">
        <v>3.7222189999999999</v>
      </c>
      <c r="H2632" s="585">
        <v>5.7668330000000001</v>
      </c>
      <c r="I2632" s="586">
        <v>0.1376</v>
      </c>
      <c r="J2632" s="586">
        <v>0.1047</v>
      </c>
      <c r="K2632" s="587">
        <v>45.921680993314226</v>
      </c>
      <c r="L2632" s="433">
        <v>458</v>
      </c>
      <c r="M2632" s="434">
        <v>-7.7499999999999997E-4</v>
      </c>
      <c r="N2632" s="432"/>
    </row>
    <row r="2633" spans="2:14">
      <c r="B2633" s="315">
        <v>3</v>
      </c>
      <c r="C2633" s="590"/>
      <c r="D2633" s="584" t="s">
        <v>217</v>
      </c>
      <c r="E2633" s="585">
        <v>4.0609999999999999</v>
      </c>
      <c r="F2633" s="585">
        <v>4.8099999999999996</v>
      </c>
      <c r="G2633" s="585">
        <v>3.7210160000000001</v>
      </c>
      <c r="H2633" s="585">
        <v>5.7641260000000001</v>
      </c>
      <c r="I2633" s="586">
        <v>0.13750000000000001</v>
      </c>
      <c r="J2633" s="586">
        <v>0.1048</v>
      </c>
      <c r="K2633" s="587">
        <v>45.896946564885489</v>
      </c>
      <c r="L2633" s="435">
        <v>458</v>
      </c>
      <c r="M2633" s="436">
        <v>-3.3E-3</v>
      </c>
      <c r="N2633" s="437"/>
    </row>
    <row r="2634" spans="2:14">
      <c r="B2634" s="315">
        <v>4</v>
      </c>
      <c r="C2634" s="590"/>
      <c r="D2634" s="584" t="s">
        <v>218</v>
      </c>
      <c r="E2634" s="585">
        <v>4.0609999999999999</v>
      </c>
      <c r="F2634" s="585">
        <v>4.8040000000000003</v>
      </c>
      <c r="G2634" s="585">
        <v>3.7163750000000002</v>
      </c>
      <c r="H2634" s="585">
        <v>5.7593370000000004</v>
      </c>
      <c r="I2634" s="586">
        <v>0.13750000000000001</v>
      </c>
      <c r="J2634" s="586">
        <v>0.1047</v>
      </c>
      <c r="K2634" s="587">
        <v>45.883476599808979</v>
      </c>
      <c r="L2634" s="433">
        <v>458</v>
      </c>
      <c r="M2634" s="434">
        <v>-8.2700000000000004E-4</v>
      </c>
      <c r="N2634" s="438"/>
    </row>
    <row r="2635" spans="2:14" ht="17.25" thickBot="1">
      <c r="B2635" s="322">
        <v>5</v>
      </c>
      <c r="C2635" s="594"/>
      <c r="D2635" s="595" t="s">
        <v>240</v>
      </c>
      <c r="E2635" s="596">
        <v>4.0590000000000002</v>
      </c>
      <c r="F2635" s="596">
        <v>4.8150000000000004</v>
      </c>
      <c r="G2635" s="596">
        <v>3.7267199999999998</v>
      </c>
      <c r="H2635" s="596">
        <v>5.7648029999999997</v>
      </c>
      <c r="I2635" s="597">
        <v>0.13750000000000001</v>
      </c>
      <c r="J2635" s="597">
        <v>0.1048</v>
      </c>
      <c r="K2635" s="598">
        <v>45.944656488549619</v>
      </c>
      <c r="L2635" s="599">
        <v>458</v>
      </c>
      <c r="M2635" s="600">
        <v>-1.5399999999999999E-3</v>
      </c>
      <c r="N2635" s="439"/>
    </row>
    <row r="2636" spans="2:14" ht="17.25" thickBot="1">
      <c r="B2636" s="325"/>
      <c r="C2636" s="326"/>
      <c r="D2636" s="440" t="s">
        <v>465</v>
      </c>
      <c r="E2636" s="441">
        <f t="shared" ref="E2636:K2636" si="753">AVERAGE(E2631:E2635)</f>
        <v>4.0584000000000007</v>
      </c>
      <c r="F2636" s="441">
        <f>AVERAGE(F2631:F2635)</f>
        <v>4.8095999999999997</v>
      </c>
      <c r="G2636" s="441">
        <f t="shared" si="753"/>
        <v>3.7230932000000001</v>
      </c>
      <c r="H2636" s="441">
        <f t="shared" si="753"/>
        <v>5.7676472000000008</v>
      </c>
      <c r="I2636" s="442">
        <f t="shared" si="753"/>
        <v>0.13754</v>
      </c>
      <c r="J2636" s="442">
        <f t="shared" si="753"/>
        <v>0.10470000000000002</v>
      </c>
      <c r="K2636" s="443">
        <f t="shared" si="753"/>
        <v>45.937007631704006</v>
      </c>
      <c r="L2636" s="444"/>
      <c r="M2636" s="445"/>
      <c r="N2636" s="446"/>
    </row>
    <row r="2637" spans="2:14">
      <c r="B2637" s="314">
        <v>6</v>
      </c>
      <c r="C2637" s="271" t="s">
        <v>780</v>
      </c>
      <c r="D2637" s="447" t="s">
        <v>241</v>
      </c>
      <c r="E2637" s="426">
        <v>4.0460000000000003</v>
      </c>
      <c r="F2637" s="426">
        <v>4.7939999999999996</v>
      </c>
      <c r="G2637" s="426">
        <v>3.722388</v>
      </c>
      <c r="H2637" s="427">
        <v>5.7399110000000002</v>
      </c>
      <c r="I2637" s="428">
        <v>0.13769999999999999</v>
      </c>
      <c r="J2637" s="428">
        <v>0.1048</v>
      </c>
      <c r="K2637" s="429">
        <v>45.744274809160302</v>
      </c>
      <c r="L2637" s="449">
        <v>458</v>
      </c>
      <c r="M2637" s="450">
        <v>-7.67E-4</v>
      </c>
      <c r="N2637" s="606"/>
    </row>
    <row r="2638" spans="2:14">
      <c r="B2638" s="315">
        <v>7</v>
      </c>
      <c r="C2638" s="590"/>
      <c r="D2638" s="584" t="s">
        <v>242</v>
      </c>
      <c r="E2638" s="585">
        <v>4.0510000000000002</v>
      </c>
      <c r="F2638" s="585">
        <v>4.782</v>
      </c>
      <c r="G2638" s="585">
        <v>3.708488</v>
      </c>
      <c r="H2638" s="585">
        <v>5.7216950000000004</v>
      </c>
      <c r="I2638" s="586">
        <v>0.13750000000000001</v>
      </c>
      <c r="J2638" s="586">
        <v>0.10489999999999999</v>
      </c>
      <c r="K2638" s="587">
        <v>45.586272640610105</v>
      </c>
      <c r="L2638" s="433">
        <v>458</v>
      </c>
      <c r="M2638" s="434">
        <v>-8.1999999999999998E-4</v>
      </c>
      <c r="N2638" s="438"/>
    </row>
    <row r="2639" spans="2:14">
      <c r="B2639" s="315">
        <v>8</v>
      </c>
      <c r="C2639" s="590"/>
      <c r="D2639" s="584" t="s">
        <v>222</v>
      </c>
      <c r="E2639" s="585">
        <v>4.0549999999999997</v>
      </c>
      <c r="F2639" s="585">
        <v>4.7809999999999997</v>
      </c>
      <c r="G2639" s="585">
        <v>3.7040549999999999</v>
      </c>
      <c r="H2639" s="585">
        <v>5.7149150000000004</v>
      </c>
      <c r="I2639" s="586">
        <v>0.13750000000000001</v>
      </c>
      <c r="J2639" s="586">
        <v>0.105</v>
      </c>
      <c r="K2639" s="587">
        <v>45.533333333333331</v>
      </c>
      <c r="L2639" s="433">
        <v>458</v>
      </c>
      <c r="M2639" s="434">
        <v>-7.7999999999999999E-4</v>
      </c>
      <c r="N2639" s="438"/>
    </row>
    <row r="2640" spans="2:14">
      <c r="B2640" s="315">
        <v>9</v>
      </c>
      <c r="C2640" s="590"/>
      <c r="D2640" s="584" t="s">
        <v>223</v>
      </c>
      <c r="E2640" s="585">
        <v>4.0540000000000003</v>
      </c>
      <c r="F2640" s="585">
        <v>4.7850000000000001</v>
      </c>
      <c r="G2640" s="585">
        <v>3.7080679999999999</v>
      </c>
      <c r="H2640" s="585">
        <v>5.7296769999999997</v>
      </c>
      <c r="I2640" s="586">
        <v>0.13750000000000001</v>
      </c>
      <c r="J2640" s="586">
        <v>0.105</v>
      </c>
      <c r="K2640" s="587">
        <v>45.571428571428577</v>
      </c>
      <c r="L2640" s="433">
        <v>458</v>
      </c>
      <c r="M2640" s="434">
        <v>-3.2000000000000002E-3</v>
      </c>
      <c r="N2640" s="438"/>
    </row>
    <row r="2641" spans="2:14" ht="17.25" thickBot="1">
      <c r="B2641" s="322">
        <v>10</v>
      </c>
      <c r="C2641" s="594"/>
      <c r="D2641" s="595" t="s">
        <v>243</v>
      </c>
      <c r="E2641" s="596">
        <v>4.0519999999999996</v>
      </c>
      <c r="F2641" s="596">
        <v>4.782</v>
      </c>
      <c r="G2641" s="596">
        <v>3.7075719999999999</v>
      </c>
      <c r="H2641" s="596">
        <v>5.7197449999999996</v>
      </c>
      <c r="I2641" s="597">
        <v>0.13750000000000001</v>
      </c>
      <c r="J2641" s="597">
        <v>0.10489999999999999</v>
      </c>
      <c r="K2641" s="598">
        <v>45.586272640610105</v>
      </c>
      <c r="L2641" s="599">
        <v>458</v>
      </c>
      <c r="M2641" s="600">
        <v>-1.25E-3</v>
      </c>
      <c r="N2641" s="439"/>
    </row>
    <row r="2642" spans="2:14" ht="17.25" thickBot="1">
      <c r="B2642" s="325" t="s">
        <v>455</v>
      </c>
      <c r="C2642" s="326"/>
      <c r="D2642" s="440" t="s">
        <v>465</v>
      </c>
      <c r="E2642" s="441">
        <f t="shared" ref="E2642:K2642" si="754">AVERAGE(E2637:E2641)</f>
        <v>4.0516000000000005</v>
      </c>
      <c r="F2642" s="441">
        <f t="shared" si="754"/>
        <v>4.7847999999999997</v>
      </c>
      <c r="G2642" s="441">
        <f t="shared" si="754"/>
        <v>3.7101141999999996</v>
      </c>
      <c r="H2642" s="441">
        <f t="shared" si="754"/>
        <v>5.7251886000000001</v>
      </c>
      <c r="I2642" s="442">
        <f t="shared" si="754"/>
        <v>0.13754</v>
      </c>
      <c r="J2642" s="442">
        <f t="shared" si="754"/>
        <v>0.10491999999999999</v>
      </c>
      <c r="K2642" s="443">
        <f t="shared" si="754"/>
        <v>45.604316399028491</v>
      </c>
      <c r="L2642" s="444"/>
      <c r="M2642" s="445"/>
      <c r="N2642" s="446"/>
    </row>
    <row r="2643" spans="2:14">
      <c r="B2643" s="333">
        <v>11</v>
      </c>
      <c r="C2643" s="271" t="s">
        <v>389</v>
      </c>
      <c r="D2643" s="447" t="s">
        <v>244</v>
      </c>
      <c r="E2643" s="426">
        <v>4.0490000000000004</v>
      </c>
      <c r="F2643" s="426">
        <v>4.8</v>
      </c>
      <c r="G2643" s="426">
        <v>3.7242860000000002</v>
      </c>
      <c r="H2643" s="427">
        <v>5.7480779999999996</v>
      </c>
      <c r="I2643" s="428">
        <v>0.1376</v>
      </c>
      <c r="J2643" s="428">
        <v>0.1048</v>
      </c>
      <c r="K2643" s="429">
        <v>45.801526717557252</v>
      </c>
      <c r="L2643" s="449">
        <v>458</v>
      </c>
      <c r="M2643" s="450">
        <v>-1.75E-3</v>
      </c>
      <c r="N2643" s="606"/>
    </row>
    <row r="2644" spans="2:14">
      <c r="B2644" s="335">
        <v>12</v>
      </c>
      <c r="C2644" s="583"/>
      <c r="D2644" s="584" t="s">
        <v>245</v>
      </c>
      <c r="E2644" s="585">
        <v>4.0549999999999997</v>
      </c>
      <c r="F2644" s="585">
        <v>4.7910000000000004</v>
      </c>
      <c r="G2644" s="585">
        <v>3.711802</v>
      </c>
      <c r="H2644" s="585">
        <v>5.7390639999999999</v>
      </c>
      <c r="I2644" s="586">
        <v>0.13750000000000001</v>
      </c>
      <c r="J2644" s="586">
        <v>0.10489999999999999</v>
      </c>
      <c r="K2644" s="587">
        <v>45.672068636796958</v>
      </c>
      <c r="L2644" s="433">
        <v>458</v>
      </c>
      <c r="M2644" s="434">
        <v>-9.3000000000000005E-4</v>
      </c>
      <c r="N2644" s="438"/>
    </row>
    <row r="2645" spans="2:14">
      <c r="B2645" s="335">
        <v>13</v>
      </c>
      <c r="C2645" s="590"/>
      <c r="D2645" s="584" t="s">
        <v>631</v>
      </c>
      <c r="E2645" s="585">
        <v>4.0590000000000002</v>
      </c>
      <c r="F2645" s="585">
        <v>4.79</v>
      </c>
      <c r="G2645" s="585">
        <v>3.7073700000000001</v>
      </c>
      <c r="H2645" s="585">
        <v>5.7230299999999996</v>
      </c>
      <c r="I2645" s="586">
        <v>0.13750000000000001</v>
      </c>
      <c r="J2645" s="586">
        <v>0.1051</v>
      </c>
      <c r="K2645" s="587">
        <v>45.575642245480495</v>
      </c>
      <c r="L2645" s="433">
        <v>458</v>
      </c>
      <c r="M2645" s="434">
        <v>-8.52E-4</v>
      </c>
      <c r="N2645" s="438"/>
    </row>
    <row r="2646" spans="2:14">
      <c r="B2646" s="335">
        <v>14</v>
      </c>
      <c r="C2646" s="590"/>
      <c r="D2646" s="584" t="s">
        <v>228</v>
      </c>
      <c r="E2646" s="585">
        <v>4.0590000000000002</v>
      </c>
      <c r="F2646" s="585">
        <v>4.7949999999999999</v>
      </c>
      <c r="G2646" s="585">
        <v>3.7112400000000001</v>
      </c>
      <c r="H2646" s="585">
        <v>5.7345800000000002</v>
      </c>
      <c r="I2646" s="586">
        <v>0.13750000000000001</v>
      </c>
      <c r="J2646" s="586">
        <v>0.1051</v>
      </c>
      <c r="K2646" s="587">
        <v>45.623215984776401</v>
      </c>
      <c r="L2646" s="433">
        <v>458</v>
      </c>
      <c r="M2646" s="434">
        <v>-2.2399999999999998E-3</v>
      </c>
      <c r="N2646" s="438"/>
    </row>
    <row r="2647" spans="2:14" ht="17.25" thickBot="1">
      <c r="B2647" s="336">
        <v>15</v>
      </c>
      <c r="C2647" s="594"/>
      <c r="D2647" s="595" t="s">
        <v>246</v>
      </c>
      <c r="E2647" s="596">
        <v>4.056</v>
      </c>
      <c r="F2647" s="596">
        <v>4.79</v>
      </c>
      <c r="G2647" s="596">
        <v>3.7101120000000001</v>
      </c>
      <c r="H2647" s="596">
        <v>5.7323529999999998</v>
      </c>
      <c r="I2647" s="597">
        <v>0.13750000000000001</v>
      </c>
      <c r="J2647" s="597">
        <v>0.10489999999999999</v>
      </c>
      <c r="K2647" s="598">
        <v>45.662535748331749</v>
      </c>
      <c r="L2647" s="599">
        <v>458</v>
      </c>
      <c r="M2647" s="600">
        <v>-4.0000000000000001E-3</v>
      </c>
      <c r="N2647" s="439"/>
    </row>
    <row r="2648" spans="2:14" ht="17.25" thickBot="1">
      <c r="B2648" s="337"/>
      <c r="C2648" s="326"/>
      <c r="D2648" s="440" t="s">
        <v>465</v>
      </c>
      <c r="E2648" s="441">
        <f t="shared" ref="E2648:K2648" si="755">AVERAGE(E2643:E2647)</f>
        <v>4.0556000000000001</v>
      </c>
      <c r="F2648" s="441">
        <f t="shared" si="755"/>
        <v>4.7932000000000006</v>
      </c>
      <c r="G2648" s="441">
        <f t="shared" si="755"/>
        <v>3.7129619999999997</v>
      </c>
      <c r="H2648" s="441">
        <f t="shared" si="755"/>
        <v>5.7354210000000005</v>
      </c>
      <c r="I2648" s="442">
        <f t="shared" si="755"/>
        <v>0.13752</v>
      </c>
      <c r="J2648" s="442">
        <f t="shared" si="755"/>
        <v>0.10495999999999998</v>
      </c>
      <c r="K2648" s="443">
        <f t="shared" si="755"/>
        <v>45.666997866588574</v>
      </c>
      <c r="L2648" s="444"/>
      <c r="M2648" s="445"/>
      <c r="N2648" s="446"/>
    </row>
    <row r="2649" spans="2:14">
      <c r="B2649" s="333">
        <v>16</v>
      </c>
      <c r="C2649" s="271" t="s">
        <v>780</v>
      </c>
      <c r="D2649" s="447" t="s">
        <v>247</v>
      </c>
      <c r="E2649" s="426">
        <v>4.0510000000000002</v>
      </c>
      <c r="F2649" s="426">
        <v>4.7990000000000004</v>
      </c>
      <c r="G2649" s="426">
        <v>3.7216710000000002</v>
      </c>
      <c r="H2649" s="427">
        <v>5.756183</v>
      </c>
      <c r="I2649" s="428">
        <v>0.1376</v>
      </c>
      <c r="J2649" s="428">
        <v>0.1046</v>
      </c>
      <c r="K2649" s="429">
        <v>45.879541108986622</v>
      </c>
      <c r="L2649" s="449">
        <v>458</v>
      </c>
      <c r="M2649" s="450">
        <v>-9.1200000000000005E-4</v>
      </c>
      <c r="N2649" s="606"/>
    </row>
    <row r="2650" spans="2:14">
      <c r="B2650" s="335">
        <v>17</v>
      </c>
      <c r="C2650" s="590"/>
      <c r="D2650" s="584" t="s">
        <v>248</v>
      </c>
      <c r="E2650" s="585">
        <v>4.0579999999999998</v>
      </c>
      <c r="F2650" s="585">
        <v>4.8029999999999999</v>
      </c>
      <c r="G2650" s="585">
        <v>3.7183480000000002</v>
      </c>
      <c r="H2650" s="585">
        <v>5.7613659999999998</v>
      </c>
      <c r="I2650" s="586">
        <v>0.1376</v>
      </c>
      <c r="J2650" s="586">
        <v>0.1048</v>
      </c>
      <c r="K2650" s="587">
        <v>45.830152671755719</v>
      </c>
      <c r="L2650" s="433">
        <v>458</v>
      </c>
      <c r="M2650" s="434">
        <v>-8.4999999999999995E-4</v>
      </c>
      <c r="N2650" s="438"/>
    </row>
    <row r="2651" spans="2:14">
      <c r="B2651" s="335">
        <v>18</v>
      </c>
      <c r="C2651" s="590"/>
      <c r="D2651" s="584" t="s">
        <v>232</v>
      </c>
      <c r="E2651" s="585">
        <v>4.0609999999999999</v>
      </c>
      <c r="F2651" s="585">
        <v>4.798</v>
      </c>
      <c r="G2651" s="585">
        <v>3.7117330000000002</v>
      </c>
      <c r="H2651" s="585">
        <v>5.7486819999999996</v>
      </c>
      <c r="I2651" s="586">
        <v>0.1376</v>
      </c>
      <c r="J2651" s="586">
        <v>0.10489999999999999</v>
      </c>
      <c r="K2651" s="587">
        <v>45.738798856053386</v>
      </c>
      <c r="L2651" s="433">
        <v>458</v>
      </c>
      <c r="M2651" s="434">
        <v>-1.73E-3</v>
      </c>
      <c r="N2651" s="438"/>
    </row>
    <row r="2652" spans="2:14">
      <c r="B2652" s="335">
        <v>19</v>
      </c>
      <c r="C2652" s="590"/>
      <c r="D2652" s="584" t="s">
        <v>233</v>
      </c>
      <c r="E2652" s="585">
        <v>4.05</v>
      </c>
      <c r="F2652" s="585">
        <v>4.6529999999999996</v>
      </c>
      <c r="G2652" s="585">
        <v>3.6093380000000002</v>
      </c>
      <c r="H2652" s="585">
        <v>5.5716590000000004</v>
      </c>
      <c r="I2652" s="586">
        <v>0.13750000000000001</v>
      </c>
      <c r="J2652" s="586">
        <v>0.105</v>
      </c>
      <c r="K2652" s="587">
        <v>44.31428571428571</v>
      </c>
      <c r="L2652" s="433">
        <v>458</v>
      </c>
      <c r="M2652" s="434">
        <v>-4.25</v>
      </c>
      <c r="N2652" s="438"/>
    </row>
    <row r="2653" spans="2:14" ht="17.25" thickBot="1">
      <c r="B2653" s="336">
        <v>20</v>
      </c>
      <c r="C2653" s="594"/>
      <c r="D2653" s="595" t="s">
        <v>249</v>
      </c>
      <c r="E2653" s="596">
        <v>4.0590000000000002</v>
      </c>
      <c r="F2653" s="596">
        <v>4.8010000000000002</v>
      </c>
      <c r="G2653" s="596">
        <v>3.715884</v>
      </c>
      <c r="H2653" s="596">
        <v>5.7493949999999998</v>
      </c>
      <c r="I2653" s="597">
        <v>0.1376</v>
      </c>
      <c r="J2653" s="597">
        <v>0.10489999999999999</v>
      </c>
      <c r="K2653" s="598">
        <v>45.767397521449006</v>
      </c>
      <c r="L2653" s="599">
        <v>458</v>
      </c>
      <c r="M2653" s="600">
        <v>-1.5499999999999999E-3</v>
      </c>
      <c r="N2653" s="439"/>
    </row>
    <row r="2654" spans="2:14" ht="17.25" thickBot="1">
      <c r="B2654" s="337"/>
      <c r="C2654" s="326"/>
      <c r="D2654" s="440" t="s">
        <v>465</v>
      </c>
      <c r="E2654" s="441">
        <f t="shared" ref="E2654:K2654" si="756">AVERAGE(E2649:E2653)</f>
        <v>4.0557999999999996</v>
      </c>
      <c r="F2654" s="441">
        <f t="shared" si="756"/>
        <v>4.7707999999999995</v>
      </c>
      <c r="G2654" s="441">
        <f t="shared" si="756"/>
        <v>3.6953947999999999</v>
      </c>
      <c r="H2654" s="441">
        <f t="shared" si="756"/>
        <v>5.7174569999999996</v>
      </c>
      <c r="I2654" s="442">
        <f t="shared" si="756"/>
        <v>0.13757999999999998</v>
      </c>
      <c r="J2654" s="442">
        <f t="shared" si="756"/>
        <v>0.10484</v>
      </c>
      <c r="K2654" s="443">
        <f t="shared" si="756"/>
        <v>45.506035174506088</v>
      </c>
      <c r="L2654" s="444"/>
      <c r="M2654" s="445"/>
      <c r="N2654" s="446"/>
    </row>
    <row r="2655" spans="2:14">
      <c r="B2655" s="333">
        <v>21</v>
      </c>
      <c r="C2655" s="271" t="s">
        <v>780</v>
      </c>
      <c r="D2655" s="447" t="s">
        <v>250</v>
      </c>
      <c r="E2655" s="426">
        <v>4.048</v>
      </c>
      <c r="F2655" s="426">
        <v>4.7930000000000001</v>
      </c>
      <c r="G2655" s="426">
        <v>3.719773</v>
      </c>
      <c r="H2655" s="427">
        <v>5.7639779999999998</v>
      </c>
      <c r="I2655" s="428">
        <v>0.1376</v>
      </c>
      <c r="J2655" s="428">
        <v>0.10440000000000001</v>
      </c>
      <c r="K2655" s="429">
        <v>45.909961685823752</v>
      </c>
      <c r="L2655" s="449">
        <v>458</v>
      </c>
      <c r="M2655" s="450">
        <v>-5.5700000000000003E-3</v>
      </c>
      <c r="N2655" s="606"/>
    </row>
    <row r="2656" spans="2:14">
      <c r="B2656" s="335">
        <v>22</v>
      </c>
      <c r="C2656" s="590"/>
      <c r="D2656" s="584" t="s">
        <v>251</v>
      </c>
      <c r="E2656" s="585">
        <v>4.0540000000000003</v>
      </c>
      <c r="F2656" s="585">
        <v>4.7930000000000001</v>
      </c>
      <c r="G2656" s="585">
        <v>3.7142680000000001</v>
      </c>
      <c r="H2656" s="585">
        <v>5.7391129999999997</v>
      </c>
      <c r="I2656" s="586">
        <v>0.13769999999999999</v>
      </c>
      <c r="J2656" s="586">
        <v>0.1047</v>
      </c>
      <c r="K2656" s="587">
        <v>45.778414517669532</v>
      </c>
      <c r="L2656" s="433">
        <v>458</v>
      </c>
      <c r="M2656" s="434">
        <v>-9.6000000000000002E-4</v>
      </c>
      <c r="N2656" s="438"/>
    </row>
    <row r="2657" spans="2:14">
      <c r="B2657" s="335">
        <v>23</v>
      </c>
      <c r="C2657" s="590"/>
      <c r="D2657" s="584" t="s">
        <v>237</v>
      </c>
      <c r="E2657" s="585">
        <v>4.0579999999999998</v>
      </c>
      <c r="F2657" s="585">
        <v>4.7939999999999996</v>
      </c>
      <c r="G2657" s="585">
        <v>3.7113809999999998</v>
      </c>
      <c r="H2657" s="585">
        <v>5.7477119999999999</v>
      </c>
      <c r="I2657" s="586">
        <v>0.1376</v>
      </c>
      <c r="J2657" s="586">
        <v>0.1048</v>
      </c>
      <c r="K2657" s="587">
        <v>45.744274809160302</v>
      </c>
      <c r="L2657" s="433">
        <v>458</v>
      </c>
      <c r="M2657" s="434">
        <v>-1.33E-3</v>
      </c>
      <c r="N2657" s="438"/>
    </row>
    <row r="2658" spans="2:14">
      <c r="B2658" s="335">
        <v>24</v>
      </c>
      <c r="C2658" s="590"/>
      <c r="D2658" s="608" t="s">
        <v>238</v>
      </c>
      <c r="E2658" s="585">
        <v>4.0570000000000004</v>
      </c>
      <c r="F2658" s="585">
        <v>4.7910000000000004</v>
      </c>
      <c r="G2658" s="585">
        <v>3.709972</v>
      </c>
      <c r="H2658" s="585">
        <v>5.7454390000000002</v>
      </c>
      <c r="I2658" s="586">
        <v>0.1376</v>
      </c>
      <c r="J2658" s="586">
        <v>0.1048</v>
      </c>
      <c r="K2658" s="587">
        <v>45.715648854961835</v>
      </c>
      <c r="L2658" s="451">
        <v>458</v>
      </c>
      <c r="M2658" s="452">
        <v>-5.4000000000000003E-3</v>
      </c>
      <c r="N2658" s="321"/>
    </row>
    <row r="2659" spans="2:14" ht="17.25" thickBot="1">
      <c r="B2659" s="336">
        <v>25</v>
      </c>
      <c r="C2659" s="594"/>
      <c r="D2659" s="609" t="s">
        <v>252</v>
      </c>
      <c r="E2659" s="596">
        <v>4.056</v>
      </c>
      <c r="F2659" s="596">
        <v>4.8090000000000002</v>
      </c>
      <c r="G2659" s="596">
        <v>3.7248290000000002</v>
      </c>
      <c r="H2659" s="596">
        <v>5.7597040000000002</v>
      </c>
      <c r="I2659" s="597">
        <v>0.1376</v>
      </c>
      <c r="J2659" s="597">
        <v>0.1047</v>
      </c>
      <c r="K2659" s="598">
        <v>45.931232091690546</v>
      </c>
      <c r="L2659" s="610">
        <v>458</v>
      </c>
      <c r="M2659" s="611">
        <v>-8.3500000000000002E-4</v>
      </c>
      <c r="N2659" s="453"/>
    </row>
    <row r="2660" spans="2:14" ht="17.25" thickBot="1">
      <c r="B2660" s="339" t="s">
        <v>455</v>
      </c>
      <c r="C2660" s="340"/>
      <c r="D2660" s="341" t="s">
        <v>465</v>
      </c>
      <c r="E2660" s="454">
        <f t="shared" ref="E2660:K2660" si="757">AVERAGE(E2655:E2659)</f>
        <v>4.0545999999999998</v>
      </c>
      <c r="F2660" s="454">
        <f t="shared" si="757"/>
        <v>4.7960000000000003</v>
      </c>
      <c r="G2660" s="454">
        <f t="shared" si="757"/>
        <v>3.7160446</v>
      </c>
      <c r="H2660" s="454">
        <f t="shared" si="757"/>
        <v>5.7511891999999998</v>
      </c>
      <c r="I2660" s="455">
        <f t="shared" si="757"/>
        <v>0.13761999999999999</v>
      </c>
      <c r="J2660" s="455">
        <f t="shared" si="757"/>
        <v>0.10468</v>
      </c>
      <c r="K2660" s="456">
        <f t="shared" si="757"/>
        <v>45.815906391861198</v>
      </c>
      <c r="L2660" s="457"/>
      <c r="M2660" s="458"/>
      <c r="N2660" s="344"/>
    </row>
    <row r="2661" spans="2:14">
      <c r="B2661" s="333"/>
      <c r="C2661" s="345"/>
      <c r="D2661" s="291" t="s">
        <v>458</v>
      </c>
      <c r="E2661" s="459">
        <f t="shared" ref="E2661:K2661" si="758">MEDIAN(E2631:E2635,E2637:E2641,E2643:E2647,E2649:E2653,E2655:E2659)</f>
        <v>4.056</v>
      </c>
      <c r="F2661" s="461">
        <f t="shared" si="758"/>
        <v>4.7939999999999996</v>
      </c>
      <c r="G2661" s="461">
        <f t="shared" si="758"/>
        <v>3.7142680000000001</v>
      </c>
      <c r="H2661" s="461">
        <f t="shared" si="758"/>
        <v>5.7477119999999999</v>
      </c>
      <c r="I2661" s="460">
        <f t="shared" si="758"/>
        <v>0.1376</v>
      </c>
      <c r="J2661" s="460">
        <f t="shared" si="758"/>
        <v>0.1048</v>
      </c>
      <c r="K2661" s="461">
        <f t="shared" si="758"/>
        <v>45.744274809160302</v>
      </c>
      <c r="L2661" s="462"/>
      <c r="M2661" s="463"/>
      <c r="N2661" s="612"/>
    </row>
    <row r="2662" spans="2:14">
      <c r="B2662" s="335"/>
      <c r="C2662" s="590"/>
      <c r="D2662" s="608" t="s">
        <v>457</v>
      </c>
      <c r="E2662" s="613">
        <f t="shared" ref="E2662:K2662" si="759">AVERAGE(E2631:E2635,E2637:E2641,E2643:E2647,E2649:E2653,E2655:E2659)</f>
        <v>4.0552000000000001</v>
      </c>
      <c r="F2662" s="614">
        <f t="shared" si="759"/>
        <v>4.7908800000000005</v>
      </c>
      <c r="G2662" s="614">
        <f t="shared" si="759"/>
        <v>3.7115217599999992</v>
      </c>
      <c r="H2662" s="614">
        <f t="shared" si="759"/>
        <v>5.7393805999999996</v>
      </c>
      <c r="I2662" s="615">
        <f t="shared" si="759"/>
        <v>0.13755999999999999</v>
      </c>
      <c r="J2662" s="615">
        <f t="shared" si="759"/>
        <v>0.10482</v>
      </c>
      <c r="K2662" s="614">
        <f t="shared" si="759"/>
        <v>45.706052692737657</v>
      </c>
      <c r="L2662" s="451"/>
      <c r="M2662" s="452"/>
      <c r="N2662" s="321"/>
    </row>
    <row r="2663" spans="2:14">
      <c r="B2663" s="335"/>
      <c r="C2663" s="590"/>
      <c r="D2663" s="608" t="s">
        <v>199</v>
      </c>
      <c r="E2663" s="613">
        <f t="shared" ref="E2663:K2663" si="760">MAX(E2631:E2635,E2637:E2641,E2643:E2647,E2649:E2653,E2655:E2659)</f>
        <v>4.0609999999999999</v>
      </c>
      <c r="F2663" s="614">
        <f t="shared" si="760"/>
        <v>4.8150000000000004</v>
      </c>
      <c r="G2663" s="614">
        <f t="shared" si="760"/>
        <v>3.729136</v>
      </c>
      <c r="H2663" s="614">
        <f t="shared" si="760"/>
        <v>5.783137</v>
      </c>
      <c r="I2663" s="615">
        <f t="shared" si="760"/>
        <v>0.13769999999999999</v>
      </c>
      <c r="J2663" s="615">
        <f t="shared" si="760"/>
        <v>0.1051</v>
      </c>
      <c r="K2663" s="614">
        <f t="shared" si="760"/>
        <v>46.038277511961724</v>
      </c>
      <c r="L2663" s="451"/>
      <c r="M2663" s="452"/>
      <c r="N2663" s="321"/>
    </row>
    <row r="2664" spans="2:14">
      <c r="B2664" s="335"/>
      <c r="C2664" s="590"/>
      <c r="D2664" s="608" t="s">
        <v>200</v>
      </c>
      <c r="E2664" s="613">
        <f t="shared" ref="E2664:K2664" si="761">MIN(E2631:E2635,E2637:E2641,E2643:E2647,E2649:E2653,E2655:E2659)</f>
        <v>4.0460000000000003</v>
      </c>
      <c r="F2664" s="614">
        <f t="shared" si="761"/>
        <v>4.6529999999999996</v>
      </c>
      <c r="G2664" s="614">
        <f t="shared" si="761"/>
        <v>3.6093380000000002</v>
      </c>
      <c r="H2664" s="614">
        <f t="shared" si="761"/>
        <v>5.5716590000000004</v>
      </c>
      <c r="I2664" s="615">
        <f t="shared" si="761"/>
        <v>0.13750000000000001</v>
      </c>
      <c r="J2664" s="615">
        <f t="shared" si="761"/>
        <v>0.10440000000000001</v>
      </c>
      <c r="K2664" s="614">
        <f t="shared" si="761"/>
        <v>44.31428571428571</v>
      </c>
      <c r="L2664" s="451"/>
      <c r="M2664" s="452"/>
      <c r="N2664" s="321"/>
    </row>
    <row r="2665" spans="2:14">
      <c r="B2665" s="335"/>
      <c r="C2665" s="590"/>
      <c r="D2665" s="608" t="s">
        <v>201</v>
      </c>
      <c r="E2665" s="613">
        <f t="shared" ref="E2665:K2665" si="762">E2663-E2664</f>
        <v>1.499999999999968E-2</v>
      </c>
      <c r="F2665" s="614">
        <f t="shared" si="762"/>
        <v>0.16200000000000081</v>
      </c>
      <c r="G2665" s="614">
        <f t="shared" si="762"/>
        <v>0.11979799999999985</v>
      </c>
      <c r="H2665" s="614">
        <f t="shared" si="762"/>
        <v>0.21147799999999961</v>
      </c>
      <c r="I2665" s="615">
        <f t="shared" si="762"/>
        <v>1.9999999999997797E-4</v>
      </c>
      <c r="J2665" s="615">
        <f t="shared" si="762"/>
        <v>6.999999999999923E-4</v>
      </c>
      <c r="K2665" s="614">
        <f t="shared" si="762"/>
        <v>1.723991797676014</v>
      </c>
      <c r="L2665" s="451"/>
      <c r="M2665" s="452"/>
      <c r="N2665" s="321"/>
    </row>
    <row r="2666" spans="2:14" ht="17.25" thickBot="1">
      <c r="B2666" s="336"/>
      <c r="C2666" s="594"/>
      <c r="D2666" s="609" t="s">
        <v>202</v>
      </c>
      <c r="E2666" s="616">
        <f t="shared" ref="E2666:K2666" si="763">STDEVA(E2631:E2635,E2637:E2641,E2643:E2647,E2649:E2653,E2655:E2659)</f>
        <v>4.2914643965278757E-3</v>
      </c>
      <c r="F2666" s="616">
        <f t="shared" si="763"/>
        <v>3.0237008229430904E-2</v>
      </c>
      <c r="G2666" s="616">
        <f t="shared" si="763"/>
        <v>2.2386352184013053E-2</v>
      </c>
      <c r="H2666" s="616">
        <f t="shared" si="763"/>
        <v>3.8911914695244618E-2</v>
      </c>
      <c r="I2666" s="617">
        <f t="shared" si="763"/>
        <v>6.4549722436783174E-5</v>
      </c>
      <c r="J2666" s="617">
        <f t="shared" si="763"/>
        <v>1.6832508230603261E-4</v>
      </c>
      <c r="K2666" s="616">
        <f t="shared" si="763"/>
        <v>0.32160327160587615</v>
      </c>
      <c r="L2666" s="610"/>
      <c r="M2666" s="464"/>
      <c r="N2666" s="618"/>
    </row>
    <row r="2667" spans="2:14" ht="17.25" thickBot="1">
      <c r="B2667" s="465" t="s">
        <v>642</v>
      </c>
      <c r="C2667" s="466" t="s">
        <v>643</v>
      </c>
      <c r="D2667" s="467" t="s">
        <v>644</v>
      </c>
      <c r="E2667" s="468" t="s">
        <v>2</v>
      </c>
      <c r="F2667" s="468" t="s">
        <v>3</v>
      </c>
      <c r="G2667" s="468" t="s">
        <v>623</v>
      </c>
      <c r="H2667" s="468" t="s">
        <v>16</v>
      </c>
      <c r="I2667" s="469" t="s">
        <v>6</v>
      </c>
      <c r="J2667" s="470" t="s">
        <v>7</v>
      </c>
      <c r="K2667" s="471" t="s">
        <v>8</v>
      </c>
      <c r="L2667" s="472" t="s">
        <v>608</v>
      </c>
      <c r="M2667" s="550" t="s">
        <v>647</v>
      </c>
      <c r="N2667" s="332"/>
    </row>
    <row r="2668" spans="2:14">
      <c r="B2668" s="473">
        <v>33</v>
      </c>
      <c r="C2668" s="474" t="str">
        <f ca="1">IFERROR(OFFSET(B2628,IF(VALUE(MID(D2668,2,1))=1,3,IF(VALUE(MID(D2668,2,1))=2,9,IF(VALUE(MID(D2668,2,1))=3,15,IF(VALUE(MID(D2668,2,1))=4,21,27)))),1),"")</f>
        <v>Ref.</v>
      </c>
      <c r="D2668" s="475" t="str">
        <f>IF(B2668="","","C"&amp;B2668)</f>
        <v>C33</v>
      </c>
      <c r="E2668" s="539">
        <f>IF(IFERROR(VLOOKUP(D2668,D2631:K2659,2,0),0),VLOOKUP(D2668,D2631:K2659,2,0),"")</f>
        <v>4.0590000000000002</v>
      </c>
      <c r="F2668" s="539">
        <f>IF(IFERROR(VLOOKUP(D2668,D2631:K2659,3,0),0),VLOOKUP(D2668,D2631:K2659,3,0),"")</f>
        <v>4.79</v>
      </c>
      <c r="G2668" s="539">
        <f>IF(IFERROR(VLOOKUP(D2668,D2631:K2659,4,0),0),VLOOKUP(D2668,D2631:K2659,4,0),"")</f>
        <v>3.7073700000000001</v>
      </c>
      <c r="H2668" s="539">
        <f>IF(IFERROR(VLOOKUP(D2668,D2631:K2659,5,0),0),VLOOKUP(D2668,D2631:K2659,5,0),"")</f>
        <v>5.7230299999999996</v>
      </c>
      <c r="I2668" s="540">
        <f>IF(IFERROR(VLOOKUP(D2668,D2631:K2659,6,0),0),VLOOKUP(D2668,D2631:K2659,6,0),"")</f>
        <v>0.13750000000000001</v>
      </c>
      <c r="J2668" s="540">
        <f>IF(IFERROR(VLOOKUP(D2668,D2631:K2659,7,0),0),VLOOKUP(D2668,D2631:K2659,7,0),"")</f>
        <v>0.1051</v>
      </c>
      <c r="K2668" s="541">
        <f>IF(IFERROR(VLOOKUP(D2668,D2631:K2659,8,0),0),VLOOKUP(D2668,D2631:K2659,8,0),"")</f>
        <v>45.575642245480495</v>
      </c>
      <c r="L2668" s="542">
        <f>IF(IFERROR(VLOOKUP(D2668,D2631:N2660,9,0),0),VLOOKUP(D2668,D2631:N2660,9,0),"")</f>
        <v>458</v>
      </c>
      <c r="M2668" s="541"/>
      <c r="N2668" s="321"/>
    </row>
    <row r="2669" spans="2:14">
      <c r="B2669" s="473">
        <v>43</v>
      </c>
      <c r="C2669" s="474" t="str">
        <f ca="1">IFERROR(OFFSET(B2628,IF(VALUE(MID(D2669,2,1))=1,3,IF(VALUE(MID(D2669,2,1))=2,9,IF(VALUE(MID(D2669,2,1))=3,15,IF(VALUE(MID(D2669,2,1))=4,21,27)))),1),"")</f>
        <v>101G20005</v>
      </c>
      <c r="D2669" s="475" t="str">
        <f t="shared" ref="D2669:D2672" si="764">IF(B2669="","","C"&amp;B2669)</f>
        <v>C43</v>
      </c>
      <c r="E2669" s="539">
        <f>IF(IFERROR(VLOOKUP(D2669,D2631:K2659,2,0),0),VLOOKUP(D2669,D2631:K2659,2,0),"")</f>
        <v>4.0609999999999999</v>
      </c>
      <c r="F2669" s="539">
        <f>IF(IFERROR(VLOOKUP(D2669,D2631:K2659,3,0),0),VLOOKUP(D2669,D2631:K2659,3,0),"")</f>
        <v>4.798</v>
      </c>
      <c r="G2669" s="539">
        <f>IF(IFERROR(VLOOKUP(D2669,D2631:K2659,4,0),0),VLOOKUP(D2669,D2631:K2659,4,0),"")</f>
        <v>3.7117330000000002</v>
      </c>
      <c r="H2669" s="539">
        <f>IF(IFERROR(VLOOKUP(D2669,D2631:K2659,5,0),0),VLOOKUP(D2669,D2631:K2659,5,0),"")</f>
        <v>5.7486819999999996</v>
      </c>
      <c r="I2669" s="540">
        <f>IF(IFERROR(VLOOKUP(D2669,D2631:K2659,6,0),0),VLOOKUP(D2669,D2631:K2659,6,0),"")</f>
        <v>0.1376</v>
      </c>
      <c r="J2669" s="540">
        <f>IF(IFERROR(VLOOKUP(D2669,D2631:K2659,7,0),0),VLOOKUP(D2669,D2631:K2659,7,0),"")</f>
        <v>0.10489999999999999</v>
      </c>
      <c r="K2669" s="541">
        <f>IF(IFERROR(VLOOKUP(D2669,D2631:K2659,8,0),0),VLOOKUP(D2669,D2631:K2659,8,0),"")</f>
        <v>45.738798856053386</v>
      </c>
      <c r="L2669" s="542">
        <f>IF(IFERROR(VLOOKUP(D2669,D2631:N2660,9,0),0),VLOOKUP(D2669,D2631:N2660,9,0),"")</f>
        <v>458</v>
      </c>
      <c r="M2669" s="541"/>
      <c r="N2669" s="321"/>
    </row>
    <row r="2670" spans="2:14">
      <c r="B2670" s="478"/>
      <c r="C2670" s="474" t="str">
        <f ca="1">IFERROR(OFFSET(B2628,IF(VALUE(MID(D2670,2,1))=1,3,IF(VALUE(MID(D2670,2,1))=2,9,IF(VALUE(MID(D2670,2,1))=3,15,IF(VALUE(MID(D2670,2,1))=4,21,27)))),1),"")</f>
        <v/>
      </c>
      <c r="D2670" s="475" t="str">
        <f t="shared" si="764"/>
        <v/>
      </c>
      <c r="E2670" s="539" t="str">
        <f>IF(IFERROR(VLOOKUP(D2670,D2631:K2659,2,0),0),VLOOKUP(D2670,D2631:K2659,2,0),"")</f>
        <v/>
      </c>
      <c r="F2670" s="539" t="str">
        <f>IF(IFERROR(VLOOKUP(D2670,D2631:K2659,3,0),0),VLOOKUP(D2670,D2631:K2659,3,0),"")</f>
        <v/>
      </c>
      <c r="G2670" s="539" t="str">
        <f>IF(IFERROR(VLOOKUP(D2670,D2631:K2659,4,0),0),VLOOKUP(D2670,D2631:K2659,4,0),"")</f>
        <v/>
      </c>
      <c r="H2670" s="539" t="str">
        <f>IF(IFERROR(VLOOKUP(D2670,D2631:K2659,5,0),0),VLOOKUP(D2670,D2631:K2659,5,0),"")</f>
        <v/>
      </c>
      <c r="I2670" s="540" t="str">
        <f>IF(IFERROR(VLOOKUP(D2670,D2631:K2659,6,0),0),VLOOKUP(D2670,D2631:K2659,6,0),"")</f>
        <v/>
      </c>
      <c r="J2670" s="540" t="str">
        <f>IF(IFERROR(VLOOKUP(D2670,D2631:K2659,7,0),0),VLOOKUP(D2670,D2631:K2659,7,0),"")</f>
        <v/>
      </c>
      <c r="K2670" s="541" t="str">
        <f>IF(IFERROR(VLOOKUP(D2670,D2631:K2659,8,0),0),VLOOKUP(D2670,D2631:K2659,8,0),"")</f>
        <v/>
      </c>
      <c r="L2670" s="542" t="str">
        <f>IF(IFERROR(VLOOKUP(D2670,D2631:N2660,9,0),0),VLOOKUP(D2670,D2631:N2660,9,0),"")</f>
        <v/>
      </c>
      <c r="M2670" s="541"/>
      <c r="N2670" s="321"/>
    </row>
    <row r="2671" spans="2:14">
      <c r="B2671" s="478"/>
      <c r="C2671" s="474" t="str">
        <f ca="1">IFERROR(OFFSET(B2628,IF(VALUE(MID(D2671,2,1))=1,3,IF(VALUE(MID(D2671,2,1))=2,9,IF(VALUE(MID(D2671,2,1))=3,15,IF(VALUE(MID(D2671,2,1))=4,21,27)))),1),"")</f>
        <v/>
      </c>
      <c r="D2671" s="475" t="str">
        <f t="shared" si="764"/>
        <v/>
      </c>
      <c r="E2671" s="539" t="str">
        <f>IF(IFERROR(VLOOKUP(D2671,D2631:K2659,2,0),0),VLOOKUP(D2671,D2631:K2659,2,0),"")</f>
        <v/>
      </c>
      <c r="F2671" s="539" t="str">
        <f>IF(IFERROR(VLOOKUP(D2671,D2631:K2659,3,0),0),VLOOKUP(D2671,D2631:K2659,3,0),"")</f>
        <v/>
      </c>
      <c r="G2671" s="539" t="str">
        <f>IF(IFERROR(VLOOKUP(D2671,D2631:K2659,4,0),0),VLOOKUP(D2671,D2631:K2659,4,0),"")</f>
        <v/>
      </c>
      <c r="H2671" s="539" t="str">
        <f>IF(IFERROR(VLOOKUP(D2671,D2631:K2659,5,0),0),VLOOKUP(D2671,D2631:K2659,5,0),"")</f>
        <v/>
      </c>
      <c r="I2671" s="540" t="str">
        <f>IF(IFERROR(VLOOKUP(D2671,D2631:K2659,6,0),0),VLOOKUP(D2671,D2631:K2659,6,0),"")</f>
        <v/>
      </c>
      <c r="J2671" s="540" t="str">
        <f>IF(IFERROR(VLOOKUP(D2671,D2631:K2659,7,0),0),VLOOKUP(D2671,D2631:K2659,7,0),"")</f>
        <v/>
      </c>
      <c r="K2671" s="541" t="str">
        <f>IF(IFERROR(VLOOKUP(D2671,D2631:K2659,8,0),0),VLOOKUP(D2671,D2631:K2659,8,0),"")</f>
        <v/>
      </c>
      <c r="L2671" s="542" t="str">
        <f>IF(IFERROR(VLOOKUP(D2671,D2631:N2660,9,0),0),VLOOKUP(D2671,D2631:N2660,9,0),"")</f>
        <v/>
      </c>
      <c r="M2671" s="541"/>
      <c r="N2671" s="321"/>
    </row>
    <row r="2672" spans="2:14" ht="17.25" thickBot="1">
      <c r="B2672" s="479"/>
      <c r="C2672" s="474" t="str">
        <f ca="1">IFERROR(OFFSET(B2628,IF(VALUE(MID(D2672,2,1))=1,3,IF(VALUE(MID(D2672,2,1))=2,9,IF(VALUE(MID(D2672,2,1))=3,15,IF(VALUE(MID(D2672,2,1))=4,21,27)))),1),"")</f>
        <v/>
      </c>
      <c r="D2672" s="543" t="str">
        <f t="shared" si="764"/>
        <v/>
      </c>
      <c r="E2672" s="544" t="str">
        <f>IF(IFERROR(VLOOKUP(D2672,D2631:K2659,2,0),0),VLOOKUP(D2672,D2631:K2659,2,0),"")</f>
        <v/>
      </c>
      <c r="F2672" s="544" t="str">
        <f>IF(IFERROR(VLOOKUP(D2672,D2631:K2659,3,0),0),VLOOKUP(D2672,D2631:K2659,3,0),"")</f>
        <v/>
      </c>
      <c r="G2672" s="544" t="str">
        <f>IF(IFERROR(VLOOKUP(D2672,D2631:K2659,4,0),0),VLOOKUP(D2672,D2631:K2659,4,0),"")</f>
        <v/>
      </c>
      <c r="H2672" s="544" t="str">
        <f>IF(IFERROR(VLOOKUP(D2672,D2631:K2659,5,0),0),VLOOKUP(D2672,D2631:K2659,5,0),"")</f>
        <v/>
      </c>
      <c r="I2672" s="545" t="str">
        <f>IF(IFERROR(VLOOKUP(D2672,D2631:K2659,6,0),0),VLOOKUP(D2672,D2631:K2659,6,0),"")</f>
        <v/>
      </c>
      <c r="J2672" s="545" t="str">
        <f>IF(IFERROR(VLOOKUP(D2672,D2631:K2659,7,0),0),VLOOKUP(D2672,D2631:K2659,7,0),"")</f>
        <v/>
      </c>
      <c r="K2672" s="546" t="str">
        <f>IF(IFERROR(VLOOKUP(D2672,D2631:K2659,8,0),0),VLOOKUP(D2672,D2631:K2659,8,0),"")</f>
        <v/>
      </c>
      <c r="L2672" s="547" t="str">
        <f>IF(IFERROR(VLOOKUP(D2672,D2631:N2660,9,0),0),VLOOKUP(D2672,D2631:N2660,9,0),"")</f>
        <v/>
      </c>
      <c r="M2672" s="546"/>
      <c r="N2672" s="618"/>
    </row>
    <row r="2673" spans="2:14">
      <c r="B2673" s="480"/>
      <c r="C2673" s="448"/>
      <c r="D2673" s="467" t="s">
        <v>644</v>
      </c>
      <c r="E2673" s="468" t="s">
        <v>2</v>
      </c>
      <c r="F2673" s="481" t="s">
        <v>3</v>
      </c>
      <c r="G2673" s="481" t="s">
        <v>623</v>
      </c>
      <c r="H2673" s="481" t="s">
        <v>16</v>
      </c>
      <c r="I2673" s="469" t="s">
        <v>6</v>
      </c>
      <c r="J2673" s="470" t="s">
        <v>7</v>
      </c>
      <c r="K2673" s="482" t="s">
        <v>8</v>
      </c>
      <c r="L2673" s="483" t="str">
        <f>L2667</f>
        <v>Max파장(nm)</v>
      </c>
      <c r="M2673" s="550" t="str">
        <f>M2667</f>
        <v>LifeTime</v>
      </c>
      <c r="N2673" s="448"/>
    </row>
    <row r="2674" spans="2:14">
      <c r="B2674" s="484"/>
      <c r="C2674" s="438"/>
      <c r="D2674" s="485" t="str">
        <f t="array" ref="D2674:D2678">D2668:D2672</f>
        <v>C33</v>
      </c>
      <c r="E2674" s="539">
        <f t="array" ref="E2674:H2674">IF(E2668:H2668="","",E2668:H2668/E2668:H2668)</f>
        <v>1</v>
      </c>
      <c r="F2674" s="539">
        <v>1</v>
      </c>
      <c r="G2674" s="539">
        <v>1</v>
      </c>
      <c r="H2674" s="539">
        <v>1</v>
      </c>
      <c r="I2674" s="540">
        <f t="array" ref="I2674:J2674">IF(I2668:J2668="","",ABS(I2668:J2668-I2668:J2668))</f>
        <v>0</v>
      </c>
      <c r="J2674" s="540">
        <v>0</v>
      </c>
      <c r="K2674" s="539">
        <f>IF(K2668="","",K2668/K2668)</f>
        <v>1</v>
      </c>
      <c r="L2674" s="548">
        <f>IF(L2668="","",L2668-L2668)</f>
        <v>0</v>
      </c>
      <c r="M2674" s="541" t="str">
        <f>IF(M2668="","",M2668/M2668)</f>
        <v/>
      </c>
      <c r="N2674" s="438"/>
    </row>
    <row r="2675" spans="2:14">
      <c r="B2675" s="484"/>
      <c r="C2675" s="438"/>
      <c r="D2675" s="485" t="str">
        <v>C43</v>
      </c>
      <c r="E2675" s="539">
        <f t="array" ref="E2675:H2675">IF(E2669:H2669="","",E2669:H2669/E2668:H2668)</f>
        <v>1.0004927322000492</v>
      </c>
      <c r="F2675" s="539">
        <v>1.001670146137787</v>
      </c>
      <c r="G2675" s="539">
        <v>1.0011768450410938</v>
      </c>
      <c r="H2675" s="539">
        <v>1.0044822410506322</v>
      </c>
      <c r="I2675" s="540">
        <f t="array" ref="I2675:J2675">IF(I2669:J2669="","",ABS(I2669:J2669-I2668:J2668))</f>
        <v>9.9999999999988987E-5</v>
      </c>
      <c r="J2675" s="540">
        <v>2.0000000000000573E-4</v>
      </c>
      <c r="K2675" s="539">
        <f>IF(K2669="","",K2669/K2668)</f>
        <v>1.0035799080941985</v>
      </c>
      <c r="L2675" s="548">
        <f>IF(L2669="","",L2669-L2668)</f>
        <v>0</v>
      </c>
      <c r="M2675" s="541" t="str">
        <f>IF(M2669="","",M2669/M2668)</f>
        <v/>
      </c>
      <c r="N2675" s="438"/>
    </row>
    <row r="2676" spans="2:14">
      <c r="B2676" s="484"/>
      <c r="C2676" s="438"/>
      <c r="D2676" s="485" t="str">
        <v/>
      </c>
      <c r="E2676" s="539" t="str">
        <f t="array" ref="E2676:H2676">IF(E2670:H2670="","",E2670:H2670/E2668:H2668)</f>
        <v/>
      </c>
      <c r="F2676" s="539" t="str">
        <v/>
      </c>
      <c r="G2676" s="539" t="str">
        <v/>
      </c>
      <c r="H2676" s="539" t="str">
        <v/>
      </c>
      <c r="I2676" s="540" t="str">
        <f t="array" ref="I2676:J2676">IF(I2670:J2670="","",ABS(I2670:J2670-I2668:J2668))</f>
        <v/>
      </c>
      <c r="J2676" s="540" t="str">
        <v/>
      </c>
      <c r="K2676" s="539" t="str">
        <f>IF(K2670="","",K2670/K2668)</f>
        <v/>
      </c>
      <c r="L2676" s="548" t="str">
        <f>IF(L2670="","",L2670-L2668)</f>
        <v/>
      </c>
      <c r="M2676" s="541" t="str">
        <f>IF(M2670="","",M2670/M2668)</f>
        <v/>
      </c>
      <c r="N2676" s="438"/>
    </row>
    <row r="2677" spans="2:14">
      <c r="B2677" s="484"/>
      <c r="C2677" s="438"/>
      <c r="D2677" s="485" t="str">
        <v/>
      </c>
      <c r="E2677" s="539" t="str">
        <f t="array" ref="E2677:H2677">IF(E2671:H2671="","",E2671:H2671/E2668:H2668)</f>
        <v/>
      </c>
      <c r="F2677" s="539" t="str">
        <v/>
      </c>
      <c r="G2677" s="539" t="str">
        <v/>
      </c>
      <c r="H2677" s="539" t="str">
        <v/>
      </c>
      <c r="I2677" s="540" t="str">
        <f t="array" ref="I2677:J2677">IF(I2671:J2671="","",ABS(I2671:J2671-I2668:J2668))</f>
        <v/>
      </c>
      <c r="J2677" s="540" t="str">
        <v/>
      </c>
      <c r="K2677" s="539" t="str">
        <f>IF(K2671="","",K2671/K2668)</f>
        <v/>
      </c>
      <c r="L2677" s="548" t="str">
        <f>IF(L2671="","",L2671-L2668)</f>
        <v/>
      </c>
      <c r="M2677" s="541" t="str">
        <f>IF(M2671="","",M2671/M2668)</f>
        <v/>
      </c>
      <c r="N2677" s="438"/>
    </row>
    <row r="2678" spans="2:14" ht="17.25" thickBot="1">
      <c r="B2678" s="487" t="s">
        <v>53</v>
      </c>
      <c r="C2678" s="629"/>
      <c r="D2678" s="486" t="str">
        <v/>
      </c>
      <c r="E2678" s="544" t="str">
        <f t="array" ref="E2678:H2678">IF(E2672:H2672="","",E2672:H2672/E2668:H2668)</f>
        <v/>
      </c>
      <c r="F2678" s="544" t="str">
        <v/>
      </c>
      <c r="G2678" s="544" t="str">
        <v/>
      </c>
      <c r="H2678" s="544" t="str">
        <v/>
      </c>
      <c r="I2678" s="545" t="str">
        <f t="array" ref="I2678:J2678">IF(I2672:J2672="","",ABS(I2672:J2672-I2668:J2668))</f>
        <v/>
      </c>
      <c r="J2678" s="545" t="str">
        <v/>
      </c>
      <c r="K2678" s="544" t="str">
        <f>IF(K2672="","",K2672/K2668)</f>
        <v/>
      </c>
      <c r="L2678" s="549" t="str">
        <f>IF(L2672="","",L2672-L2668)</f>
        <v/>
      </c>
      <c r="M2678" s="546" t="str">
        <f>IF(M2672="","",M2672/M2668)</f>
        <v/>
      </c>
      <c r="N2678" s="629"/>
    </row>
  </sheetData>
  <phoneticPr fontId="19" type="noConversion"/>
  <conditionalFormatting sqref="L43:M43 L84:M84 L166:M166 L207:M207 L248:M248 L289:M289 L330:M330 L371:M372 L413:M413 L454:M454 L494:M494 L574:M574 L614:M614 L654:M654 L694:M694 L734:M734 L774:M774 L814:M814 L854:M854 L894:M894 L934:M934 L974:M974 L1014:M1014 L1054:M1054 L1094:M1094 L1134:M1134 L1174:M1174 L1214:M1214 L1254:M1254 L1294:M1294 L1334:M1334 L1374:M1374 L1414:M1414 L1454:M1454 L1494:M1494 L1534:M1534 L1574:M1574 L1614:M1614 L1654:M1654 L1694:M1694 L1734:M1734 L1774:M1774 L1814:M1814 L1854:M1854 L1894:M1894 L1934:M1934 L1974:M1974 L2014:M2014 L2054:M2054 L2094:M2094 L2134:M2134 L2174:M2174 L2214:M2214 L2254:M2254 L125:M125 L2294:M2294 L2334:M2334 L2374:M2374 L2414:M2415 L2455:M2455 M2416:M2454 L2495:M2495 M2456:M2494 L2535:M2535 M2496:M2534 L2575:M2575 M2536:M2574 L2679:M1048576">
    <cfRule type="cellIs" dxfId="96" priority="97" operator="equal">
      <formula>"-"</formula>
    </cfRule>
  </conditionalFormatting>
  <conditionalFormatting sqref="L3:M42">
    <cfRule type="cellIs" dxfId="95" priority="93" operator="equal">
      <formula>"-"</formula>
    </cfRule>
  </conditionalFormatting>
  <conditionalFormatting sqref="L44:M83">
    <cfRule type="cellIs" dxfId="94" priority="92" operator="equal">
      <formula>"-"</formula>
    </cfRule>
  </conditionalFormatting>
  <conditionalFormatting sqref="L85:M124">
    <cfRule type="cellIs" dxfId="93" priority="90" operator="equal">
      <formula>"-"</formula>
    </cfRule>
  </conditionalFormatting>
  <conditionalFormatting sqref="L126:M165">
    <cfRule type="cellIs" dxfId="92" priority="89" operator="equal">
      <formula>"-"</formula>
    </cfRule>
  </conditionalFormatting>
  <conditionalFormatting sqref="L167:M206">
    <cfRule type="cellIs" dxfId="91" priority="88" operator="equal">
      <formula>"-"</formula>
    </cfRule>
  </conditionalFormatting>
  <conditionalFormatting sqref="L208:M247">
    <cfRule type="cellIs" dxfId="90" priority="87" operator="equal">
      <formula>"-"</formula>
    </cfRule>
  </conditionalFormatting>
  <conditionalFormatting sqref="L249:M288">
    <cfRule type="cellIs" dxfId="89" priority="86" operator="equal">
      <formula>"-"</formula>
    </cfRule>
  </conditionalFormatting>
  <conditionalFormatting sqref="L290:M329">
    <cfRule type="cellIs" dxfId="88" priority="85" operator="equal">
      <formula>"-"</formula>
    </cfRule>
  </conditionalFormatting>
  <conditionalFormatting sqref="L331:M370">
    <cfRule type="cellIs" dxfId="87" priority="84" operator="equal">
      <formula>"-"</formula>
    </cfRule>
  </conditionalFormatting>
  <conditionalFormatting sqref="L373:M412">
    <cfRule type="cellIs" dxfId="86" priority="83" operator="equal">
      <formula>"-"</formula>
    </cfRule>
  </conditionalFormatting>
  <conditionalFormatting sqref="L414:M453">
    <cfRule type="cellIs" dxfId="85" priority="82" operator="equal">
      <formula>"-"</formula>
    </cfRule>
  </conditionalFormatting>
  <conditionalFormatting sqref="L455:M493">
    <cfRule type="cellIs" dxfId="84" priority="81" operator="equal">
      <formula>"-"</formula>
    </cfRule>
  </conditionalFormatting>
  <conditionalFormatting sqref="L495:M533">
    <cfRule type="cellIs" dxfId="83" priority="78" operator="equal">
      <formula>"-"</formula>
    </cfRule>
  </conditionalFormatting>
  <conditionalFormatting sqref="L535:M573">
    <cfRule type="cellIs" dxfId="82" priority="77" operator="equal">
      <formula>"-"</formula>
    </cfRule>
  </conditionalFormatting>
  <conditionalFormatting sqref="L575:M613">
    <cfRule type="cellIs" dxfId="81" priority="76" operator="equal">
      <formula>"-"</formula>
    </cfRule>
  </conditionalFormatting>
  <conditionalFormatting sqref="L615:M653">
    <cfRule type="cellIs" dxfId="80" priority="75" operator="equal">
      <formula>"-"</formula>
    </cfRule>
  </conditionalFormatting>
  <conditionalFormatting sqref="L655:M693">
    <cfRule type="cellIs" dxfId="79" priority="71" operator="equal">
      <formula>"-"</formula>
    </cfRule>
  </conditionalFormatting>
  <conditionalFormatting sqref="L695:M733">
    <cfRule type="cellIs" dxfId="78" priority="70" operator="equal">
      <formula>"-"</formula>
    </cfRule>
  </conditionalFormatting>
  <conditionalFormatting sqref="L735:M773">
    <cfRule type="cellIs" dxfId="77" priority="69" operator="equal">
      <formula>"-"</formula>
    </cfRule>
  </conditionalFormatting>
  <conditionalFormatting sqref="L775:M813">
    <cfRule type="cellIs" dxfId="76" priority="68" operator="equal">
      <formula>"-"</formula>
    </cfRule>
  </conditionalFormatting>
  <conditionalFormatting sqref="L815:M853">
    <cfRule type="cellIs" dxfId="75" priority="67" operator="equal">
      <formula>"-"</formula>
    </cfRule>
  </conditionalFormatting>
  <conditionalFormatting sqref="L855:M893">
    <cfRule type="cellIs" dxfId="74" priority="66" operator="equal">
      <formula>"-"</formula>
    </cfRule>
  </conditionalFormatting>
  <conditionalFormatting sqref="L895:M933">
    <cfRule type="cellIs" dxfId="73" priority="65" operator="equal">
      <formula>"-"</formula>
    </cfRule>
  </conditionalFormatting>
  <conditionalFormatting sqref="L935:M973">
    <cfRule type="cellIs" dxfId="72" priority="64" operator="equal">
      <formula>"-"</formula>
    </cfRule>
  </conditionalFormatting>
  <conditionalFormatting sqref="L975:M1013">
    <cfRule type="cellIs" dxfId="71" priority="63" operator="equal">
      <formula>"-"</formula>
    </cfRule>
  </conditionalFormatting>
  <conditionalFormatting sqref="L1015:M1053">
    <cfRule type="cellIs" dxfId="70" priority="62" operator="equal">
      <formula>"-"</formula>
    </cfRule>
  </conditionalFormatting>
  <conditionalFormatting sqref="L1055:M1093">
    <cfRule type="cellIs" dxfId="69" priority="61" operator="equal">
      <formula>"-"</formula>
    </cfRule>
  </conditionalFormatting>
  <conditionalFormatting sqref="L1095:M1133">
    <cfRule type="cellIs" dxfId="68" priority="60" operator="equal">
      <formula>"-"</formula>
    </cfRule>
  </conditionalFormatting>
  <conditionalFormatting sqref="L1135:M1173">
    <cfRule type="cellIs" dxfId="67" priority="59" operator="equal">
      <formula>"-"</formula>
    </cfRule>
  </conditionalFormatting>
  <conditionalFormatting sqref="L1175:M1213">
    <cfRule type="cellIs" dxfId="66" priority="58" operator="equal">
      <formula>"-"</formula>
    </cfRule>
  </conditionalFormatting>
  <conditionalFormatting sqref="L1215:M1253">
    <cfRule type="cellIs" dxfId="65" priority="57" operator="equal">
      <formula>"-"</formula>
    </cfRule>
  </conditionalFormatting>
  <conditionalFormatting sqref="L1255:M1293">
    <cfRule type="cellIs" dxfId="64" priority="56" operator="equal">
      <formula>"-"</formula>
    </cfRule>
  </conditionalFormatting>
  <conditionalFormatting sqref="L1295:M1333">
    <cfRule type="cellIs" dxfId="63" priority="55" operator="equal">
      <formula>"-"</formula>
    </cfRule>
  </conditionalFormatting>
  <conditionalFormatting sqref="L1335:M1373">
    <cfRule type="cellIs" dxfId="62" priority="54" operator="equal">
      <formula>"-"</formula>
    </cfRule>
  </conditionalFormatting>
  <conditionalFormatting sqref="L1375:M1413">
    <cfRule type="cellIs" dxfId="61" priority="53" operator="equal">
      <formula>"-"</formula>
    </cfRule>
  </conditionalFormatting>
  <conditionalFormatting sqref="L1415:M1453">
    <cfRule type="cellIs" dxfId="60" priority="52" operator="equal">
      <formula>"-"</formula>
    </cfRule>
  </conditionalFormatting>
  <conditionalFormatting sqref="L1455:M1493">
    <cfRule type="cellIs" dxfId="59" priority="50" operator="equal">
      <formula>"-"</formula>
    </cfRule>
  </conditionalFormatting>
  <conditionalFormatting sqref="L1495:M1533">
    <cfRule type="cellIs" dxfId="58" priority="49" operator="equal">
      <formula>"-"</formula>
    </cfRule>
  </conditionalFormatting>
  <conditionalFormatting sqref="L1535:M1573">
    <cfRule type="cellIs" dxfId="57" priority="48" operator="equal">
      <formula>"-"</formula>
    </cfRule>
  </conditionalFormatting>
  <conditionalFormatting sqref="L1575:M1613">
    <cfRule type="cellIs" dxfId="56" priority="47" operator="equal">
      <formula>"-"</formula>
    </cfRule>
  </conditionalFormatting>
  <conditionalFormatting sqref="L1615:M1653">
    <cfRule type="cellIs" dxfId="55" priority="46" operator="equal">
      <formula>"-"</formula>
    </cfRule>
  </conditionalFormatting>
  <conditionalFormatting sqref="L1655:M1693">
    <cfRule type="cellIs" dxfId="54" priority="45" operator="equal">
      <formula>"-"</formula>
    </cfRule>
  </conditionalFormatting>
  <conditionalFormatting sqref="L1695:M1733">
    <cfRule type="cellIs" dxfId="53" priority="44" operator="equal">
      <formula>"-"</formula>
    </cfRule>
  </conditionalFormatting>
  <conditionalFormatting sqref="L1735:M1773">
    <cfRule type="cellIs" dxfId="52" priority="43" operator="equal">
      <formula>"-"</formula>
    </cfRule>
  </conditionalFormatting>
  <conditionalFormatting sqref="L1775:M1813">
    <cfRule type="cellIs" dxfId="51" priority="42" operator="equal">
      <formula>"-"</formula>
    </cfRule>
  </conditionalFormatting>
  <conditionalFormatting sqref="L1815:M1853">
    <cfRule type="cellIs" dxfId="50" priority="41" operator="equal">
      <formula>"-"</formula>
    </cfRule>
  </conditionalFormatting>
  <conditionalFormatting sqref="L1855:M1893">
    <cfRule type="cellIs" dxfId="49" priority="40" operator="equal">
      <formula>"-"</formula>
    </cfRule>
  </conditionalFormatting>
  <conditionalFormatting sqref="L1895:M1933">
    <cfRule type="cellIs" dxfId="48" priority="39" operator="equal">
      <formula>"-"</formula>
    </cfRule>
  </conditionalFormatting>
  <conditionalFormatting sqref="L1935:M1973">
    <cfRule type="cellIs" dxfId="47" priority="38" operator="equal">
      <formula>"-"</formula>
    </cfRule>
  </conditionalFormatting>
  <conditionalFormatting sqref="L1975:M2013">
    <cfRule type="cellIs" dxfId="46" priority="37" operator="equal">
      <formula>"-"</formula>
    </cfRule>
  </conditionalFormatting>
  <conditionalFormatting sqref="L2015:M2053">
    <cfRule type="cellIs" dxfId="45" priority="36" operator="equal">
      <formula>"-"</formula>
    </cfRule>
  </conditionalFormatting>
  <conditionalFormatting sqref="L2055:M2093">
    <cfRule type="cellIs" dxfId="44" priority="34" operator="equal">
      <formula>"-"</formula>
    </cfRule>
  </conditionalFormatting>
  <conditionalFormatting sqref="L2095:M2133">
    <cfRule type="cellIs" dxfId="43" priority="33" operator="equal">
      <formula>"-"</formula>
    </cfRule>
  </conditionalFormatting>
  <conditionalFormatting sqref="L2135:M2173">
    <cfRule type="cellIs" dxfId="42" priority="32" operator="equal">
      <formula>"-"</formula>
    </cfRule>
  </conditionalFormatting>
  <conditionalFormatting sqref="L2175:M2213">
    <cfRule type="cellIs" dxfId="41" priority="31" operator="equal">
      <formula>"-"</formula>
    </cfRule>
  </conditionalFormatting>
  <conditionalFormatting sqref="L2215:M2253">
    <cfRule type="cellIs" dxfId="40" priority="30" operator="equal">
      <formula>"-"</formula>
    </cfRule>
  </conditionalFormatting>
  <conditionalFormatting sqref="L2255:M2293">
    <cfRule type="cellIs" dxfId="39" priority="29" operator="equal">
      <formula>"-"</formula>
    </cfRule>
  </conditionalFormatting>
  <conditionalFormatting sqref="L2295:M2333">
    <cfRule type="cellIs" dxfId="38" priority="28" operator="equal">
      <formula>"-"</formula>
    </cfRule>
  </conditionalFormatting>
  <conditionalFormatting sqref="L2335:M2373">
    <cfRule type="cellIs" dxfId="37" priority="27" operator="equal">
      <formula>"-"</formula>
    </cfRule>
  </conditionalFormatting>
  <conditionalFormatting sqref="L2375:M2413">
    <cfRule type="cellIs" dxfId="36" priority="26" operator="equal">
      <formula>"-"</formula>
    </cfRule>
  </conditionalFormatting>
  <conditionalFormatting sqref="L2416:L2454">
    <cfRule type="cellIs" dxfId="35" priority="25" operator="equal">
      <formula>"-"</formula>
    </cfRule>
  </conditionalFormatting>
  <conditionalFormatting sqref="L2456:L2494">
    <cfRule type="cellIs" dxfId="34" priority="24" operator="equal">
      <formula>"-"</formula>
    </cfRule>
  </conditionalFormatting>
  <conditionalFormatting sqref="L2496:L2534">
    <cfRule type="cellIs" dxfId="33" priority="23" operator="equal">
      <formula>"-"</formula>
    </cfRule>
  </conditionalFormatting>
  <conditionalFormatting sqref="L2536:L2574">
    <cfRule type="cellIs" dxfId="32" priority="22" operator="equal">
      <formula>"-"</formula>
    </cfRule>
  </conditionalFormatting>
  <conditionalFormatting sqref="D2615:E2615">
    <cfRule type="expression" dxfId="31" priority="13">
      <formula>OR($M2614="o",$M2614="O")</formula>
    </cfRule>
  </conditionalFormatting>
  <conditionalFormatting sqref="C2579:M2614">
    <cfRule type="expression" dxfId="30" priority="12">
      <formula>OR($M2579="o",$M2579="O")</formula>
    </cfRule>
  </conditionalFormatting>
  <conditionalFormatting sqref="D2621">
    <cfRule type="expression" dxfId="29" priority="14">
      <formula>OR(#REF!="o",#REF!="O")</formula>
    </cfRule>
  </conditionalFormatting>
  <conditionalFormatting sqref="E2622:H2626 K2622:K2626">
    <cfRule type="expression" dxfId="28" priority="10">
      <formula>E2622&lt;0.95</formula>
    </cfRule>
    <cfRule type="expression" dxfId="27" priority="11">
      <formula>E2622&gt;1.05</formula>
    </cfRule>
  </conditionalFormatting>
  <conditionalFormatting sqref="M2622:M2626">
    <cfRule type="expression" dxfId="26" priority="8">
      <formula>M2622&gt;1.1</formula>
    </cfRule>
    <cfRule type="expression" dxfId="25" priority="9">
      <formula>M2622&lt;0.9</formula>
    </cfRule>
  </conditionalFormatting>
  <conditionalFormatting sqref="D2667:E2667">
    <cfRule type="expression" dxfId="24" priority="6">
      <formula>OR($M2666="o",$M2666="O")</formula>
    </cfRule>
  </conditionalFormatting>
  <conditionalFormatting sqref="C2631:M2666">
    <cfRule type="expression" dxfId="23" priority="5">
      <formula>OR($M2631="o",$M2631="O")</formula>
    </cfRule>
  </conditionalFormatting>
  <conditionalFormatting sqref="D2673">
    <cfRule type="expression" dxfId="22" priority="7">
      <formula>OR(#REF!="o",#REF!="O")</formula>
    </cfRule>
  </conditionalFormatting>
  <conditionalFormatting sqref="E2674:H2678 K2674:K2678">
    <cfRule type="expression" dxfId="21" priority="3">
      <formula>E2674&lt;0.95</formula>
    </cfRule>
    <cfRule type="expression" dxfId="20" priority="4">
      <formula>E2674&gt;1.05</formula>
    </cfRule>
  </conditionalFormatting>
  <conditionalFormatting sqref="M2674:M2678">
    <cfRule type="expression" dxfId="19" priority="1">
      <formula>M2674&gt;1.1</formula>
    </cfRule>
    <cfRule type="expression" dxfId="18" priority="2">
      <formula>M2674&lt;0.9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P580"/>
  <sheetViews>
    <sheetView zoomScale="85" zoomScaleNormal="85" workbookViewId="0">
      <selection activeCell="L565" sqref="L565"/>
    </sheetView>
  </sheetViews>
  <sheetFormatPr defaultRowHeight="16.5" outlineLevelRow="1"/>
  <cols>
    <col min="1" max="1" width="6.625" style="65" customWidth="1"/>
    <col min="2" max="2" width="23.5" style="4" bestFit="1" customWidth="1"/>
    <col min="3" max="3" width="15.25" style="66" bestFit="1" customWidth="1"/>
    <col min="4" max="4" width="15.375" style="4" bestFit="1" customWidth="1"/>
    <col min="5" max="5" width="8.125" style="19" bestFit="1" customWidth="1"/>
    <col min="6" max="8" width="6.875" style="19" bestFit="1" customWidth="1"/>
    <col min="9" max="10" width="8" style="20" bestFit="1" customWidth="1"/>
    <col min="11" max="11" width="7.375" style="19" bestFit="1" customWidth="1"/>
    <col min="12" max="12" width="14.25" style="9" bestFit="1" customWidth="1"/>
    <col min="13" max="13" width="20" style="4" bestFit="1" customWidth="1"/>
    <col min="14" max="14" width="15.125" style="3" bestFit="1" customWidth="1"/>
    <col min="15" max="16384" width="9" style="4"/>
  </cols>
  <sheetData>
    <row r="2" spans="1:14" s="5" customFormat="1" hidden="1">
      <c r="A2" s="1"/>
      <c r="B2" s="5" t="s">
        <v>164</v>
      </c>
      <c r="C2" s="64"/>
      <c r="E2" s="17"/>
      <c r="F2" s="17"/>
      <c r="G2" s="17"/>
      <c r="H2" s="17"/>
      <c r="I2" s="18"/>
      <c r="J2" s="18"/>
      <c r="K2" s="17"/>
      <c r="L2" s="21"/>
      <c r="M2" s="6"/>
    </row>
    <row r="3" spans="1:14" hidden="1">
      <c r="B3" s="65" t="s">
        <v>12</v>
      </c>
      <c r="L3" s="22"/>
      <c r="M3" s="3"/>
      <c r="N3" s="4"/>
    </row>
    <row r="4" spans="1:14" s="5" customFormat="1" ht="33" hidden="1">
      <c r="A4" s="67"/>
      <c r="B4" s="23" t="s">
        <v>13</v>
      </c>
      <c r="C4" s="24" t="s">
        <v>14</v>
      </c>
      <c r="D4" s="25" t="s">
        <v>15</v>
      </c>
      <c r="E4" s="26" t="s">
        <v>2</v>
      </c>
      <c r="F4" s="26" t="s">
        <v>3</v>
      </c>
      <c r="G4" s="26" t="s">
        <v>4</v>
      </c>
      <c r="H4" s="26" t="s">
        <v>16</v>
      </c>
      <c r="I4" s="27" t="s">
        <v>6</v>
      </c>
      <c r="J4" s="28" t="s">
        <v>7</v>
      </c>
      <c r="K4" s="29" t="s">
        <v>17</v>
      </c>
      <c r="L4" s="30" t="s">
        <v>9</v>
      </c>
      <c r="M4" s="30" t="s">
        <v>18</v>
      </c>
      <c r="N4" s="31" t="s">
        <v>19</v>
      </c>
    </row>
    <row r="5" spans="1:14" s="5" customFormat="1" ht="17.25" hidden="1" thickBot="1">
      <c r="A5" s="67"/>
      <c r="B5" s="687" t="s">
        <v>59</v>
      </c>
      <c r="C5" s="68" t="s">
        <v>60</v>
      </c>
      <c r="D5" s="69" t="s">
        <v>49</v>
      </c>
      <c r="E5" s="70">
        <f>AVERAGE(E7:E9,E11,E14:E15)</f>
        <v>4.1438333333333333</v>
      </c>
      <c r="F5" s="70">
        <f t="shared" ref="F5:K5" si="0">AVERAGE(F7:F9,F11,F14:F15)</f>
        <v>6.3206666666666669</v>
      </c>
      <c r="G5" s="70">
        <f t="shared" si="0"/>
        <v>4.7969915000000007</v>
      </c>
      <c r="H5" s="70">
        <f t="shared" si="0"/>
        <v>6.6695500000000001</v>
      </c>
      <c r="I5" s="71">
        <f t="shared" si="0"/>
        <v>0.13258333333333336</v>
      </c>
      <c r="J5" s="71">
        <f t="shared" si="0"/>
        <v>0.12858333333333336</v>
      </c>
      <c r="K5" s="70">
        <f t="shared" si="0"/>
        <v>49.165702696843503</v>
      </c>
      <c r="L5" s="72">
        <f>AVERAGE(L6:L15)</f>
        <v>92.76044444444446</v>
      </c>
      <c r="M5" s="72"/>
      <c r="N5" s="73" t="str">
        <f>IF(N6="","",N6)</f>
        <v/>
      </c>
    </row>
    <row r="6" spans="1:14" ht="16.5" hidden="1" customHeight="1" outlineLevel="1">
      <c r="B6" s="688"/>
      <c r="C6" s="74">
        <v>1</v>
      </c>
      <c r="D6" s="75" t="s">
        <v>61</v>
      </c>
      <c r="E6" s="76">
        <v>6.0250000000000004</v>
      </c>
      <c r="F6" s="77">
        <v>6.5170000000000003</v>
      </c>
      <c r="G6" s="77">
        <v>3.3980220000000001</v>
      </c>
      <c r="H6" s="77">
        <v>6.9653</v>
      </c>
      <c r="I6" s="78">
        <v>0.13250000000000001</v>
      </c>
      <c r="J6" s="78">
        <v>0.12640000000000001</v>
      </c>
      <c r="K6" s="77">
        <f>F6/J6</f>
        <v>51.558544303797468</v>
      </c>
      <c r="L6" s="79">
        <v>93.3</v>
      </c>
      <c r="M6" s="80"/>
      <c r="N6" s="81"/>
    </row>
    <row r="7" spans="1:14" ht="16.5" hidden="1" customHeight="1" outlineLevel="1">
      <c r="B7" s="688"/>
      <c r="C7" s="82">
        <v>2</v>
      </c>
      <c r="D7" s="32" t="s">
        <v>62</v>
      </c>
      <c r="E7" s="83">
        <v>4.3819999999999997</v>
      </c>
      <c r="F7" s="83">
        <v>6.3029999999999999</v>
      </c>
      <c r="G7" s="83">
        <v>4.5192300000000003</v>
      </c>
      <c r="H7" s="83">
        <v>6.7504</v>
      </c>
      <c r="I7" s="84">
        <v>0.1326</v>
      </c>
      <c r="J7" s="84">
        <v>0.126</v>
      </c>
      <c r="K7" s="83">
        <f t="shared" ref="K7:K31" si="1">F7/J7</f>
        <v>50.023809523809526</v>
      </c>
      <c r="L7" s="10">
        <v>93.4</v>
      </c>
      <c r="M7" s="11"/>
      <c r="N7" s="33"/>
    </row>
    <row r="8" spans="1:14" ht="16.5" hidden="1" customHeight="1" outlineLevel="1">
      <c r="B8" s="688"/>
      <c r="C8" s="82">
        <v>3</v>
      </c>
      <c r="D8" s="32" t="s">
        <v>60</v>
      </c>
      <c r="E8" s="83">
        <v>4.0339999999999998</v>
      </c>
      <c r="F8" s="83">
        <v>6.3159999999999998</v>
      </c>
      <c r="G8" s="83">
        <v>4.9192530000000003</v>
      </c>
      <c r="H8" s="83">
        <v>6.7011000000000003</v>
      </c>
      <c r="I8" s="84">
        <v>0.1326</v>
      </c>
      <c r="J8" s="84">
        <v>0.12770000000000001</v>
      </c>
      <c r="K8" s="83">
        <f t="shared" si="1"/>
        <v>49.459671104150345</v>
      </c>
      <c r="L8" s="10" t="s">
        <v>53</v>
      </c>
      <c r="M8" s="11"/>
      <c r="N8" s="34"/>
    </row>
    <row r="9" spans="1:14" ht="16.5" hidden="1" customHeight="1" outlineLevel="1">
      <c r="B9" s="688"/>
      <c r="C9" s="82">
        <v>4</v>
      </c>
      <c r="D9" s="32" t="s">
        <v>63</v>
      </c>
      <c r="E9" s="83">
        <v>4.1219999999999999</v>
      </c>
      <c r="F9" s="83">
        <v>6.3719999999999999</v>
      </c>
      <c r="G9" s="83">
        <v>4.8570250000000001</v>
      </c>
      <c r="H9" s="83">
        <v>6.7012</v>
      </c>
      <c r="I9" s="84">
        <v>0.1326</v>
      </c>
      <c r="J9" s="84">
        <v>0.12909999999999999</v>
      </c>
      <c r="K9" s="83">
        <f t="shared" si="1"/>
        <v>49.357087529047256</v>
      </c>
      <c r="L9" s="10">
        <v>93.3</v>
      </c>
      <c r="M9" s="11"/>
      <c r="N9" s="34"/>
    </row>
    <row r="10" spans="1:14" ht="17.25" hidden="1" customHeight="1" outlineLevel="1" thickBot="1">
      <c r="B10" s="688"/>
      <c r="C10" s="85">
        <v>5</v>
      </c>
      <c r="D10" s="86" t="s">
        <v>64</v>
      </c>
      <c r="E10" s="87">
        <v>5.8979999999999997</v>
      </c>
      <c r="F10" s="88">
        <v>6.4489999999999998</v>
      </c>
      <c r="G10" s="88">
        <v>3.4348519999999998</v>
      </c>
      <c r="H10" s="88">
        <v>6.7751000000000001</v>
      </c>
      <c r="I10" s="89">
        <v>0.13270000000000001</v>
      </c>
      <c r="J10" s="89">
        <v>0.12920000000000001</v>
      </c>
      <c r="K10" s="88">
        <f t="shared" si="1"/>
        <v>49.914860681114547</v>
      </c>
      <c r="L10" s="90">
        <v>92.88</v>
      </c>
      <c r="M10" s="14"/>
      <c r="N10" s="91"/>
    </row>
    <row r="11" spans="1:14" ht="16.5" hidden="1" customHeight="1" outlineLevel="1">
      <c r="B11" s="688"/>
      <c r="C11" s="74">
        <v>6</v>
      </c>
      <c r="D11" s="75" t="s">
        <v>20</v>
      </c>
      <c r="E11" s="92">
        <v>4.0369999999999999</v>
      </c>
      <c r="F11" s="92">
        <v>6.4020000000000001</v>
      </c>
      <c r="G11" s="92">
        <v>4.9816649999999996</v>
      </c>
      <c r="H11" s="92">
        <v>6.7973999999999997</v>
      </c>
      <c r="I11" s="93">
        <v>0.13250000000000001</v>
      </c>
      <c r="J11" s="93">
        <v>0.1278</v>
      </c>
      <c r="K11" s="92">
        <f t="shared" si="1"/>
        <v>50.093896713615024</v>
      </c>
      <c r="L11" s="94">
        <v>92.408000000000001</v>
      </c>
      <c r="M11" s="58"/>
      <c r="N11" s="95"/>
    </row>
    <row r="12" spans="1:14" ht="16.5" hidden="1" customHeight="1" outlineLevel="1">
      <c r="B12" s="688"/>
      <c r="C12" s="82">
        <v>7</v>
      </c>
      <c r="D12" s="32" t="s">
        <v>21</v>
      </c>
      <c r="E12" s="96">
        <v>5.9039999999999999</v>
      </c>
      <c r="F12" s="83">
        <v>6.3029999999999999</v>
      </c>
      <c r="G12" s="83">
        <v>3.3537349999999999</v>
      </c>
      <c r="H12" s="83">
        <v>6.6917999999999997</v>
      </c>
      <c r="I12" s="84">
        <v>0.1326</v>
      </c>
      <c r="J12" s="84">
        <v>0.1275</v>
      </c>
      <c r="K12" s="83">
        <f t="shared" si="1"/>
        <v>49.435294117647061</v>
      </c>
      <c r="L12" s="10">
        <v>92.483999999999995</v>
      </c>
      <c r="M12" s="11"/>
      <c r="N12" s="34"/>
    </row>
    <row r="13" spans="1:14" ht="16.5" hidden="1" customHeight="1" outlineLevel="1">
      <c r="B13" s="688"/>
      <c r="C13" s="82">
        <v>8</v>
      </c>
      <c r="D13" s="32" t="s">
        <v>65</v>
      </c>
      <c r="E13" s="96">
        <v>5.9560000000000004</v>
      </c>
      <c r="F13" s="83">
        <v>6.2610000000000001</v>
      </c>
      <c r="G13" s="83">
        <v>3.302581</v>
      </c>
      <c r="H13" s="83">
        <v>6.5945999999999998</v>
      </c>
      <c r="I13" s="84">
        <v>0.13250000000000001</v>
      </c>
      <c r="J13" s="84">
        <v>0.12889999999999999</v>
      </c>
      <c r="K13" s="83">
        <f t="shared" si="1"/>
        <v>48.572536850271533</v>
      </c>
      <c r="L13" s="10">
        <v>92.388000000000005</v>
      </c>
      <c r="M13" s="11"/>
      <c r="N13" s="34"/>
    </row>
    <row r="14" spans="1:14" ht="16.5" hidden="1" customHeight="1" outlineLevel="1">
      <c r="B14" s="688"/>
      <c r="C14" s="82">
        <v>9</v>
      </c>
      <c r="D14" s="32" t="s">
        <v>22</v>
      </c>
      <c r="E14" s="83">
        <v>4.0410000000000004</v>
      </c>
      <c r="F14" s="83">
        <v>6.2560000000000002</v>
      </c>
      <c r="G14" s="83">
        <v>4.8633579999999998</v>
      </c>
      <c r="H14" s="83">
        <v>6.5224000000000002</v>
      </c>
      <c r="I14" s="84">
        <v>0.1326</v>
      </c>
      <c r="J14" s="84">
        <v>0.13039999999999999</v>
      </c>
      <c r="K14" s="83">
        <f t="shared" si="1"/>
        <v>47.975460122699396</v>
      </c>
      <c r="L14" s="10">
        <v>92.113</v>
      </c>
      <c r="M14" s="11"/>
      <c r="N14" s="34"/>
    </row>
    <row r="15" spans="1:14" ht="17.25" hidden="1" customHeight="1" outlineLevel="1" thickBot="1">
      <c r="B15" s="689"/>
      <c r="C15" s="97">
        <v>10</v>
      </c>
      <c r="D15" s="35" t="s">
        <v>23</v>
      </c>
      <c r="E15" s="88">
        <v>4.2469999999999999</v>
      </c>
      <c r="F15" s="88">
        <v>6.2750000000000004</v>
      </c>
      <c r="G15" s="88">
        <v>4.6414179999999998</v>
      </c>
      <c r="H15" s="88">
        <v>6.5448000000000004</v>
      </c>
      <c r="I15" s="89">
        <v>0.1326</v>
      </c>
      <c r="J15" s="89">
        <v>0.1305</v>
      </c>
      <c r="K15" s="88">
        <f t="shared" si="1"/>
        <v>48.084291187739467</v>
      </c>
      <c r="L15" s="90">
        <v>92.570999999999998</v>
      </c>
      <c r="M15" s="14"/>
      <c r="N15" s="91"/>
    </row>
    <row r="16" spans="1:14" s="5" customFormat="1" ht="17.25" hidden="1" collapsed="1" thickBot="1">
      <c r="A16" s="67"/>
      <c r="B16" s="687" t="s">
        <v>66</v>
      </c>
      <c r="C16" s="98" t="s">
        <v>67</v>
      </c>
      <c r="D16" s="99" t="s">
        <v>49</v>
      </c>
      <c r="E16" s="100">
        <f t="shared" ref="E16:K16" si="2">AVERAGE(E17,E21,E23,E26:E29,E31)</f>
        <v>4.0938749999999997</v>
      </c>
      <c r="F16" s="100">
        <f t="shared" si="2"/>
        <v>6.4192499999999999</v>
      </c>
      <c r="G16" s="100">
        <f t="shared" si="2"/>
        <v>4.9278428750000005</v>
      </c>
      <c r="H16" s="100">
        <f t="shared" si="2"/>
        <v>6.8230874999999997</v>
      </c>
      <c r="I16" s="101">
        <f t="shared" si="2"/>
        <v>0.13261250000000002</v>
      </c>
      <c r="J16" s="101">
        <f t="shared" si="2"/>
        <v>0.12732499999999999</v>
      </c>
      <c r="K16" s="100">
        <f t="shared" si="2"/>
        <v>50.431405660288</v>
      </c>
      <c r="L16" s="102">
        <f>AVERAGE(L17:L20,L22:L31)</f>
        <v>92.387545454545446</v>
      </c>
      <c r="M16" s="102"/>
      <c r="N16" s="103" t="str">
        <f>IF(N17="","",N17)</f>
        <v/>
      </c>
    </row>
    <row r="17" spans="2:14" ht="16.5" hidden="1" customHeight="1" outlineLevel="1">
      <c r="B17" s="688"/>
      <c r="C17" s="104">
        <v>11</v>
      </c>
      <c r="D17" s="105" t="s">
        <v>24</v>
      </c>
      <c r="E17" s="92">
        <v>4.0549999999999997</v>
      </c>
      <c r="F17" s="92">
        <v>6.4459999999999997</v>
      </c>
      <c r="G17" s="92">
        <v>4.9935159999999996</v>
      </c>
      <c r="H17" s="92">
        <v>6.8395999999999999</v>
      </c>
      <c r="I17" s="93">
        <v>0.13250000000000001</v>
      </c>
      <c r="J17" s="93">
        <v>0.1278</v>
      </c>
      <c r="K17" s="92">
        <f t="shared" si="1"/>
        <v>50.438184663536774</v>
      </c>
      <c r="L17" s="94">
        <v>92.471000000000004</v>
      </c>
      <c r="M17" s="58"/>
      <c r="N17" s="95"/>
    </row>
    <row r="18" spans="2:14" ht="16.5" hidden="1" customHeight="1" outlineLevel="1">
      <c r="B18" s="688"/>
      <c r="C18" s="106">
        <v>12</v>
      </c>
      <c r="D18" s="39" t="s">
        <v>25</v>
      </c>
      <c r="E18" s="96">
        <v>5.9779999999999998</v>
      </c>
      <c r="F18" s="83">
        <v>6.306</v>
      </c>
      <c r="G18" s="83">
        <v>3.3138540000000001</v>
      </c>
      <c r="H18" s="83">
        <v>6.6961000000000004</v>
      </c>
      <c r="I18" s="84">
        <v>0.1326</v>
      </c>
      <c r="J18" s="84">
        <v>0.1275</v>
      </c>
      <c r="K18" s="83">
        <f t="shared" si="1"/>
        <v>49.458823529411767</v>
      </c>
      <c r="L18" s="10">
        <v>92.295000000000002</v>
      </c>
      <c r="M18" s="11"/>
      <c r="N18" s="34"/>
    </row>
    <row r="19" spans="2:14" ht="16.5" hidden="1" customHeight="1" outlineLevel="1">
      <c r="B19" s="688"/>
      <c r="C19" s="106">
        <v>13</v>
      </c>
      <c r="D19" s="39" t="s">
        <v>26</v>
      </c>
      <c r="E19" s="96">
        <v>5.9340000000000002</v>
      </c>
      <c r="F19" s="83">
        <v>6.2930000000000001</v>
      </c>
      <c r="G19" s="83">
        <v>3.3314309999999998</v>
      </c>
      <c r="H19" s="83">
        <v>6.6162999999999998</v>
      </c>
      <c r="I19" s="84">
        <v>0.13250000000000001</v>
      </c>
      <c r="J19" s="84">
        <v>0.12909999999999999</v>
      </c>
      <c r="K19" s="83">
        <f t="shared" si="1"/>
        <v>48.745158791634395</v>
      </c>
      <c r="L19" s="10" t="s">
        <v>53</v>
      </c>
      <c r="M19" s="11"/>
      <c r="N19" s="34"/>
    </row>
    <row r="20" spans="2:14" ht="16.5" hidden="1" customHeight="1" outlineLevel="1">
      <c r="B20" s="688"/>
      <c r="C20" s="106">
        <v>14</v>
      </c>
      <c r="D20" s="39" t="s">
        <v>27</v>
      </c>
      <c r="E20" s="96">
        <v>2.762</v>
      </c>
      <c r="F20" s="83">
        <v>7.7340000000000004E-3</v>
      </c>
      <c r="G20" s="83">
        <v>8.796E-3</v>
      </c>
      <c r="H20" s="83">
        <v>8.5000000000000006E-3</v>
      </c>
      <c r="I20" s="84">
        <v>0.13880000000000001</v>
      </c>
      <c r="J20" s="84">
        <v>0.13750000000000001</v>
      </c>
      <c r="K20" s="83">
        <f t="shared" si="1"/>
        <v>5.6247272727272729E-2</v>
      </c>
      <c r="L20" s="10">
        <v>92.3</v>
      </c>
      <c r="M20" s="11"/>
      <c r="N20" s="34"/>
    </row>
    <row r="21" spans="2:14" ht="17.25" hidden="1" customHeight="1" outlineLevel="1" thickBot="1">
      <c r="B21" s="688"/>
      <c r="C21" s="107">
        <v>15</v>
      </c>
      <c r="D21" s="108" t="s">
        <v>28</v>
      </c>
      <c r="E21" s="88">
        <v>4.1029999999999998</v>
      </c>
      <c r="F21" s="88">
        <v>6.3419999999999996</v>
      </c>
      <c r="G21" s="88">
        <v>4.8555989999999998</v>
      </c>
      <c r="H21" s="88">
        <v>6.6024000000000003</v>
      </c>
      <c r="I21" s="89">
        <v>0.1326</v>
      </c>
      <c r="J21" s="89">
        <v>0.13059999999999999</v>
      </c>
      <c r="K21" s="88">
        <f t="shared" si="1"/>
        <v>48.560490045941805</v>
      </c>
      <c r="L21" s="90">
        <v>89.522000000000006</v>
      </c>
      <c r="M21" s="90"/>
      <c r="N21" s="91"/>
    </row>
    <row r="22" spans="2:14" ht="16.5" hidden="1" customHeight="1" outlineLevel="1">
      <c r="B22" s="688"/>
      <c r="C22" s="109">
        <v>16</v>
      </c>
      <c r="D22" s="110" t="s">
        <v>29</v>
      </c>
      <c r="E22" s="111">
        <v>6.1669999999999998</v>
      </c>
      <c r="F22" s="92">
        <v>6.4459999999999997</v>
      </c>
      <c r="G22" s="92">
        <v>3.2835610000000002</v>
      </c>
      <c r="H22" s="92">
        <v>6.883</v>
      </c>
      <c r="I22" s="93">
        <v>0.13250000000000001</v>
      </c>
      <c r="J22" s="93">
        <v>0.1268</v>
      </c>
      <c r="K22" s="92">
        <f t="shared" si="1"/>
        <v>50.835962145110408</v>
      </c>
      <c r="L22" s="94" t="s">
        <v>53</v>
      </c>
      <c r="M22" s="58"/>
      <c r="N22" s="95"/>
    </row>
    <row r="23" spans="2:14" ht="16.5" hidden="1" customHeight="1" outlineLevel="1">
      <c r="B23" s="688"/>
      <c r="C23" s="106">
        <v>17</v>
      </c>
      <c r="D23" s="39" t="s">
        <v>30</v>
      </c>
      <c r="E23" s="83">
        <v>4.0430000000000001</v>
      </c>
      <c r="F23" s="83">
        <v>6.3419999999999996</v>
      </c>
      <c r="G23" s="83">
        <v>4.9280189999999999</v>
      </c>
      <c r="H23" s="83">
        <v>6.7687999999999997</v>
      </c>
      <c r="I23" s="84">
        <v>0.1326</v>
      </c>
      <c r="J23" s="84">
        <v>0.12659999999999999</v>
      </c>
      <c r="K23" s="83">
        <f t="shared" si="1"/>
        <v>50.094786729857823</v>
      </c>
      <c r="L23" s="10">
        <v>92.373000000000005</v>
      </c>
      <c r="M23" s="11"/>
      <c r="N23" s="34"/>
    </row>
    <row r="24" spans="2:14" ht="16.5" hidden="1" customHeight="1" outlineLevel="1">
      <c r="B24" s="688"/>
      <c r="C24" s="106">
        <v>18</v>
      </c>
      <c r="D24" s="39" t="s">
        <v>31</v>
      </c>
      <c r="E24" s="96">
        <v>5.9939999999999998</v>
      </c>
      <c r="F24" s="83">
        <v>6.3319999999999999</v>
      </c>
      <c r="G24" s="83">
        <v>3.3189120000000001</v>
      </c>
      <c r="H24" s="83">
        <v>6.6978999999999997</v>
      </c>
      <c r="I24" s="84">
        <v>0.1326</v>
      </c>
      <c r="J24" s="84">
        <v>0.12809999999999999</v>
      </c>
      <c r="K24" s="83">
        <f t="shared" si="1"/>
        <v>49.430132708821233</v>
      </c>
      <c r="L24" s="10">
        <v>92.231999999999999</v>
      </c>
      <c r="M24" s="11"/>
      <c r="N24" s="34"/>
    </row>
    <row r="25" spans="2:14" ht="16.5" hidden="1" customHeight="1" outlineLevel="1">
      <c r="B25" s="688"/>
      <c r="C25" s="106">
        <v>19</v>
      </c>
      <c r="D25" s="39" t="s">
        <v>32</v>
      </c>
      <c r="E25" s="96">
        <v>5.899</v>
      </c>
      <c r="F25" s="83">
        <v>6.3540000000000001</v>
      </c>
      <c r="G25" s="83">
        <v>3.3836219999999999</v>
      </c>
      <c r="H25" s="83">
        <v>6.6580000000000004</v>
      </c>
      <c r="I25" s="84">
        <v>0.1326</v>
      </c>
      <c r="J25" s="84">
        <v>0.12959999999999999</v>
      </c>
      <c r="K25" s="83">
        <f t="shared" si="1"/>
        <v>49.027777777777779</v>
      </c>
      <c r="L25" s="10" t="s">
        <v>53</v>
      </c>
      <c r="M25" s="11"/>
      <c r="N25" s="34"/>
    </row>
    <row r="26" spans="2:14" ht="17.25" hidden="1" customHeight="1" outlineLevel="1" thickBot="1">
      <c r="B26" s="688"/>
      <c r="C26" s="107">
        <v>20</v>
      </c>
      <c r="D26" s="108" t="s">
        <v>33</v>
      </c>
      <c r="E26" s="88">
        <v>4.0469999999999997</v>
      </c>
      <c r="F26" s="88">
        <v>6.4379999999999997</v>
      </c>
      <c r="G26" s="88">
        <v>4.9980409999999997</v>
      </c>
      <c r="H26" s="88">
        <v>6.7363999999999997</v>
      </c>
      <c r="I26" s="89">
        <v>0.13250000000000001</v>
      </c>
      <c r="J26" s="89">
        <v>0.13</v>
      </c>
      <c r="K26" s="88">
        <f t="shared" si="1"/>
        <v>49.523076923076921</v>
      </c>
      <c r="L26" s="90">
        <v>92.590999999999994</v>
      </c>
      <c r="M26" s="14"/>
      <c r="N26" s="91"/>
    </row>
    <row r="27" spans="2:14" ht="16.5" hidden="1" customHeight="1" outlineLevel="1">
      <c r="B27" s="688"/>
      <c r="C27" s="109">
        <v>21</v>
      </c>
      <c r="D27" s="110" t="s">
        <v>34</v>
      </c>
      <c r="E27" s="92">
        <v>4.1280000000000001</v>
      </c>
      <c r="F27" s="92">
        <v>6.5060000000000002</v>
      </c>
      <c r="G27" s="92">
        <v>4.9514769999999997</v>
      </c>
      <c r="H27" s="92">
        <v>7.0233999999999996</v>
      </c>
      <c r="I27" s="93">
        <v>0.13270000000000001</v>
      </c>
      <c r="J27" s="93">
        <v>0.12470000000000001</v>
      </c>
      <c r="K27" s="92">
        <f t="shared" si="1"/>
        <v>52.173215717722535</v>
      </c>
      <c r="L27" s="94">
        <v>92.400999999999996</v>
      </c>
      <c r="M27" s="58"/>
      <c r="N27" s="95"/>
    </row>
    <row r="28" spans="2:14" ht="16.5" hidden="1" customHeight="1" outlineLevel="1">
      <c r="B28" s="688"/>
      <c r="C28" s="106">
        <v>22</v>
      </c>
      <c r="D28" s="39" t="s">
        <v>35</v>
      </c>
      <c r="E28" s="83">
        <v>4.2869999999999999</v>
      </c>
      <c r="F28" s="83">
        <v>6.3979999999999997</v>
      </c>
      <c r="G28" s="83">
        <v>4.6885719999999997</v>
      </c>
      <c r="H28" s="83">
        <v>6.9111000000000002</v>
      </c>
      <c r="I28" s="84">
        <v>0.13270000000000001</v>
      </c>
      <c r="J28" s="84">
        <v>0.1245</v>
      </c>
      <c r="K28" s="83">
        <f t="shared" si="1"/>
        <v>51.389558232931726</v>
      </c>
      <c r="L28" s="10">
        <v>92.9</v>
      </c>
      <c r="M28" s="11"/>
      <c r="N28" s="34"/>
    </row>
    <row r="29" spans="2:14" ht="16.5" hidden="1" customHeight="1" outlineLevel="1">
      <c r="B29" s="688"/>
      <c r="C29" s="106">
        <v>23</v>
      </c>
      <c r="D29" s="39" t="s">
        <v>36</v>
      </c>
      <c r="E29" s="83">
        <v>4.048</v>
      </c>
      <c r="F29" s="83">
        <v>6.3769999999999998</v>
      </c>
      <c r="G29" s="83">
        <v>4.9493390000000002</v>
      </c>
      <c r="H29" s="83">
        <v>6.8220000000000001</v>
      </c>
      <c r="I29" s="84">
        <v>0.13270000000000001</v>
      </c>
      <c r="J29" s="84">
        <v>0.12620000000000001</v>
      </c>
      <c r="K29" s="83">
        <f t="shared" si="1"/>
        <v>50.530903328050712</v>
      </c>
      <c r="L29" s="10">
        <v>92.4</v>
      </c>
      <c r="M29" s="11"/>
      <c r="N29" s="34"/>
    </row>
    <row r="30" spans="2:14" ht="16.5" hidden="1" customHeight="1" outlineLevel="1">
      <c r="B30" s="688"/>
      <c r="C30" s="106">
        <v>24</v>
      </c>
      <c r="D30" s="39" t="s">
        <v>37</v>
      </c>
      <c r="E30" s="96">
        <v>5.8479999999999999</v>
      </c>
      <c r="F30" s="83">
        <v>6.4029999999999996</v>
      </c>
      <c r="G30" s="83">
        <v>3.4399199999999999</v>
      </c>
      <c r="H30" s="83">
        <v>6.782</v>
      </c>
      <c r="I30" s="84">
        <v>0.13270000000000001</v>
      </c>
      <c r="J30" s="84">
        <v>0.1278</v>
      </c>
      <c r="K30" s="83">
        <f t="shared" si="1"/>
        <v>50.101721439749603</v>
      </c>
      <c r="L30" s="10">
        <v>92</v>
      </c>
      <c r="M30" s="11"/>
      <c r="N30" s="34"/>
    </row>
    <row r="31" spans="2:14" ht="17.25" hidden="1" customHeight="1" outlineLevel="1" thickBot="1">
      <c r="B31" s="689"/>
      <c r="C31" s="107">
        <v>25</v>
      </c>
      <c r="D31" s="108" t="s">
        <v>38</v>
      </c>
      <c r="E31" s="88">
        <v>4.04</v>
      </c>
      <c r="F31" s="88">
        <v>6.5049999999999999</v>
      </c>
      <c r="G31" s="88">
        <v>5.0581800000000001</v>
      </c>
      <c r="H31" s="88">
        <v>6.8810000000000002</v>
      </c>
      <c r="I31" s="89">
        <v>0.1326</v>
      </c>
      <c r="J31" s="89">
        <v>0.12820000000000001</v>
      </c>
      <c r="K31" s="88">
        <f t="shared" si="1"/>
        <v>50.741029641185641</v>
      </c>
      <c r="L31" s="90">
        <v>92.3</v>
      </c>
      <c r="M31" s="14"/>
      <c r="N31" s="91"/>
    </row>
    <row r="32" spans="2:14" s="41" customFormat="1" ht="17.25" hidden="1" collapsed="1" thickBot="1">
      <c r="B32" s="112"/>
      <c r="C32" s="690" t="s">
        <v>39</v>
      </c>
      <c r="D32" s="691"/>
      <c r="E32" s="113">
        <v>-7.1796454979444757E-3</v>
      </c>
      <c r="F32" s="113">
        <v>6.4306492541933435E-3</v>
      </c>
      <c r="G32" s="113">
        <v>1.3534844272943158E-2</v>
      </c>
      <c r="H32" s="113">
        <v>1.6436825447805337E-3</v>
      </c>
      <c r="I32" s="113">
        <v>-7.7648212728864685E-4</v>
      </c>
      <c r="J32" s="113">
        <v>6.3375430539609479E-3</v>
      </c>
      <c r="K32" s="113">
        <f>1-(K5/K16)</f>
        <v>2.5097515067702525E-2</v>
      </c>
      <c r="L32" s="114">
        <f>1-(L5/L16)</f>
        <v>-4.036247397464221E-3</v>
      </c>
      <c r="M32" s="113"/>
      <c r="N32" s="115"/>
    </row>
    <row r="33" spans="1:14" hidden="1"/>
    <row r="34" spans="1:14" s="5" customFormat="1" hidden="1">
      <c r="A34" s="1"/>
      <c r="B34" s="5" t="s">
        <v>166</v>
      </c>
      <c r="C34" s="64"/>
      <c r="E34" s="17"/>
      <c r="F34" s="17"/>
      <c r="G34" s="17"/>
      <c r="H34" s="17"/>
      <c r="I34" s="18"/>
      <c r="J34" s="18"/>
      <c r="K34" s="17"/>
      <c r="L34" s="21"/>
      <c r="M34" s="6"/>
    </row>
    <row r="35" spans="1:14" hidden="1">
      <c r="B35" s="65" t="s">
        <v>68</v>
      </c>
      <c r="L35" s="22"/>
      <c r="M35" s="3"/>
      <c r="N35" s="4"/>
    </row>
    <row r="36" spans="1:14" s="5" customFormat="1" ht="33.75" hidden="1" thickBot="1">
      <c r="A36" s="67"/>
      <c r="B36" s="7" t="s">
        <v>0</v>
      </c>
      <c r="C36" s="116" t="s">
        <v>11</v>
      </c>
      <c r="D36" s="8" t="s">
        <v>1</v>
      </c>
      <c r="E36" s="117" t="s">
        <v>2</v>
      </c>
      <c r="F36" s="117" t="s">
        <v>3</v>
      </c>
      <c r="G36" s="117" t="s">
        <v>4</v>
      </c>
      <c r="H36" s="117" t="s">
        <v>16</v>
      </c>
      <c r="I36" s="118" t="s">
        <v>6</v>
      </c>
      <c r="J36" s="119" t="s">
        <v>7</v>
      </c>
      <c r="K36" s="120" t="s">
        <v>8</v>
      </c>
      <c r="L36" s="30" t="s">
        <v>9</v>
      </c>
      <c r="M36" s="30" t="s">
        <v>18</v>
      </c>
      <c r="N36" s="121" t="s">
        <v>19</v>
      </c>
    </row>
    <row r="37" spans="1:14" s="5" customFormat="1" ht="17.25" hidden="1" thickBot="1">
      <c r="A37" s="67"/>
      <c r="B37" s="687" t="s">
        <v>59</v>
      </c>
      <c r="C37" s="68" t="s">
        <v>62</v>
      </c>
      <c r="D37" s="69" t="s">
        <v>49</v>
      </c>
      <c r="E37" s="70">
        <f t="shared" ref="E37:K37" si="3">AVERAGE(E39:E43,E46:E47)</f>
        <v>4.0501428571428582</v>
      </c>
      <c r="F37" s="70">
        <f t="shared" si="3"/>
        <v>5.7557142857142853</v>
      </c>
      <c r="G37" s="70">
        <f t="shared" si="3"/>
        <v>4.465197571428571</v>
      </c>
      <c r="H37" s="70">
        <f t="shared" si="3"/>
        <v>5.9209285714285702</v>
      </c>
      <c r="I37" s="71">
        <f t="shared" si="3"/>
        <v>0.13265714285714286</v>
      </c>
      <c r="J37" s="71">
        <f t="shared" si="3"/>
        <v>0.13269999999999998</v>
      </c>
      <c r="K37" s="70">
        <f t="shared" si="3"/>
        <v>43.376395468613609</v>
      </c>
      <c r="L37" s="72">
        <f>AVERAGE(L38:L47)</f>
        <v>92.016249999999999</v>
      </c>
      <c r="M37" s="72"/>
      <c r="N37" s="73" t="str">
        <f>IF(N38="","",N38)</f>
        <v/>
      </c>
    </row>
    <row r="38" spans="1:14" ht="16.5" hidden="1" customHeight="1" outlineLevel="1">
      <c r="B38" s="688"/>
      <c r="C38" s="74">
        <v>1</v>
      </c>
      <c r="D38" s="75" t="s">
        <v>61</v>
      </c>
      <c r="E38" s="111">
        <v>5.6130000000000004</v>
      </c>
      <c r="F38" s="92">
        <v>5.57</v>
      </c>
      <c r="G38" s="92">
        <v>3.1175259999999998</v>
      </c>
      <c r="H38" s="92">
        <v>5.7925000000000004</v>
      </c>
      <c r="I38" s="93">
        <v>0.13270000000000001</v>
      </c>
      <c r="J38" s="93">
        <v>0.1308</v>
      </c>
      <c r="K38" s="92">
        <v>42.584097859327223</v>
      </c>
      <c r="L38" s="94">
        <v>92.837000000000003</v>
      </c>
      <c r="M38" s="58"/>
      <c r="N38" s="61"/>
    </row>
    <row r="39" spans="1:14" ht="16.5" hidden="1" customHeight="1" outlineLevel="1">
      <c r="B39" s="688"/>
      <c r="C39" s="82">
        <v>2</v>
      </c>
      <c r="D39" s="32" t="s">
        <v>62</v>
      </c>
      <c r="E39" s="83">
        <v>4.1210000000000004</v>
      </c>
      <c r="F39" s="83">
        <v>5.766</v>
      </c>
      <c r="G39" s="83">
        <v>4.3956379999999999</v>
      </c>
      <c r="H39" s="83">
        <v>5.9356999999999998</v>
      </c>
      <c r="I39" s="84">
        <v>0.13270000000000001</v>
      </c>
      <c r="J39" s="84">
        <v>0.1326</v>
      </c>
      <c r="K39" s="83">
        <v>43.484162895927604</v>
      </c>
      <c r="L39" s="10">
        <v>93.275000000000006</v>
      </c>
      <c r="M39" s="11"/>
      <c r="N39" s="33"/>
    </row>
    <row r="40" spans="1:14" ht="16.5" hidden="1" customHeight="1" outlineLevel="1">
      <c r="B40" s="688"/>
      <c r="C40" s="82">
        <v>3</v>
      </c>
      <c r="D40" s="32" t="s">
        <v>60</v>
      </c>
      <c r="E40" s="83">
        <v>4.0940000000000003</v>
      </c>
      <c r="F40" s="83">
        <v>5.7590000000000003</v>
      </c>
      <c r="G40" s="83">
        <v>4.4191479999999999</v>
      </c>
      <c r="H40" s="83">
        <v>5.9086999999999996</v>
      </c>
      <c r="I40" s="84">
        <v>0.1326</v>
      </c>
      <c r="J40" s="84">
        <v>0.1331</v>
      </c>
      <c r="K40" s="83">
        <v>43.268219383921867</v>
      </c>
      <c r="L40" s="10">
        <v>92.686000000000007</v>
      </c>
      <c r="M40" s="11"/>
      <c r="N40" s="34"/>
    </row>
    <row r="41" spans="1:14" ht="16.5" hidden="1" customHeight="1" outlineLevel="1">
      <c r="B41" s="688"/>
      <c r="C41" s="82">
        <v>4</v>
      </c>
      <c r="D41" s="32" t="s">
        <v>63</v>
      </c>
      <c r="E41" s="83">
        <v>3.9870000000000001</v>
      </c>
      <c r="F41" s="83">
        <v>5.7679999999999998</v>
      </c>
      <c r="G41" s="83">
        <v>4.5448339999999998</v>
      </c>
      <c r="H41" s="83">
        <v>5.9349999999999996</v>
      </c>
      <c r="I41" s="84">
        <v>0.1326</v>
      </c>
      <c r="J41" s="84">
        <v>0.1326</v>
      </c>
      <c r="K41" s="83">
        <v>43.49924585218703</v>
      </c>
      <c r="L41" s="10">
        <v>92.793000000000006</v>
      </c>
      <c r="M41" s="11"/>
      <c r="N41" s="34"/>
    </row>
    <row r="42" spans="1:14" ht="17.25" hidden="1" customHeight="1" outlineLevel="1" thickBot="1">
      <c r="B42" s="688"/>
      <c r="C42" s="85">
        <v>5</v>
      </c>
      <c r="D42" s="86" t="s">
        <v>64</v>
      </c>
      <c r="E42" s="88">
        <v>3.9940000000000002</v>
      </c>
      <c r="F42" s="88">
        <v>5.81</v>
      </c>
      <c r="G42" s="88">
        <v>4.5700180000000001</v>
      </c>
      <c r="H42" s="88">
        <v>6.0297000000000001</v>
      </c>
      <c r="I42" s="89">
        <v>0.1326</v>
      </c>
      <c r="J42" s="89">
        <v>0.13120000000000001</v>
      </c>
      <c r="K42" s="88">
        <v>44.283536585365844</v>
      </c>
      <c r="L42" s="90">
        <v>89</v>
      </c>
      <c r="M42" s="14"/>
      <c r="N42" s="91"/>
    </row>
    <row r="43" spans="1:14" ht="16.5" hidden="1" customHeight="1" outlineLevel="1">
      <c r="B43" s="688"/>
      <c r="C43" s="74">
        <v>6</v>
      </c>
      <c r="D43" s="75" t="s">
        <v>20</v>
      </c>
      <c r="E43" s="92">
        <v>4.0739999999999998</v>
      </c>
      <c r="F43" s="92">
        <v>5.7030000000000003</v>
      </c>
      <c r="G43" s="92">
        <v>4.397443</v>
      </c>
      <c r="H43" s="92">
        <v>5.8712999999999997</v>
      </c>
      <c r="I43" s="93">
        <v>0.13270000000000001</v>
      </c>
      <c r="J43" s="93">
        <v>0.13250000000000001</v>
      </c>
      <c r="K43" s="92">
        <f>F43/J43</f>
        <v>43.041509433962261</v>
      </c>
      <c r="L43" s="94" t="s">
        <v>53</v>
      </c>
      <c r="M43" s="58"/>
      <c r="N43" s="95"/>
    </row>
    <row r="44" spans="1:14" ht="16.5" hidden="1" customHeight="1" outlineLevel="1">
      <c r="B44" s="688"/>
      <c r="C44" s="82">
        <v>7</v>
      </c>
      <c r="D44" s="32" t="s">
        <v>21</v>
      </c>
      <c r="E44" s="96">
        <v>6.2</v>
      </c>
      <c r="F44" s="83">
        <v>5.7679999999999998</v>
      </c>
      <c r="G44" s="83">
        <v>2.9224589999999999</v>
      </c>
      <c r="H44" s="83">
        <v>5.8874000000000004</v>
      </c>
      <c r="I44" s="84">
        <v>0.13270000000000001</v>
      </c>
      <c r="J44" s="84">
        <v>0.13420000000000001</v>
      </c>
      <c r="K44" s="83">
        <f>F44/J44</f>
        <v>42.980625931445594</v>
      </c>
      <c r="L44" s="10" t="s">
        <v>53</v>
      </c>
      <c r="M44" s="11"/>
      <c r="N44" s="34"/>
    </row>
    <row r="45" spans="1:14" ht="16.5" hidden="1" customHeight="1" outlineLevel="1">
      <c r="B45" s="688"/>
      <c r="C45" s="82">
        <v>8</v>
      </c>
      <c r="D45" s="32" t="s">
        <v>65</v>
      </c>
      <c r="E45" s="96">
        <v>6.0670000000000002</v>
      </c>
      <c r="F45" s="83">
        <v>5.7519999999999998</v>
      </c>
      <c r="G45" s="83">
        <v>2.9783819999999999</v>
      </c>
      <c r="H45" s="83">
        <v>5.8502000000000001</v>
      </c>
      <c r="I45" s="84">
        <v>0.13270000000000001</v>
      </c>
      <c r="J45" s="84">
        <v>0.13469999999999999</v>
      </c>
      <c r="K45" s="83">
        <f>F45/J45</f>
        <v>42.702301410541949</v>
      </c>
      <c r="L45" s="10">
        <v>91.861000000000004</v>
      </c>
      <c r="M45" s="11"/>
      <c r="N45" s="34"/>
    </row>
    <row r="46" spans="1:14" ht="16.5" hidden="1" customHeight="1" outlineLevel="1">
      <c r="B46" s="688"/>
      <c r="C46" s="82">
        <v>9</v>
      </c>
      <c r="D46" s="32" t="s">
        <v>22</v>
      </c>
      <c r="E46" s="83">
        <v>4.0620000000000003</v>
      </c>
      <c r="F46" s="83">
        <v>5.734</v>
      </c>
      <c r="G46" s="83">
        <v>4.4351710000000004</v>
      </c>
      <c r="H46" s="83">
        <v>5.8476999999999997</v>
      </c>
      <c r="I46" s="84">
        <v>0.13270000000000001</v>
      </c>
      <c r="J46" s="84">
        <v>0.13420000000000001</v>
      </c>
      <c r="K46" s="83">
        <f>F46/J46</f>
        <v>42.72727272727272</v>
      </c>
      <c r="L46" s="10">
        <v>91.528999999999996</v>
      </c>
      <c r="M46" s="11"/>
      <c r="N46" s="34"/>
    </row>
    <row r="47" spans="1:14" ht="17.25" hidden="1" customHeight="1" outlineLevel="1" thickBot="1">
      <c r="B47" s="689"/>
      <c r="C47" s="97">
        <v>10</v>
      </c>
      <c r="D47" s="35" t="s">
        <v>23</v>
      </c>
      <c r="E47" s="88">
        <v>4.0190000000000001</v>
      </c>
      <c r="F47" s="88">
        <v>5.75</v>
      </c>
      <c r="G47" s="88">
        <v>4.4941310000000003</v>
      </c>
      <c r="H47" s="88">
        <v>5.9184000000000001</v>
      </c>
      <c r="I47" s="89">
        <v>0.13270000000000001</v>
      </c>
      <c r="J47" s="89">
        <v>0.13270000000000001</v>
      </c>
      <c r="K47" s="88">
        <f>F47/J47</f>
        <v>43.330821401657872</v>
      </c>
      <c r="L47" s="90">
        <v>92.149000000000001</v>
      </c>
      <c r="M47" s="14"/>
      <c r="N47" s="91"/>
    </row>
    <row r="48" spans="1:14" s="5" customFormat="1" ht="17.25" hidden="1" collapsed="1" thickBot="1">
      <c r="A48" s="67"/>
      <c r="B48" s="687" t="s">
        <v>54</v>
      </c>
      <c r="C48" s="98" t="s">
        <v>69</v>
      </c>
      <c r="D48" s="99" t="s">
        <v>49</v>
      </c>
      <c r="E48" s="100">
        <f t="shared" ref="E48:K48" si="4">AVERAGE(E50:E53,E55:E58,E60:E63)</f>
        <v>4.0490000000000004</v>
      </c>
      <c r="F48" s="100">
        <f t="shared" si="4"/>
        <v>5.7757499999999995</v>
      </c>
      <c r="G48" s="100">
        <f t="shared" si="4"/>
        <v>4.4824095000000002</v>
      </c>
      <c r="H48" s="100">
        <f t="shared" si="4"/>
        <v>5.9522750000000002</v>
      </c>
      <c r="I48" s="101">
        <f t="shared" si="4"/>
        <v>0.13262500000000002</v>
      </c>
      <c r="J48" s="101">
        <f t="shared" si="4"/>
        <v>0.13237499999999999</v>
      </c>
      <c r="K48" s="100">
        <f t="shared" si="4"/>
        <v>43.633791179350588</v>
      </c>
      <c r="L48" s="102">
        <f>AVERAGE(L50:L63)</f>
        <v>91.921999999999983</v>
      </c>
      <c r="M48" s="102"/>
      <c r="N48" s="103" t="str">
        <f>IF(N49="","",N49)</f>
        <v/>
      </c>
    </row>
    <row r="49" spans="2:14" ht="16.5" hidden="1" customHeight="1" outlineLevel="1">
      <c r="B49" s="688"/>
      <c r="C49" s="104">
        <v>11</v>
      </c>
      <c r="D49" s="105" t="s">
        <v>24</v>
      </c>
      <c r="E49" s="111">
        <v>5.6130000000000004</v>
      </c>
      <c r="F49" s="92">
        <v>5.57</v>
      </c>
      <c r="G49" s="92">
        <v>3.1175259999999998</v>
      </c>
      <c r="H49" s="92">
        <v>5.7925000000000004</v>
      </c>
      <c r="I49" s="93">
        <v>0.13270000000000001</v>
      </c>
      <c r="J49" s="93">
        <v>0.1308</v>
      </c>
      <c r="K49" s="92">
        <v>42.584097859327223</v>
      </c>
      <c r="L49" s="94">
        <v>80.44</v>
      </c>
      <c r="M49" s="94"/>
      <c r="N49" s="95"/>
    </row>
    <row r="50" spans="2:14" ht="16.5" hidden="1" customHeight="1" outlineLevel="1">
      <c r="B50" s="688"/>
      <c r="C50" s="106">
        <v>12</v>
      </c>
      <c r="D50" s="39" t="s">
        <v>25</v>
      </c>
      <c r="E50" s="83">
        <v>4.1210000000000004</v>
      </c>
      <c r="F50" s="83">
        <v>5.766</v>
      </c>
      <c r="G50" s="83">
        <v>4.3956379999999999</v>
      </c>
      <c r="H50" s="83">
        <v>5.9356999999999998</v>
      </c>
      <c r="I50" s="84">
        <v>0.13270000000000001</v>
      </c>
      <c r="J50" s="84">
        <v>0.1326</v>
      </c>
      <c r="K50" s="83">
        <v>43.484162895927604</v>
      </c>
      <c r="L50" s="10" t="s">
        <v>53</v>
      </c>
      <c r="M50" s="11"/>
      <c r="N50" s="34"/>
    </row>
    <row r="51" spans="2:14" ht="16.5" hidden="1" customHeight="1" outlineLevel="1">
      <c r="B51" s="688"/>
      <c r="C51" s="106">
        <v>13</v>
      </c>
      <c r="D51" s="39" t="s">
        <v>26</v>
      </c>
      <c r="E51" s="83">
        <v>4.0940000000000003</v>
      </c>
      <c r="F51" s="83">
        <v>5.7590000000000003</v>
      </c>
      <c r="G51" s="83">
        <v>4.4191479999999999</v>
      </c>
      <c r="H51" s="83">
        <v>5.9086999999999996</v>
      </c>
      <c r="I51" s="84">
        <v>0.1326</v>
      </c>
      <c r="J51" s="84">
        <v>0.1331</v>
      </c>
      <c r="K51" s="83">
        <v>43.268219383921867</v>
      </c>
      <c r="L51" s="10">
        <v>91.900999999999996</v>
      </c>
      <c r="M51" s="11"/>
      <c r="N51" s="34"/>
    </row>
    <row r="52" spans="2:14" ht="16.5" hidden="1" customHeight="1" outlineLevel="1">
      <c r="B52" s="688"/>
      <c r="C52" s="106">
        <v>14</v>
      </c>
      <c r="D52" s="39" t="s">
        <v>27</v>
      </c>
      <c r="E52" s="83">
        <v>3.9870000000000001</v>
      </c>
      <c r="F52" s="83">
        <v>5.7679999999999998</v>
      </c>
      <c r="G52" s="83">
        <v>4.5448339999999998</v>
      </c>
      <c r="H52" s="83">
        <v>5.9349999999999996</v>
      </c>
      <c r="I52" s="84">
        <v>0.1326</v>
      </c>
      <c r="J52" s="84">
        <v>0.1326</v>
      </c>
      <c r="K52" s="83">
        <v>43.49924585218703</v>
      </c>
      <c r="L52" s="10">
        <v>91.844999999999999</v>
      </c>
      <c r="M52" s="11"/>
      <c r="N52" s="34"/>
    </row>
    <row r="53" spans="2:14" ht="17.25" hidden="1" customHeight="1" outlineLevel="1" thickBot="1">
      <c r="B53" s="688"/>
      <c r="C53" s="107">
        <v>15</v>
      </c>
      <c r="D53" s="108" t="s">
        <v>28</v>
      </c>
      <c r="E53" s="88">
        <v>3.9940000000000002</v>
      </c>
      <c r="F53" s="88">
        <v>5.81</v>
      </c>
      <c r="G53" s="88">
        <v>4.5700180000000001</v>
      </c>
      <c r="H53" s="88">
        <v>6.0297000000000001</v>
      </c>
      <c r="I53" s="89">
        <v>0.1326</v>
      </c>
      <c r="J53" s="89">
        <v>0.13120000000000001</v>
      </c>
      <c r="K53" s="88">
        <v>44.283536585365844</v>
      </c>
      <c r="L53" s="90">
        <v>92.02</v>
      </c>
      <c r="M53" s="14"/>
      <c r="N53" s="91"/>
    </row>
    <row r="54" spans="2:14" ht="16.5" hidden="1" customHeight="1" outlineLevel="1">
      <c r="B54" s="688"/>
      <c r="C54" s="109">
        <v>16</v>
      </c>
      <c r="D54" s="110" t="s">
        <v>29</v>
      </c>
      <c r="E54" s="111">
        <v>5.6130000000000004</v>
      </c>
      <c r="F54" s="92">
        <v>5.57</v>
      </c>
      <c r="G54" s="92">
        <v>3.1175259999999998</v>
      </c>
      <c r="H54" s="92">
        <v>5.7925000000000004</v>
      </c>
      <c r="I54" s="93">
        <v>0.13270000000000001</v>
      </c>
      <c r="J54" s="93">
        <v>0.1308</v>
      </c>
      <c r="K54" s="92">
        <v>42.584097859327223</v>
      </c>
      <c r="L54" s="94" t="s">
        <v>53</v>
      </c>
      <c r="M54" s="58"/>
      <c r="N54" s="95"/>
    </row>
    <row r="55" spans="2:14" ht="16.5" hidden="1" customHeight="1" outlineLevel="1">
      <c r="B55" s="688"/>
      <c r="C55" s="106">
        <v>17</v>
      </c>
      <c r="D55" s="39" t="s">
        <v>30</v>
      </c>
      <c r="E55" s="83">
        <v>4.1210000000000004</v>
      </c>
      <c r="F55" s="83">
        <v>5.766</v>
      </c>
      <c r="G55" s="83">
        <v>4.3956379999999999</v>
      </c>
      <c r="H55" s="83">
        <v>5.9356999999999998</v>
      </c>
      <c r="I55" s="84">
        <v>0.13270000000000001</v>
      </c>
      <c r="J55" s="84">
        <v>0.1326</v>
      </c>
      <c r="K55" s="83">
        <v>43.484162895927604</v>
      </c>
      <c r="L55" s="10" t="s">
        <v>53</v>
      </c>
      <c r="M55" s="11"/>
      <c r="N55" s="34"/>
    </row>
    <row r="56" spans="2:14" ht="16.5" hidden="1" customHeight="1" outlineLevel="1">
      <c r="B56" s="688"/>
      <c r="C56" s="106">
        <v>18</v>
      </c>
      <c r="D56" s="39" t="s">
        <v>31</v>
      </c>
      <c r="E56" s="83">
        <v>4.0940000000000003</v>
      </c>
      <c r="F56" s="83">
        <v>5.7590000000000003</v>
      </c>
      <c r="G56" s="83">
        <v>4.4191479999999999</v>
      </c>
      <c r="H56" s="83">
        <v>5.9086999999999996</v>
      </c>
      <c r="I56" s="84">
        <v>0.1326</v>
      </c>
      <c r="J56" s="84">
        <v>0.1331</v>
      </c>
      <c r="K56" s="83">
        <v>43.268219383921867</v>
      </c>
      <c r="L56" s="10" t="s">
        <v>53</v>
      </c>
      <c r="M56" s="11"/>
      <c r="N56" s="34"/>
    </row>
    <row r="57" spans="2:14" ht="16.5" hidden="1" customHeight="1" outlineLevel="1">
      <c r="B57" s="688"/>
      <c r="C57" s="106">
        <v>19</v>
      </c>
      <c r="D57" s="39" t="s">
        <v>32</v>
      </c>
      <c r="E57" s="83">
        <v>3.9870000000000001</v>
      </c>
      <c r="F57" s="83">
        <v>5.7679999999999998</v>
      </c>
      <c r="G57" s="83">
        <v>4.5448339999999998</v>
      </c>
      <c r="H57" s="83">
        <v>5.9349999999999996</v>
      </c>
      <c r="I57" s="84">
        <v>0.1326</v>
      </c>
      <c r="J57" s="84">
        <v>0.1326</v>
      </c>
      <c r="K57" s="83">
        <v>43.49924585218703</v>
      </c>
      <c r="L57" s="10" t="s">
        <v>53</v>
      </c>
      <c r="M57" s="11"/>
      <c r="N57" s="34"/>
    </row>
    <row r="58" spans="2:14" ht="17.25" hidden="1" customHeight="1" outlineLevel="1" thickBot="1">
      <c r="B58" s="688"/>
      <c r="C58" s="107">
        <v>20</v>
      </c>
      <c r="D58" s="108" t="s">
        <v>33</v>
      </c>
      <c r="E58" s="88">
        <v>3.9940000000000002</v>
      </c>
      <c r="F58" s="88">
        <v>5.81</v>
      </c>
      <c r="G58" s="88">
        <v>4.5700180000000001</v>
      </c>
      <c r="H58" s="88">
        <v>6.0297000000000001</v>
      </c>
      <c r="I58" s="89">
        <v>0.1326</v>
      </c>
      <c r="J58" s="89">
        <v>0.13120000000000001</v>
      </c>
      <c r="K58" s="88">
        <v>44.283536585365844</v>
      </c>
      <c r="L58" s="90" t="s">
        <v>53</v>
      </c>
      <c r="M58" s="14"/>
      <c r="N58" s="91"/>
    </row>
    <row r="59" spans="2:14" ht="16.5" hidden="1" customHeight="1" outlineLevel="1">
      <c r="B59" s="688"/>
      <c r="C59" s="109">
        <v>21</v>
      </c>
      <c r="D59" s="110" t="s">
        <v>34</v>
      </c>
      <c r="E59" s="111">
        <v>5.6130000000000004</v>
      </c>
      <c r="F59" s="92">
        <v>5.57</v>
      </c>
      <c r="G59" s="92">
        <v>3.1175259999999998</v>
      </c>
      <c r="H59" s="92">
        <v>5.7925000000000004</v>
      </c>
      <c r="I59" s="93">
        <v>0.13270000000000001</v>
      </c>
      <c r="J59" s="93">
        <v>0.1308</v>
      </c>
      <c r="K59" s="92">
        <v>42.584097859327223</v>
      </c>
      <c r="L59" s="94" t="s">
        <v>53</v>
      </c>
      <c r="M59" s="58"/>
      <c r="N59" s="95"/>
    </row>
    <row r="60" spans="2:14" ht="16.5" hidden="1" customHeight="1" outlineLevel="1">
      <c r="B60" s="688"/>
      <c r="C60" s="106">
        <v>22</v>
      </c>
      <c r="D60" s="39" t="s">
        <v>35</v>
      </c>
      <c r="E60" s="83">
        <v>4.1210000000000004</v>
      </c>
      <c r="F60" s="83">
        <v>5.766</v>
      </c>
      <c r="G60" s="83">
        <v>4.3956379999999999</v>
      </c>
      <c r="H60" s="83">
        <v>5.9356999999999998</v>
      </c>
      <c r="I60" s="84">
        <v>0.13270000000000001</v>
      </c>
      <c r="J60" s="84">
        <v>0.1326</v>
      </c>
      <c r="K60" s="83">
        <v>43.484162895927604</v>
      </c>
      <c r="L60" s="10" t="s">
        <v>53</v>
      </c>
      <c r="M60" s="11"/>
      <c r="N60" s="34"/>
    </row>
    <row r="61" spans="2:14" ht="16.5" hidden="1" customHeight="1" outlineLevel="1">
      <c r="B61" s="688"/>
      <c r="C61" s="106">
        <v>23</v>
      </c>
      <c r="D61" s="39" t="s">
        <v>36</v>
      </c>
      <c r="E61" s="83">
        <v>4.0940000000000003</v>
      </c>
      <c r="F61" s="83">
        <v>5.7590000000000003</v>
      </c>
      <c r="G61" s="83">
        <v>4.4191479999999999</v>
      </c>
      <c r="H61" s="83">
        <v>5.9086999999999996</v>
      </c>
      <c r="I61" s="84">
        <v>0.1326</v>
      </c>
      <c r="J61" s="84">
        <v>0.1331</v>
      </c>
      <c r="K61" s="83">
        <v>43.268219383921867</v>
      </c>
      <c r="L61" s="10" t="s">
        <v>53</v>
      </c>
      <c r="M61" s="11"/>
      <c r="N61" s="34"/>
    </row>
    <row r="62" spans="2:14" ht="16.5" hidden="1" customHeight="1" outlineLevel="1">
      <c r="B62" s="688"/>
      <c r="C62" s="106">
        <v>24</v>
      </c>
      <c r="D62" s="39" t="s">
        <v>37</v>
      </c>
      <c r="E62" s="83">
        <v>3.9870000000000001</v>
      </c>
      <c r="F62" s="83">
        <v>5.7679999999999998</v>
      </c>
      <c r="G62" s="83">
        <v>4.5448339999999998</v>
      </c>
      <c r="H62" s="83">
        <v>5.9349999999999996</v>
      </c>
      <c r="I62" s="84">
        <v>0.1326</v>
      </c>
      <c r="J62" s="84">
        <v>0.1326</v>
      </c>
      <c r="K62" s="83">
        <v>43.49924585218703</v>
      </c>
      <c r="L62" s="10" t="s">
        <v>53</v>
      </c>
      <c r="M62" s="11"/>
      <c r="N62" s="34"/>
    </row>
    <row r="63" spans="2:14" ht="17.25" hidden="1" customHeight="1" outlineLevel="1" thickBot="1">
      <c r="B63" s="689"/>
      <c r="C63" s="107">
        <v>25</v>
      </c>
      <c r="D63" s="108" t="s">
        <v>38</v>
      </c>
      <c r="E63" s="88">
        <v>3.9940000000000002</v>
      </c>
      <c r="F63" s="88">
        <v>5.81</v>
      </c>
      <c r="G63" s="88">
        <v>4.5700180000000001</v>
      </c>
      <c r="H63" s="88">
        <v>6.0297000000000001</v>
      </c>
      <c r="I63" s="89">
        <v>0.1326</v>
      </c>
      <c r="J63" s="89">
        <v>0.13120000000000001</v>
      </c>
      <c r="K63" s="88">
        <v>44.283536585365844</v>
      </c>
      <c r="L63" s="90" t="s">
        <v>53</v>
      </c>
      <c r="M63" s="14"/>
      <c r="N63" s="91"/>
    </row>
    <row r="64" spans="2:14" s="41" customFormat="1" ht="17.25" hidden="1" thickBot="1">
      <c r="B64" s="112"/>
      <c r="C64" s="690" t="s">
        <v>39</v>
      </c>
      <c r="D64" s="691"/>
      <c r="E64" s="113">
        <f t="shared" ref="E64:L64" si="5">1-(E37/E48)</f>
        <v>-2.8225664185166366E-4</v>
      </c>
      <c r="F64" s="113">
        <f t="shared" si="5"/>
        <v>3.4689372437716193E-3</v>
      </c>
      <c r="G64" s="113">
        <f t="shared" si="5"/>
        <v>3.83988311898531E-3</v>
      </c>
      <c r="H64" s="113">
        <f t="shared" si="5"/>
        <v>5.266293740028849E-3</v>
      </c>
      <c r="I64" s="113">
        <f t="shared" si="5"/>
        <v>-2.423589605491383E-4</v>
      </c>
      <c r="J64" s="113">
        <f t="shared" si="5"/>
        <v>-2.4551463644948424E-3</v>
      </c>
      <c r="K64" s="113">
        <f t="shared" si="5"/>
        <v>5.8989994630306297E-3</v>
      </c>
      <c r="L64" s="114">
        <f t="shared" si="5"/>
        <v>-1.0253258197168158E-3</v>
      </c>
      <c r="M64" s="113"/>
      <c r="N64" s="115"/>
    </row>
    <row r="65" spans="1:16" hidden="1"/>
    <row r="66" spans="1:16" s="5" customFormat="1" hidden="1">
      <c r="A66" s="1"/>
      <c r="B66" s="5" t="s">
        <v>70</v>
      </c>
      <c r="C66" s="64"/>
      <c r="E66" s="17"/>
      <c r="F66" s="17"/>
      <c r="G66" s="17"/>
      <c r="H66" s="17"/>
      <c r="I66" s="18"/>
      <c r="J66" s="18"/>
      <c r="K66" s="17"/>
      <c r="L66" s="21"/>
      <c r="M66" s="6"/>
    </row>
    <row r="67" spans="1:16" hidden="1">
      <c r="B67" s="178" t="s">
        <v>68</v>
      </c>
      <c r="L67" s="22"/>
      <c r="M67" s="3"/>
      <c r="N67" s="4"/>
    </row>
    <row r="68" spans="1:16" s="5" customFormat="1" ht="33.75" hidden="1" thickBot="1">
      <c r="A68" s="67"/>
      <c r="B68" s="7" t="s">
        <v>0</v>
      </c>
      <c r="C68" s="116" t="s">
        <v>11</v>
      </c>
      <c r="D68" s="8" t="s">
        <v>1</v>
      </c>
      <c r="E68" s="117" t="s">
        <v>2</v>
      </c>
      <c r="F68" s="117" t="s">
        <v>3</v>
      </c>
      <c r="G68" s="117" t="s">
        <v>4</v>
      </c>
      <c r="H68" s="117" t="s">
        <v>16</v>
      </c>
      <c r="I68" s="118" t="s">
        <v>6</v>
      </c>
      <c r="J68" s="119" t="s">
        <v>7</v>
      </c>
      <c r="K68" s="120" t="s">
        <v>8</v>
      </c>
      <c r="L68" s="30" t="s">
        <v>9</v>
      </c>
      <c r="M68" s="30" t="s">
        <v>18</v>
      </c>
      <c r="N68" s="121" t="s">
        <v>19</v>
      </c>
      <c r="O68" s="180"/>
      <c r="P68" s="180"/>
    </row>
    <row r="69" spans="1:16" s="5" customFormat="1" ht="17.25" hidden="1" thickBot="1">
      <c r="A69" s="67"/>
      <c r="B69" s="687" t="s">
        <v>59</v>
      </c>
      <c r="C69" s="122" t="s">
        <v>61</v>
      </c>
      <c r="D69" s="69" t="s">
        <v>49</v>
      </c>
      <c r="E69" s="70">
        <f t="shared" ref="E69:K69" si="6">AVERAGE(E70:E79)</f>
        <v>4.1460999999999997</v>
      </c>
      <c r="F69" s="70">
        <f t="shared" si="6"/>
        <v>6.8462500000000004</v>
      </c>
      <c r="G69" s="70">
        <f t="shared" si="6"/>
        <v>5.1875682999999997</v>
      </c>
      <c r="H69" s="70">
        <f t="shared" si="6"/>
        <v>6.5324133</v>
      </c>
      <c r="I69" s="71">
        <f t="shared" si="6"/>
        <v>0.13616999999999999</v>
      </c>
      <c r="J69" s="71">
        <f t="shared" si="6"/>
        <v>0.14191000000000001</v>
      </c>
      <c r="K69" s="70">
        <f t="shared" si="6"/>
        <v>48.244230037745091</v>
      </c>
      <c r="L69" s="72">
        <f>AVERAGE(L70:L78)</f>
        <v>87.538499999999999</v>
      </c>
      <c r="M69" s="72">
        <f>AVERAGE(M70:M71,M75:M76)</f>
        <v>68.254249999999999</v>
      </c>
      <c r="N69" s="73" t="str">
        <f>IF(N70="","",N70)</f>
        <v/>
      </c>
      <c r="O69" s="180"/>
      <c r="P69" s="180"/>
    </row>
    <row r="70" spans="1:16" ht="16.5" hidden="1" customHeight="1" outlineLevel="1">
      <c r="B70" s="688"/>
      <c r="C70" s="74">
        <v>1</v>
      </c>
      <c r="D70" s="75" t="s">
        <v>61</v>
      </c>
      <c r="E70" s="92">
        <v>4.133</v>
      </c>
      <c r="F70" s="92">
        <v>6.8624999999999998</v>
      </c>
      <c r="G70" s="92">
        <v>5.2163469999999998</v>
      </c>
      <c r="H70" s="92">
        <v>6.5791680000000001</v>
      </c>
      <c r="I70" s="93">
        <v>0.1361</v>
      </c>
      <c r="J70" s="93">
        <v>0.14130000000000001</v>
      </c>
      <c r="K70" s="92">
        <f>F70/J70</f>
        <v>48.566878980891715</v>
      </c>
      <c r="L70" s="94">
        <v>87.537000000000006</v>
      </c>
      <c r="M70" s="58">
        <v>68.003</v>
      </c>
      <c r="N70" s="61"/>
      <c r="O70" s="179"/>
      <c r="P70" s="179"/>
    </row>
    <row r="71" spans="1:16" ht="16.5" hidden="1" customHeight="1" outlineLevel="1">
      <c r="B71" s="688"/>
      <c r="C71" s="82">
        <v>2</v>
      </c>
      <c r="D71" s="32" t="s">
        <v>62</v>
      </c>
      <c r="E71" s="83">
        <v>4.1420000000000003</v>
      </c>
      <c r="F71" s="83">
        <v>6.85</v>
      </c>
      <c r="G71" s="83">
        <v>5.195532</v>
      </c>
      <c r="H71" s="83">
        <v>6.5402800000000001</v>
      </c>
      <c r="I71" s="84">
        <v>0.13600000000000001</v>
      </c>
      <c r="J71" s="84">
        <v>0.14180000000000001</v>
      </c>
      <c r="K71" s="83">
        <f t="shared" ref="K71:K79" si="7">F71/J71</f>
        <v>48.30747531734837</v>
      </c>
      <c r="L71" s="10">
        <v>87.513999999999996</v>
      </c>
      <c r="M71" s="11">
        <v>68.253</v>
      </c>
      <c r="N71" s="33"/>
      <c r="O71" s="179"/>
      <c r="P71" s="179"/>
    </row>
    <row r="72" spans="1:16" ht="16.5" hidden="1" customHeight="1" outlineLevel="1">
      <c r="B72" s="688"/>
      <c r="C72" s="82">
        <v>3</v>
      </c>
      <c r="D72" s="32" t="s">
        <v>60</v>
      </c>
      <c r="E72" s="83">
        <v>4.1529999999999996</v>
      </c>
      <c r="F72" s="83">
        <v>6.8724999999999996</v>
      </c>
      <c r="G72" s="83">
        <v>5.1987909999999999</v>
      </c>
      <c r="H72" s="83">
        <v>6.5590310000000001</v>
      </c>
      <c r="I72" s="84">
        <v>0.13589999999999999</v>
      </c>
      <c r="J72" s="84">
        <v>0.14230000000000001</v>
      </c>
      <c r="K72" s="83">
        <f t="shared" si="7"/>
        <v>48.295853829936746</v>
      </c>
      <c r="L72" s="10" t="s">
        <v>53</v>
      </c>
      <c r="M72" s="40">
        <v>13.503</v>
      </c>
      <c r="N72" s="34"/>
      <c r="O72" s="179"/>
      <c r="P72" s="179"/>
    </row>
    <row r="73" spans="1:16" ht="16.5" hidden="1" customHeight="1" outlineLevel="1">
      <c r="B73" s="688"/>
      <c r="C73" s="82">
        <v>4</v>
      </c>
      <c r="D73" s="32" t="s">
        <v>63</v>
      </c>
      <c r="E73" s="83">
        <v>4.149</v>
      </c>
      <c r="F73" s="83">
        <v>6.8537499999999998</v>
      </c>
      <c r="G73" s="83">
        <v>5.1896050000000002</v>
      </c>
      <c r="H73" s="83">
        <v>6.5129250000000001</v>
      </c>
      <c r="I73" s="84">
        <v>0.1361</v>
      </c>
      <c r="J73" s="84">
        <v>0.1426</v>
      </c>
      <c r="K73" s="83">
        <f t="shared" si="7"/>
        <v>48.062762973352029</v>
      </c>
      <c r="L73" s="10" t="s">
        <v>53</v>
      </c>
      <c r="M73" s="40">
        <v>11.805</v>
      </c>
      <c r="N73" s="34"/>
      <c r="O73" s="179"/>
      <c r="P73" s="179"/>
    </row>
    <row r="74" spans="1:16" ht="17.25" hidden="1" customHeight="1" outlineLevel="1" thickBot="1">
      <c r="B74" s="688"/>
      <c r="C74" s="85">
        <v>5</v>
      </c>
      <c r="D74" s="86" t="s">
        <v>64</v>
      </c>
      <c r="E74" s="88">
        <v>4.1420000000000003</v>
      </c>
      <c r="F74" s="88">
        <v>6.8287500000000003</v>
      </c>
      <c r="G74" s="88">
        <v>5.1794140000000004</v>
      </c>
      <c r="H74" s="88">
        <v>6.4945539999999999</v>
      </c>
      <c r="I74" s="89">
        <v>0.1363</v>
      </c>
      <c r="J74" s="89">
        <v>0.14230000000000001</v>
      </c>
      <c r="K74" s="88">
        <f t="shared" si="7"/>
        <v>47.988404778636685</v>
      </c>
      <c r="L74" s="90" t="s">
        <v>53</v>
      </c>
      <c r="M74" s="123">
        <v>18.004999999999999</v>
      </c>
      <c r="N74" s="91"/>
      <c r="O74" s="179"/>
      <c r="P74" s="179"/>
    </row>
    <row r="75" spans="1:16" ht="16.5" hidden="1" customHeight="1" outlineLevel="1">
      <c r="B75" s="688"/>
      <c r="C75" s="74">
        <v>6</v>
      </c>
      <c r="D75" s="75" t="s">
        <v>20</v>
      </c>
      <c r="E75" s="92">
        <v>4.1369999999999996</v>
      </c>
      <c r="F75" s="92">
        <v>6.84375</v>
      </c>
      <c r="G75" s="92">
        <v>5.1970650000000003</v>
      </c>
      <c r="H75" s="92">
        <v>6.5644479999999996</v>
      </c>
      <c r="I75" s="93">
        <v>0.1361</v>
      </c>
      <c r="J75" s="93">
        <v>0.1409</v>
      </c>
      <c r="K75" s="92">
        <f t="shared" si="7"/>
        <v>48.571682044002841</v>
      </c>
      <c r="L75" s="94">
        <v>87.635999999999996</v>
      </c>
      <c r="M75" s="58">
        <v>68.754999999999995</v>
      </c>
      <c r="N75" s="95"/>
      <c r="O75" s="179"/>
      <c r="P75" s="179"/>
    </row>
    <row r="76" spans="1:16" ht="16.5" hidden="1" customHeight="1" outlineLevel="1">
      <c r="B76" s="688"/>
      <c r="C76" s="82">
        <v>7</v>
      </c>
      <c r="D76" s="32" t="s">
        <v>21</v>
      </c>
      <c r="E76" s="83">
        <v>4.1500000000000004</v>
      </c>
      <c r="F76" s="83">
        <v>6.8562500000000002</v>
      </c>
      <c r="G76" s="83">
        <v>5.1902470000000003</v>
      </c>
      <c r="H76" s="83">
        <v>6.5584809999999996</v>
      </c>
      <c r="I76" s="84">
        <v>0.13619999999999999</v>
      </c>
      <c r="J76" s="84">
        <v>0.1416</v>
      </c>
      <c r="K76" s="83">
        <f t="shared" si="7"/>
        <v>48.41984463276836</v>
      </c>
      <c r="L76" s="10">
        <v>87.466999999999999</v>
      </c>
      <c r="M76" s="11">
        <v>68.006</v>
      </c>
      <c r="N76" s="34"/>
      <c r="O76" s="179"/>
      <c r="P76" s="179"/>
    </row>
    <row r="77" spans="1:16" ht="16.5" hidden="1" customHeight="1" outlineLevel="1">
      <c r="B77" s="688"/>
      <c r="C77" s="82">
        <v>8</v>
      </c>
      <c r="D77" s="32" t="s">
        <v>65</v>
      </c>
      <c r="E77" s="83">
        <v>4.1520000000000001</v>
      </c>
      <c r="F77" s="83">
        <v>6.8274999999999997</v>
      </c>
      <c r="G77" s="83">
        <v>5.1659940000000004</v>
      </c>
      <c r="H77" s="83">
        <v>6.5103479999999996</v>
      </c>
      <c r="I77" s="84">
        <v>0.13619999999999999</v>
      </c>
      <c r="J77" s="84">
        <v>0.14199999999999999</v>
      </c>
      <c r="K77" s="83">
        <f t="shared" si="7"/>
        <v>48.08098591549296</v>
      </c>
      <c r="L77" s="10" t="s">
        <v>53</v>
      </c>
      <c r="M77" s="40" t="s">
        <v>53</v>
      </c>
      <c r="N77" s="34"/>
      <c r="O77" s="179"/>
      <c r="P77" s="179"/>
    </row>
    <row r="78" spans="1:16" ht="16.5" hidden="1" customHeight="1" outlineLevel="1">
      <c r="B78" s="688"/>
      <c r="C78" s="82">
        <v>9</v>
      </c>
      <c r="D78" s="32" t="s">
        <v>22</v>
      </c>
      <c r="E78" s="83">
        <v>4.1529999999999996</v>
      </c>
      <c r="F78" s="83">
        <v>6.8425000000000002</v>
      </c>
      <c r="G78" s="83">
        <v>5.1760970000000004</v>
      </c>
      <c r="H78" s="83">
        <v>6.5088290000000004</v>
      </c>
      <c r="I78" s="84">
        <v>0.13619999999999999</v>
      </c>
      <c r="J78" s="84">
        <v>0.14230000000000001</v>
      </c>
      <c r="K78" s="83">
        <f t="shared" si="7"/>
        <v>48.085031623330991</v>
      </c>
      <c r="L78" s="10" t="s">
        <v>53</v>
      </c>
      <c r="M78" s="40">
        <v>7.5069999999999997</v>
      </c>
      <c r="N78" s="34"/>
      <c r="O78" s="179"/>
      <c r="P78" s="179"/>
    </row>
    <row r="79" spans="1:16" ht="17.25" hidden="1" customHeight="1" outlineLevel="1" thickBot="1">
      <c r="B79" s="689"/>
      <c r="C79" s="97">
        <v>10</v>
      </c>
      <c r="D79" s="35" t="s">
        <v>23</v>
      </c>
      <c r="E79" s="88">
        <v>4.1500000000000004</v>
      </c>
      <c r="F79" s="88">
        <v>6.8250000000000002</v>
      </c>
      <c r="G79" s="88">
        <v>5.1665910000000004</v>
      </c>
      <c r="H79" s="88">
        <v>6.4960690000000003</v>
      </c>
      <c r="I79" s="89">
        <v>0.1366</v>
      </c>
      <c r="J79" s="89">
        <v>0.14199999999999999</v>
      </c>
      <c r="K79" s="88">
        <f t="shared" si="7"/>
        <v>48.063380281690144</v>
      </c>
      <c r="L79" s="90">
        <v>72.287000000000006</v>
      </c>
      <c r="M79" s="123">
        <v>24.257999999999999</v>
      </c>
      <c r="N79" s="91"/>
      <c r="O79" s="179"/>
      <c r="P79" s="179"/>
    </row>
    <row r="80" spans="1:16" s="5" customFormat="1" ht="17.25" hidden="1" thickBot="1">
      <c r="A80" s="67"/>
      <c r="B80" s="687" t="s">
        <v>66</v>
      </c>
      <c r="C80" s="122" t="s">
        <v>67</v>
      </c>
      <c r="D80" s="99" t="s">
        <v>49</v>
      </c>
      <c r="E80" s="100">
        <f t="shared" ref="E80:K80" si="8">AVERAGE(E81:E95)</f>
        <v>4.1332666666666675</v>
      </c>
      <c r="F80" s="100">
        <f t="shared" si="8"/>
        <v>6.7466666666666661</v>
      </c>
      <c r="G80" s="100">
        <f t="shared" si="8"/>
        <v>5.1280394000000014</v>
      </c>
      <c r="H80" s="100">
        <f t="shared" si="8"/>
        <v>6.4900243999999994</v>
      </c>
      <c r="I80" s="101">
        <f t="shared" si="8"/>
        <v>0.13707333333333335</v>
      </c>
      <c r="J80" s="101">
        <f t="shared" si="8"/>
        <v>0.13938666666666666</v>
      </c>
      <c r="K80" s="100">
        <f t="shared" si="8"/>
        <v>48.405483592920781</v>
      </c>
      <c r="L80" s="102">
        <f>AVERAGE(L81:L82,L86:L89,L91:L94)</f>
        <v>87.948714285714303</v>
      </c>
      <c r="M80" s="100">
        <f>AVERAGE(M81,M86:M87,M92:M93)</f>
        <v>73.909599999999998</v>
      </c>
      <c r="N80" s="103" t="str">
        <f>IF(N81="","",N81)</f>
        <v/>
      </c>
      <c r="O80" s="180"/>
      <c r="P80" s="180"/>
    </row>
    <row r="81" spans="2:16" ht="16.5" hidden="1" customHeight="1" outlineLevel="1">
      <c r="B81" s="688"/>
      <c r="C81" s="104">
        <v>11</v>
      </c>
      <c r="D81" s="105" t="s">
        <v>24</v>
      </c>
      <c r="E81" s="92">
        <v>4.1260000000000003</v>
      </c>
      <c r="F81" s="92">
        <v>6.7225000000000001</v>
      </c>
      <c r="G81" s="92">
        <v>5.1185989999999997</v>
      </c>
      <c r="H81" s="92">
        <v>6.5136960000000004</v>
      </c>
      <c r="I81" s="93">
        <v>0.13730000000000001</v>
      </c>
      <c r="J81" s="93">
        <v>0.13769999999999999</v>
      </c>
      <c r="K81" s="92">
        <f t="shared" ref="K81:K95" si="9">F81/J81</f>
        <v>48.819898329702255</v>
      </c>
      <c r="L81" s="94">
        <v>88.254000000000005</v>
      </c>
      <c r="M81" s="58">
        <v>75.257999999999996</v>
      </c>
      <c r="N81" s="95"/>
      <c r="O81" s="179"/>
      <c r="P81" s="179"/>
    </row>
    <row r="82" spans="2:16" ht="16.5" hidden="1" customHeight="1" outlineLevel="1">
      <c r="B82" s="688"/>
      <c r="C82" s="106">
        <v>12</v>
      </c>
      <c r="D82" s="39" t="s">
        <v>25</v>
      </c>
      <c r="E82" s="83">
        <v>4.1369999999999996</v>
      </c>
      <c r="F82" s="83">
        <v>6.7337499999999997</v>
      </c>
      <c r="G82" s="83">
        <v>5.1135320000000002</v>
      </c>
      <c r="H82" s="83">
        <v>6.5173550000000002</v>
      </c>
      <c r="I82" s="84">
        <v>0.13730000000000001</v>
      </c>
      <c r="J82" s="84">
        <v>0.13819999999999999</v>
      </c>
      <c r="K82" s="83">
        <f t="shared" si="9"/>
        <v>48.724674384949353</v>
      </c>
      <c r="L82" s="10" t="s">
        <v>53</v>
      </c>
      <c r="M82" s="11" t="s">
        <v>53</v>
      </c>
      <c r="N82" s="34"/>
      <c r="O82" s="179"/>
      <c r="P82" s="179"/>
    </row>
    <row r="83" spans="2:16" ht="16.5" hidden="1" customHeight="1" outlineLevel="1">
      <c r="B83" s="688"/>
      <c r="C83" s="106">
        <v>13</v>
      </c>
      <c r="D83" s="39" t="s">
        <v>26</v>
      </c>
      <c r="E83" s="83">
        <v>4.1509999999999998</v>
      </c>
      <c r="F83" s="83">
        <v>6.7287499999999998</v>
      </c>
      <c r="G83" s="83">
        <v>5.0925010000000004</v>
      </c>
      <c r="H83" s="83">
        <v>6.4743199999999996</v>
      </c>
      <c r="I83" s="84">
        <v>0.13739999999999999</v>
      </c>
      <c r="J83" s="84">
        <v>0.1389</v>
      </c>
      <c r="K83" s="83">
        <f t="shared" si="9"/>
        <v>48.443124550035996</v>
      </c>
      <c r="L83" s="10">
        <v>69.204999999999998</v>
      </c>
      <c r="M83" s="40">
        <v>25.01</v>
      </c>
      <c r="N83" s="34"/>
      <c r="O83" s="179"/>
      <c r="P83" s="179"/>
    </row>
    <row r="84" spans="2:16" ht="16.5" hidden="1" customHeight="1" outlineLevel="1">
      <c r="B84" s="688"/>
      <c r="C84" s="106">
        <v>14</v>
      </c>
      <c r="D84" s="39" t="s">
        <v>27</v>
      </c>
      <c r="E84" s="83">
        <v>4.1429999999999998</v>
      </c>
      <c r="F84" s="83">
        <v>6.7137500000000001</v>
      </c>
      <c r="G84" s="83">
        <v>5.0909610000000001</v>
      </c>
      <c r="H84" s="83">
        <v>6.4600150000000003</v>
      </c>
      <c r="I84" s="84">
        <v>0.13750000000000001</v>
      </c>
      <c r="J84" s="84">
        <v>0.1389</v>
      </c>
      <c r="K84" s="83">
        <f t="shared" si="9"/>
        <v>48.335133189344852</v>
      </c>
      <c r="L84" s="10">
        <v>60.143000000000001</v>
      </c>
      <c r="M84" s="40">
        <v>22.11</v>
      </c>
      <c r="N84" s="34"/>
      <c r="O84" s="179"/>
      <c r="P84" s="179"/>
    </row>
    <row r="85" spans="2:16" ht="17.25" hidden="1" customHeight="1" outlineLevel="1" thickBot="1">
      <c r="B85" s="688"/>
      <c r="C85" s="107">
        <v>15</v>
      </c>
      <c r="D85" s="108" t="s">
        <v>28</v>
      </c>
      <c r="E85" s="88">
        <v>4.141</v>
      </c>
      <c r="F85" s="88">
        <v>6.6862500000000002</v>
      </c>
      <c r="G85" s="88">
        <v>5.0725559999999996</v>
      </c>
      <c r="H85" s="88">
        <v>6.4541399999999998</v>
      </c>
      <c r="I85" s="89">
        <v>0.13780000000000001</v>
      </c>
      <c r="J85" s="89">
        <v>0.1381</v>
      </c>
      <c r="K85" s="88">
        <f t="shared" si="9"/>
        <v>48.41600289645185</v>
      </c>
      <c r="L85" s="90">
        <v>69.241</v>
      </c>
      <c r="M85" s="123">
        <v>24.51</v>
      </c>
      <c r="N85" s="91"/>
      <c r="O85" s="179"/>
      <c r="P85" s="179"/>
    </row>
    <row r="86" spans="2:16" ht="16.5" hidden="1" customHeight="1" outlineLevel="1">
      <c r="B86" s="688"/>
      <c r="C86" s="109">
        <v>16</v>
      </c>
      <c r="D86" s="110" t="s">
        <v>29</v>
      </c>
      <c r="E86" s="92">
        <v>4.1260000000000003</v>
      </c>
      <c r="F86" s="92">
        <v>6.7362500000000001</v>
      </c>
      <c r="G86" s="92">
        <v>5.1290680000000002</v>
      </c>
      <c r="H86" s="92">
        <v>6.530049</v>
      </c>
      <c r="I86" s="93">
        <v>0.13730000000000001</v>
      </c>
      <c r="J86" s="93">
        <v>0.13769999999999999</v>
      </c>
      <c r="K86" s="92">
        <f t="shared" si="9"/>
        <v>48.91975308641976</v>
      </c>
      <c r="L86" s="94">
        <v>87.974000000000004</v>
      </c>
      <c r="M86" s="58">
        <v>72.510000000000005</v>
      </c>
      <c r="N86" s="95"/>
      <c r="O86" s="179"/>
      <c r="P86" s="179"/>
    </row>
    <row r="87" spans="2:16" ht="16.5" hidden="1" customHeight="1" outlineLevel="1">
      <c r="B87" s="688"/>
      <c r="C87" s="106">
        <v>17</v>
      </c>
      <c r="D87" s="39" t="s">
        <v>30</v>
      </c>
      <c r="E87" s="83">
        <v>4.1289999999999996</v>
      </c>
      <c r="F87" s="83">
        <v>6.7450000000000001</v>
      </c>
      <c r="G87" s="83">
        <v>5.1319990000000004</v>
      </c>
      <c r="H87" s="83">
        <v>6.5260889999999998</v>
      </c>
      <c r="I87" s="84">
        <v>0.13739999999999999</v>
      </c>
      <c r="J87" s="84">
        <v>0.13819999999999999</v>
      </c>
      <c r="K87" s="83">
        <f t="shared" si="9"/>
        <v>48.806078147612162</v>
      </c>
      <c r="L87" s="10">
        <v>88.412999999999997</v>
      </c>
      <c r="M87" s="11">
        <v>78.510000000000005</v>
      </c>
      <c r="N87" s="34"/>
      <c r="O87" s="179"/>
      <c r="P87" s="179"/>
    </row>
    <row r="88" spans="2:16" ht="16.5" hidden="1" customHeight="1" outlineLevel="1">
      <c r="B88" s="688"/>
      <c r="C88" s="106">
        <v>18</v>
      </c>
      <c r="D88" s="39" t="s">
        <v>31</v>
      </c>
      <c r="E88" s="83">
        <v>4.1340000000000003</v>
      </c>
      <c r="F88" s="83">
        <v>6.7287499999999998</v>
      </c>
      <c r="G88" s="83">
        <v>5.1134430000000002</v>
      </c>
      <c r="H88" s="83">
        <v>6.4867359999999996</v>
      </c>
      <c r="I88" s="84">
        <v>0.13730000000000001</v>
      </c>
      <c r="J88" s="84">
        <v>0.13869999999999999</v>
      </c>
      <c r="K88" s="83">
        <f t="shared" si="9"/>
        <v>48.512977649603464</v>
      </c>
      <c r="L88" s="10" t="s">
        <v>53</v>
      </c>
      <c r="M88" s="11" t="s">
        <v>53</v>
      </c>
      <c r="N88" s="34"/>
      <c r="O88" s="179"/>
      <c r="P88" s="179"/>
    </row>
    <row r="89" spans="2:16" ht="16.5" hidden="1" customHeight="1" outlineLevel="1">
      <c r="B89" s="688"/>
      <c r="C89" s="106">
        <v>19</v>
      </c>
      <c r="D89" s="39" t="s">
        <v>32</v>
      </c>
      <c r="E89" s="83">
        <v>4.1390000000000002</v>
      </c>
      <c r="F89" s="83">
        <v>6.6974999999999998</v>
      </c>
      <c r="G89" s="83">
        <v>5.0835470000000003</v>
      </c>
      <c r="H89" s="83">
        <v>6.444674</v>
      </c>
      <c r="I89" s="84">
        <v>0.13739999999999999</v>
      </c>
      <c r="J89" s="84">
        <v>0.13880000000000001</v>
      </c>
      <c r="K89" s="83">
        <f t="shared" si="9"/>
        <v>48.252881844380397</v>
      </c>
      <c r="L89" s="10" t="s">
        <v>53</v>
      </c>
      <c r="M89" s="40">
        <v>12.71</v>
      </c>
      <c r="N89" s="34"/>
      <c r="O89" s="179"/>
      <c r="P89" s="179"/>
    </row>
    <row r="90" spans="2:16" ht="17.25" hidden="1" customHeight="1" outlineLevel="1" thickBot="1">
      <c r="B90" s="688"/>
      <c r="C90" s="107">
        <v>20</v>
      </c>
      <c r="D90" s="108" t="s">
        <v>33</v>
      </c>
      <c r="E90" s="88">
        <v>4.1440000000000001</v>
      </c>
      <c r="F90" s="88">
        <v>6.6887499999999998</v>
      </c>
      <c r="G90" s="88">
        <v>5.0707789999999999</v>
      </c>
      <c r="H90" s="88">
        <v>6.4577229999999997</v>
      </c>
      <c r="I90" s="89">
        <v>0.13780000000000001</v>
      </c>
      <c r="J90" s="89">
        <v>0.1381</v>
      </c>
      <c r="K90" s="88">
        <f t="shared" si="9"/>
        <v>48.434105720492397</v>
      </c>
      <c r="L90" s="90">
        <v>65.234999999999999</v>
      </c>
      <c r="M90" s="123">
        <v>21.71</v>
      </c>
      <c r="N90" s="91"/>
      <c r="O90" s="179"/>
      <c r="P90" s="179"/>
    </row>
    <row r="91" spans="2:16" ht="16.5" hidden="1" customHeight="1" outlineLevel="1">
      <c r="B91" s="688"/>
      <c r="C91" s="109">
        <v>21</v>
      </c>
      <c r="D91" s="110" t="s">
        <v>34</v>
      </c>
      <c r="E91" s="92">
        <v>4.1189999999999998</v>
      </c>
      <c r="F91" s="92">
        <v>6.8187499999999996</v>
      </c>
      <c r="G91" s="92">
        <v>5.2007079999999997</v>
      </c>
      <c r="H91" s="92">
        <v>6.5432410000000001</v>
      </c>
      <c r="I91" s="93">
        <v>0.1363</v>
      </c>
      <c r="J91" s="93">
        <v>0.14080000000000001</v>
      </c>
      <c r="K91" s="92">
        <f t="shared" si="9"/>
        <v>48.428622159090907</v>
      </c>
      <c r="L91" s="94">
        <v>87.718999999999994</v>
      </c>
      <c r="M91" s="124">
        <v>69.260000000000005</v>
      </c>
      <c r="N91" s="95"/>
      <c r="O91" s="179"/>
      <c r="P91" s="179"/>
    </row>
    <row r="92" spans="2:16" ht="16.5" hidden="1" customHeight="1" outlineLevel="1">
      <c r="B92" s="688"/>
      <c r="C92" s="106">
        <v>22</v>
      </c>
      <c r="D92" s="39" t="s">
        <v>35</v>
      </c>
      <c r="E92" s="83">
        <v>4.1219999999999999</v>
      </c>
      <c r="F92" s="83">
        <v>6.7824999999999998</v>
      </c>
      <c r="G92" s="83">
        <v>5.169295</v>
      </c>
      <c r="H92" s="83">
        <v>6.487082</v>
      </c>
      <c r="I92" s="84">
        <v>0.13619999999999999</v>
      </c>
      <c r="J92" s="84">
        <v>0.14119999999999999</v>
      </c>
      <c r="K92" s="83">
        <f t="shared" si="9"/>
        <v>48.034702549575073</v>
      </c>
      <c r="L92" s="10">
        <v>87.995999999999995</v>
      </c>
      <c r="M92" s="11">
        <v>72.510000000000005</v>
      </c>
      <c r="N92" s="34"/>
      <c r="O92" s="179"/>
      <c r="P92" s="179"/>
    </row>
    <row r="93" spans="2:16" ht="16.5" hidden="1" customHeight="1" outlineLevel="1">
      <c r="B93" s="688"/>
      <c r="C93" s="106">
        <v>23</v>
      </c>
      <c r="D93" s="39" t="s">
        <v>36</v>
      </c>
      <c r="E93" s="83">
        <v>4.13</v>
      </c>
      <c r="F93" s="83">
        <v>6.8087499999999999</v>
      </c>
      <c r="G93" s="83">
        <v>5.1792499999999997</v>
      </c>
      <c r="H93" s="83">
        <v>6.4932869999999996</v>
      </c>
      <c r="I93" s="84">
        <v>0.13619999999999999</v>
      </c>
      <c r="J93" s="84">
        <v>0.14180000000000001</v>
      </c>
      <c r="K93" s="83">
        <f t="shared" si="9"/>
        <v>48.016572637517626</v>
      </c>
      <c r="L93" s="10">
        <v>87.834000000000003</v>
      </c>
      <c r="M93" s="11">
        <v>70.760000000000005</v>
      </c>
      <c r="N93" s="34"/>
      <c r="O93" s="179"/>
      <c r="P93" s="179"/>
    </row>
    <row r="94" spans="2:16" ht="16.5" hidden="1" customHeight="1" outlineLevel="1">
      <c r="B94" s="688"/>
      <c r="C94" s="106">
        <v>24</v>
      </c>
      <c r="D94" s="39" t="s">
        <v>37</v>
      </c>
      <c r="E94" s="83">
        <v>4.1310000000000002</v>
      </c>
      <c r="F94" s="83">
        <v>6.80375</v>
      </c>
      <c r="G94" s="83">
        <v>5.1741929999999998</v>
      </c>
      <c r="H94" s="83">
        <v>6.4856910000000001</v>
      </c>
      <c r="I94" s="84">
        <v>0.1363</v>
      </c>
      <c r="J94" s="84">
        <v>0.14199999999999999</v>
      </c>
      <c r="K94" s="83">
        <f t="shared" si="9"/>
        <v>47.9137323943662</v>
      </c>
      <c r="L94" s="10">
        <v>87.450999999999993</v>
      </c>
      <c r="M94" s="40">
        <v>67.760000000000005</v>
      </c>
      <c r="N94" s="34"/>
      <c r="O94" s="179"/>
      <c r="P94" s="179"/>
    </row>
    <row r="95" spans="2:16" ht="17.25" hidden="1" customHeight="1" outlineLevel="1" thickBot="1">
      <c r="B95" s="689"/>
      <c r="C95" s="107">
        <v>25</v>
      </c>
      <c r="D95" s="108" t="s">
        <v>38</v>
      </c>
      <c r="E95" s="88">
        <v>4.1269999999999998</v>
      </c>
      <c r="F95" s="88">
        <v>6.8049999999999997</v>
      </c>
      <c r="G95" s="88">
        <v>5.1801599999999999</v>
      </c>
      <c r="H95" s="88">
        <v>6.4762680000000001</v>
      </c>
      <c r="I95" s="89">
        <v>0.1366</v>
      </c>
      <c r="J95" s="89">
        <v>0.14169999999999999</v>
      </c>
      <c r="K95" s="88">
        <f t="shared" si="9"/>
        <v>48.023994354269583</v>
      </c>
      <c r="L95" s="90">
        <v>60.033999999999999</v>
      </c>
      <c r="M95" s="123">
        <v>17.61</v>
      </c>
      <c r="N95" s="91"/>
      <c r="O95" s="179"/>
      <c r="P95" s="179"/>
    </row>
    <row r="96" spans="2:16" s="41" customFormat="1" ht="17.25" hidden="1" thickBot="1">
      <c r="B96" s="112"/>
      <c r="C96" s="690" t="s">
        <v>39</v>
      </c>
      <c r="D96" s="691"/>
      <c r="E96" s="113">
        <f t="shared" ref="E96:L96" si="10">1-(E69/E80)</f>
        <v>-3.1048887885285481E-3</v>
      </c>
      <c r="F96" s="113">
        <f t="shared" si="10"/>
        <v>-1.4760375494071276E-2</v>
      </c>
      <c r="G96" s="113">
        <f t="shared" si="10"/>
        <v>-1.1608510652238335E-2</v>
      </c>
      <c r="H96" s="113">
        <f t="shared" si="10"/>
        <v>-6.5313930098629402E-3</v>
      </c>
      <c r="I96" s="113">
        <f t="shared" si="10"/>
        <v>6.5901463936581806E-3</v>
      </c>
      <c r="J96" s="113">
        <f t="shared" si="10"/>
        <v>-1.8103118423570042E-2</v>
      </c>
      <c r="K96" s="113">
        <f t="shared" si="10"/>
        <v>3.3313075958871785E-3</v>
      </c>
      <c r="L96" s="114">
        <f t="shared" si="10"/>
        <v>4.6642442592357281E-3</v>
      </c>
      <c r="M96" s="113">
        <f>1-(M69/M80)</f>
        <v>7.6517123621288707E-2</v>
      </c>
      <c r="N96" s="115"/>
      <c r="O96" s="181"/>
      <c r="P96" s="181"/>
    </row>
    <row r="97" spans="1:14" hidden="1"/>
    <row r="98" spans="1:14" s="5" customFormat="1" hidden="1">
      <c r="A98" s="1">
        <v>4</v>
      </c>
      <c r="B98" s="5" t="s">
        <v>71</v>
      </c>
      <c r="C98" s="64"/>
      <c r="E98" s="17"/>
      <c r="F98" s="17"/>
      <c r="G98" s="17"/>
      <c r="H98" s="17"/>
      <c r="I98" s="18"/>
      <c r="J98" s="18"/>
      <c r="K98" s="17"/>
      <c r="L98" s="21"/>
      <c r="M98" s="6"/>
    </row>
    <row r="99" spans="1:14" hidden="1">
      <c r="B99" s="65" t="s">
        <v>68</v>
      </c>
      <c r="L99" s="22"/>
      <c r="M99" s="3"/>
      <c r="N99" s="4"/>
    </row>
    <row r="100" spans="1:14" s="5" customFormat="1" ht="33.75" hidden="1" thickBot="1">
      <c r="A100" s="67"/>
      <c r="B100" s="7" t="s">
        <v>0</v>
      </c>
      <c r="C100" s="116" t="s">
        <v>11</v>
      </c>
      <c r="D100" s="8" t="s">
        <v>1</v>
      </c>
      <c r="E100" s="117" t="s">
        <v>2</v>
      </c>
      <c r="F100" s="117" t="s">
        <v>3</v>
      </c>
      <c r="G100" s="117" t="s">
        <v>4</v>
      </c>
      <c r="H100" s="117" t="s">
        <v>16</v>
      </c>
      <c r="I100" s="118" t="s">
        <v>6</v>
      </c>
      <c r="J100" s="119" t="s">
        <v>7</v>
      </c>
      <c r="K100" s="120" t="s">
        <v>8</v>
      </c>
      <c r="L100" s="30" t="s">
        <v>9</v>
      </c>
      <c r="M100" s="30" t="s">
        <v>18</v>
      </c>
      <c r="N100" s="121" t="s">
        <v>19</v>
      </c>
    </row>
    <row r="101" spans="1:14" s="5" customFormat="1" ht="17.25" hidden="1" thickBot="1">
      <c r="A101" s="67"/>
      <c r="B101" s="692" t="s">
        <v>59</v>
      </c>
      <c r="C101" s="122" t="s">
        <v>61</v>
      </c>
      <c r="D101" s="69" t="s">
        <v>49</v>
      </c>
      <c r="E101" s="70">
        <f t="shared" ref="E101:L101" si="11">AVERAGE(E102:E111)</f>
        <v>4.1898999999999997</v>
      </c>
      <c r="F101" s="70">
        <f t="shared" si="11"/>
        <v>6.8877499999999996</v>
      </c>
      <c r="G101" s="70">
        <f t="shared" si="11"/>
        <v>5.1644169999999985</v>
      </c>
      <c r="H101" s="70">
        <f t="shared" si="11"/>
        <v>6.6055916000000012</v>
      </c>
      <c r="I101" s="71">
        <f t="shared" si="11"/>
        <v>0.13586999999999999</v>
      </c>
      <c r="J101" s="71">
        <f t="shared" si="11"/>
        <v>0.14138000000000001</v>
      </c>
      <c r="K101" s="70">
        <f t="shared" si="11"/>
        <v>48.71851360698826</v>
      </c>
      <c r="L101" s="72">
        <f t="shared" si="11"/>
        <v>82.579499999999996</v>
      </c>
      <c r="M101" s="70">
        <f>AVERAGE(M102:M111)</f>
        <v>43.645000000000003</v>
      </c>
      <c r="N101" s="73" t="str">
        <f>IF(N102="","",N102)</f>
        <v/>
      </c>
    </row>
    <row r="102" spans="1:14" ht="16.5" hidden="1" customHeight="1" outlineLevel="1">
      <c r="B102" s="693"/>
      <c r="C102" s="74">
        <v>1</v>
      </c>
      <c r="D102" s="75" t="s">
        <v>61</v>
      </c>
      <c r="E102" s="92">
        <v>4.2190000000000003</v>
      </c>
      <c r="F102" s="92">
        <v>6.9787499999999998</v>
      </c>
      <c r="G102" s="92">
        <v>5.19658</v>
      </c>
      <c r="H102" s="92">
        <v>6.6773790000000002</v>
      </c>
      <c r="I102" s="93">
        <v>0.1356</v>
      </c>
      <c r="J102" s="93">
        <v>0.14219999999999999</v>
      </c>
      <c r="K102" s="92">
        <f>F102/J102</f>
        <v>49.077004219409282</v>
      </c>
      <c r="L102" s="94" t="s">
        <v>53</v>
      </c>
      <c r="M102" s="58" t="s">
        <v>53</v>
      </c>
      <c r="N102" s="61"/>
    </row>
    <row r="103" spans="1:14" ht="16.5" hidden="1" customHeight="1" outlineLevel="1">
      <c r="B103" s="693"/>
      <c r="C103" s="82">
        <v>2</v>
      </c>
      <c r="D103" s="32" t="s">
        <v>62</v>
      </c>
      <c r="E103" s="83">
        <v>4.2210000000000001</v>
      </c>
      <c r="F103" s="83">
        <v>6.8125</v>
      </c>
      <c r="G103" s="83">
        <v>5.0703820000000004</v>
      </c>
      <c r="H103" s="83">
        <v>6.5205700000000002</v>
      </c>
      <c r="I103" s="84">
        <v>0.13550000000000001</v>
      </c>
      <c r="J103" s="84">
        <v>0.1424</v>
      </c>
      <c r="K103" s="83">
        <f t="shared" ref="K103:K111" si="12">F103/J103</f>
        <v>47.840589887640448</v>
      </c>
      <c r="L103" s="10" t="s">
        <v>53</v>
      </c>
      <c r="M103" s="11" t="s">
        <v>53</v>
      </c>
      <c r="N103" s="33"/>
    </row>
    <row r="104" spans="1:14" ht="16.5" hidden="1" customHeight="1" outlineLevel="1">
      <c r="B104" s="693"/>
      <c r="C104" s="82">
        <v>3</v>
      </c>
      <c r="D104" s="32" t="s">
        <v>60</v>
      </c>
      <c r="E104" s="83">
        <v>4.1790000000000003</v>
      </c>
      <c r="F104" s="83">
        <v>6.82</v>
      </c>
      <c r="G104" s="83">
        <v>5.1269790000000004</v>
      </c>
      <c r="H104" s="83">
        <v>6.5325280000000001</v>
      </c>
      <c r="I104" s="84">
        <v>0.13569999999999999</v>
      </c>
      <c r="J104" s="84">
        <v>0.14169999999999999</v>
      </c>
      <c r="K104" s="83">
        <f t="shared" si="12"/>
        <v>48.129851799576578</v>
      </c>
      <c r="L104" s="10" t="s">
        <v>53</v>
      </c>
      <c r="M104" s="11" t="s">
        <v>53</v>
      </c>
      <c r="N104" s="34"/>
    </row>
    <row r="105" spans="1:14" ht="16.5" hidden="1" customHeight="1" outlineLevel="1">
      <c r="B105" s="693"/>
      <c r="C105" s="82">
        <v>4</v>
      </c>
      <c r="D105" s="32" t="s">
        <v>63</v>
      </c>
      <c r="E105" s="83">
        <v>4.17</v>
      </c>
      <c r="F105" s="83">
        <v>6.7424999999999997</v>
      </c>
      <c r="G105" s="83">
        <v>5.0796570000000001</v>
      </c>
      <c r="H105" s="83">
        <v>6.478809</v>
      </c>
      <c r="I105" s="84">
        <v>0.1361</v>
      </c>
      <c r="J105" s="84">
        <v>0.14069999999999999</v>
      </c>
      <c r="K105" s="83">
        <f t="shared" si="12"/>
        <v>47.921108742004265</v>
      </c>
      <c r="L105" s="10">
        <v>81.647000000000006</v>
      </c>
      <c r="M105" s="10">
        <v>38.020000000000003</v>
      </c>
      <c r="N105" s="34"/>
    </row>
    <row r="106" spans="1:14" ht="17.25" hidden="1" customHeight="1" outlineLevel="1" thickBot="1">
      <c r="B106" s="693"/>
      <c r="C106" s="85">
        <v>5</v>
      </c>
      <c r="D106" s="86" t="s">
        <v>64</v>
      </c>
      <c r="E106" s="88">
        <v>4.1639999999999997</v>
      </c>
      <c r="F106" s="88">
        <v>6.8075000000000001</v>
      </c>
      <c r="G106" s="88">
        <v>5.1360169999999998</v>
      </c>
      <c r="H106" s="88">
        <v>6.5596030000000001</v>
      </c>
      <c r="I106" s="89">
        <v>0.13639999999999999</v>
      </c>
      <c r="J106" s="89">
        <v>0.1399</v>
      </c>
      <c r="K106" s="88">
        <f t="shared" si="12"/>
        <v>48.659756969263761</v>
      </c>
      <c r="L106" s="90">
        <v>83.512</v>
      </c>
      <c r="M106" s="90">
        <v>49.27</v>
      </c>
      <c r="N106" s="91"/>
    </row>
    <row r="107" spans="1:14" ht="16.5" hidden="1" customHeight="1" outlineLevel="1">
      <c r="B107" s="693"/>
      <c r="C107" s="74">
        <v>6</v>
      </c>
      <c r="D107" s="75" t="s">
        <v>20</v>
      </c>
      <c r="E107" s="92">
        <v>4.1870000000000003</v>
      </c>
      <c r="F107" s="92">
        <v>6.92875</v>
      </c>
      <c r="G107" s="92">
        <v>5.1987800000000002</v>
      </c>
      <c r="H107" s="92">
        <v>6.6282810000000003</v>
      </c>
      <c r="I107" s="93">
        <v>0.13569999999999999</v>
      </c>
      <c r="J107" s="93">
        <v>0.14219999999999999</v>
      </c>
      <c r="K107" s="92">
        <f t="shared" si="12"/>
        <v>48.725386779184248</v>
      </c>
      <c r="L107" s="94" t="s">
        <v>72</v>
      </c>
      <c r="M107" s="58" t="s">
        <v>72</v>
      </c>
      <c r="N107" s="95"/>
    </row>
    <row r="108" spans="1:14" ht="16.5" hidden="1" customHeight="1" outlineLevel="1">
      <c r="B108" s="693"/>
      <c r="C108" s="82">
        <v>7</v>
      </c>
      <c r="D108" s="32" t="s">
        <v>21</v>
      </c>
      <c r="E108" s="83">
        <v>4.1909999999999998</v>
      </c>
      <c r="F108" s="83">
        <v>6.9874999999999998</v>
      </c>
      <c r="G108" s="83">
        <v>5.237857</v>
      </c>
      <c r="H108" s="83">
        <v>6.676971</v>
      </c>
      <c r="I108" s="84">
        <v>0.13539999999999999</v>
      </c>
      <c r="J108" s="84">
        <v>0.1424</v>
      </c>
      <c r="K108" s="83">
        <f t="shared" si="12"/>
        <v>49.069522471910112</v>
      </c>
      <c r="L108" s="10" t="s">
        <v>72</v>
      </c>
      <c r="M108" s="11" t="s">
        <v>72</v>
      </c>
      <c r="N108" s="34"/>
    </row>
    <row r="109" spans="1:14" ht="16.5" hidden="1" customHeight="1" outlineLevel="1">
      <c r="B109" s="693"/>
      <c r="C109" s="82">
        <v>8</v>
      </c>
      <c r="D109" s="32" t="s">
        <v>65</v>
      </c>
      <c r="E109" s="83">
        <v>4.1929999999999996</v>
      </c>
      <c r="F109" s="83">
        <v>6.9837499999999997</v>
      </c>
      <c r="G109" s="83">
        <v>5.2325489999999997</v>
      </c>
      <c r="H109" s="83">
        <v>6.6835950000000004</v>
      </c>
      <c r="I109" s="84">
        <v>0.13569999999999999</v>
      </c>
      <c r="J109" s="84">
        <v>0.14169999999999999</v>
      </c>
      <c r="K109" s="83">
        <f t="shared" si="12"/>
        <v>49.285462244177843</v>
      </c>
      <c r="L109" s="10" t="s">
        <v>72</v>
      </c>
      <c r="M109" s="11" t="s">
        <v>72</v>
      </c>
      <c r="N109" s="34"/>
    </row>
    <row r="110" spans="1:14" ht="16.5" hidden="1" customHeight="1" outlineLevel="1">
      <c r="B110" s="693"/>
      <c r="C110" s="82">
        <v>9</v>
      </c>
      <c r="D110" s="32" t="s">
        <v>22</v>
      </c>
      <c r="E110" s="83">
        <v>4.1879999999999997</v>
      </c>
      <c r="F110" s="83">
        <v>6.9237500000000001</v>
      </c>
      <c r="G110" s="83">
        <v>5.1937879999999996</v>
      </c>
      <c r="H110" s="83">
        <v>6.6593260000000001</v>
      </c>
      <c r="I110" s="84">
        <v>0.13619999999999999</v>
      </c>
      <c r="J110" s="84">
        <v>0.1406</v>
      </c>
      <c r="K110" s="83">
        <f t="shared" si="12"/>
        <v>49.244310099573255</v>
      </c>
      <c r="L110" s="10" t="s">
        <v>72</v>
      </c>
      <c r="M110" s="11" t="s">
        <v>72</v>
      </c>
      <c r="N110" s="34"/>
    </row>
    <row r="111" spans="1:14" ht="17.25" hidden="1" customHeight="1" outlineLevel="1" thickBot="1">
      <c r="B111" s="694"/>
      <c r="C111" s="97">
        <v>10</v>
      </c>
      <c r="D111" s="35" t="s">
        <v>23</v>
      </c>
      <c r="E111" s="88">
        <v>4.1870000000000003</v>
      </c>
      <c r="F111" s="88">
        <v>6.8925000000000001</v>
      </c>
      <c r="G111" s="88">
        <v>5.1715809999999998</v>
      </c>
      <c r="H111" s="88">
        <v>6.6388540000000003</v>
      </c>
      <c r="I111" s="89">
        <v>0.13639999999999999</v>
      </c>
      <c r="J111" s="89">
        <v>0.14000000000000001</v>
      </c>
      <c r="K111" s="88">
        <f t="shared" si="12"/>
        <v>49.232142857142854</v>
      </c>
      <c r="L111" s="90" t="s">
        <v>72</v>
      </c>
      <c r="M111" s="14" t="s">
        <v>72</v>
      </c>
      <c r="N111" s="91"/>
    </row>
    <row r="112" spans="1:14" s="5" customFormat="1" ht="17.25" hidden="1" thickBot="1">
      <c r="A112" s="67"/>
      <c r="B112" s="692" t="s">
        <v>51</v>
      </c>
      <c r="C112" s="122" t="s">
        <v>67</v>
      </c>
      <c r="D112" s="99" t="s">
        <v>49</v>
      </c>
      <c r="E112" s="100">
        <f>AVERAGE(E113:E127)</f>
        <v>4.2093999999999996</v>
      </c>
      <c r="F112" s="100">
        <f>AVERAGE(F113:F127)</f>
        <v>7.1326666666666672</v>
      </c>
      <c r="G112" s="100">
        <f>AVERAGE(G113:G127)</f>
        <v>5.3231504666666662</v>
      </c>
      <c r="H112" s="100">
        <f>AVERAGE(H113:H118,H120:H122,H124,H126:H127)</f>
        <v>6.8532964166666668</v>
      </c>
      <c r="I112" s="101">
        <f>AVERAGE(I113:I127)</f>
        <v>0.13688000000000003</v>
      </c>
      <c r="J112" s="101">
        <f>AVERAGE(J113:J127)</f>
        <v>0.13922666666666669</v>
      </c>
      <c r="K112" s="100">
        <f>AVERAGE(K113:K127)</f>
        <v>51.230319619975539</v>
      </c>
      <c r="L112" s="102">
        <f>AVERAGE(L114:L127)</f>
        <v>88.636333333333326</v>
      </c>
      <c r="M112" s="100">
        <f>AVERAGE(M114:M127)</f>
        <v>80.103333333333339</v>
      </c>
      <c r="N112" s="103" t="str">
        <f>IF(N113="","",N113)</f>
        <v/>
      </c>
    </row>
    <row r="113" spans="2:14" ht="16.5" hidden="1" customHeight="1" outlineLevel="1">
      <c r="B113" s="693"/>
      <c r="C113" s="104">
        <v>11</v>
      </c>
      <c r="D113" s="105" t="s">
        <v>24</v>
      </c>
      <c r="E113" s="92">
        <v>4.22</v>
      </c>
      <c r="F113" s="92">
        <v>7.0362499999999999</v>
      </c>
      <c r="G113" s="92">
        <v>5.2381549999999999</v>
      </c>
      <c r="H113" s="92">
        <v>6.7756860000000003</v>
      </c>
      <c r="I113" s="93">
        <v>0.13689999999999999</v>
      </c>
      <c r="J113" s="93">
        <v>0.13969999999999999</v>
      </c>
      <c r="K113" s="92">
        <f t="shared" ref="K113:K127" si="13">F113/J113</f>
        <v>50.366857551896928</v>
      </c>
      <c r="L113" s="94" t="s">
        <v>53</v>
      </c>
      <c r="M113" s="124">
        <v>35.020000000000003</v>
      </c>
      <c r="N113" s="95"/>
    </row>
    <row r="114" spans="2:14" ht="16.5" hidden="1" customHeight="1" outlineLevel="1">
      <c r="B114" s="693"/>
      <c r="C114" s="106">
        <v>12</v>
      </c>
      <c r="D114" s="39" t="s">
        <v>25</v>
      </c>
      <c r="E114" s="83">
        <v>4.2329999999999997</v>
      </c>
      <c r="F114" s="83">
        <v>7.19625</v>
      </c>
      <c r="G114" s="83">
        <v>5.340814</v>
      </c>
      <c r="H114" s="83">
        <v>6.9207260000000002</v>
      </c>
      <c r="I114" s="84">
        <v>0.1366</v>
      </c>
      <c r="J114" s="84">
        <v>0.14019999999999999</v>
      </c>
      <c r="K114" s="83">
        <f t="shared" si="13"/>
        <v>51.328459343794584</v>
      </c>
      <c r="L114" s="10" t="s">
        <v>53</v>
      </c>
      <c r="M114" s="11" t="s">
        <v>53</v>
      </c>
      <c r="N114" s="34"/>
    </row>
    <row r="115" spans="2:14" ht="16.5" hidden="1" customHeight="1" outlineLevel="1">
      <c r="B115" s="693"/>
      <c r="C115" s="106">
        <v>13</v>
      </c>
      <c r="D115" s="39" t="s">
        <v>26</v>
      </c>
      <c r="E115" s="83">
        <v>4.218</v>
      </c>
      <c r="F115" s="83">
        <v>6.99125</v>
      </c>
      <c r="G115" s="83">
        <v>5.207122</v>
      </c>
      <c r="H115" s="83">
        <v>6.7406920000000001</v>
      </c>
      <c r="I115" s="84">
        <v>0.13689999999999999</v>
      </c>
      <c r="J115" s="84">
        <v>0.13950000000000001</v>
      </c>
      <c r="K115" s="83">
        <f t="shared" si="13"/>
        <v>50.116487455197131</v>
      </c>
      <c r="L115" s="10" t="s">
        <v>53</v>
      </c>
      <c r="M115" s="11" t="s">
        <v>53</v>
      </c>
      <c r="N115" s="34"/>
    </row>
    <row r="116" spans="2:14" ht="16.5" hidden="1" customHeight="1" outlineLevel="1">
      <c r="B116" s="693"/>
      <c r="C116" s="106">
        <v>14</v>
      </c>
      <c r="D116" s="39" t="s">
        <v>27</v>
      </c>
      <c r="E116" s="83">
        <v>4.2060000000000004</v>
      </c>
      <c r="F116" s="83">
        <v>7.0824999999999996</v>
      </c>
      <c r="G116" s="83">
        <v>5.2901360000000004</v>
      </c>
      <c r="H116" s="83">
        <v>6.8787070000000003</v>
      </c>
      <c r="I116" s="84">
        <v>0.13730000000000001</v>
      </c>
      <c r="J116" s="84">
        <v>0.13789999999999999</v>
      </c>
      <c r="K116" s="83">
        <f t="shared" si="13"/>
        <v>51.359680928208846</v>
      </c>
      <c r="L116" s="10" t="s">
        <v>53</v>
      </c>
      <c r="M116" s="11" t="s">
        <v>53</v>
      </c>
      <c r="N116" s="34"/>
    </row>
    <row r="117" spans="2:14" ht="17.25" hidden="1" customHeight="1" outlineLevel="1" thickBot="1">
      <c r="B117" s="693"/>
      <c r="C117" s="107">
        <v>15</v>
      </c>
      <c r="D117" s="108" t="s">
        <v>28</v>
      </c>
      <c r="E117" s="88">
        <v>4.1779999999999999</v>
      </c>
      <c r="F117" s="88">
        <v>6.9574999999999996</v>
      </c>
      <c r="G117" s="88">
        <v>5.2315969999999998</v>
      </c>
      <c r="H117" s="88">
        <v>6.7962930000000004</v>
      </c>
      <c r="I117" s="89">
        <v>0.13739999999999999</v>
      </c>
      <c r="J117" s="89">
        <v>0.13689999999999999</v>
      </c>
      <c r="K117" s="88">
        <f t="shared" si="13"/>
        <v>50.821767713659604</v>
      </c>
      <c r="L117" s="90">
        <v>89.081999999999994</v>
      </c>
      <c r="M117" s="14">
        <v>85.27</v>
      </c>
      <c r="N117" s="91"/>
    </row>
    <row r="118" spans="2:14" ht="16.5" hidden="1" customHeight="1" outlineLevel="1">
      <c r="B118" s="693"/>
      <c r="C118" s="109">
        <v>16</v>
      </c>
      <c r="D118" s="110" t="s">
        <v>29</v>
      </c>
      <c r="E118" s="92">
        <v>4.1879999999999997</v>
      </c>
      <c r="F118" s="92">
        <v>7.0387500000000003</v>
      </c>
      <c r="G118" s="92">
        <v>5.2800539999999998</v>
      </c>
      <c r="H118" s="92">
        <v>6.7701779999999996</v>
      </c>
      <c r="I118" s="93">
        <v>0.13669999999999999</v>
      </c>
      <c r="J118" s="93">
        <v>0.1401</v>
      </c>
      <c r="K118" s="92">
        <f t="shared" si="13"/>
        <v>50.240899357601712</v>
      </c>
      <c r="L118" s="94" t="s">
        <v>72</v>
      </c>
      <c r="M118" s="58" t="s">
        <v>72</v>
      </c>
      <c r="N118" s="95"/>
    </row>
    <row r="119" spans="2:14" ht="16.5" hidden="1" customHeight="1" outlineLevel="1">
      <c r="B119" s="693"/>
      <c r="C119" s="106">
        <v>17</v>
      </c>
      <c r="D119" s="39" t="s">
        <v>30</v>
      </c>
      <c r="E119" s="83">
        <v>4.2220000000000004</v>
      </c>
      <c r="F119" s="83">
        <v>7.2374999999999998</v>
      </c>
      <c r="G119" s="83">
        <v>5.3854230000000003</v>
      </c>
      <c r="H119" s="125">
        <v>6.9540389999999999</v>
      </c>
      <c r="I119" s="84">
        <v>0.13650000000000001</v>
      </c>
      <c r="J119" s="84">
        <v>0.14050000000000001</v>
      </c>
      <c r="K119" s="83">
        <f t="shared" si="13"/>
        <v>51.512455516014228</v>
      </c>
      <c r="L119" s="10" t="s">
        <v>72</v>
      </c>
      <c r="M119" s="11" t="s">
        <v>72</v>
      </c>
      <c r="N119" s="34"/>
    </row>
    <row r="120" spans="2:14" ht="16.5" hidden="1" customHeight="1" outlineLevel="1">
      <c r="B120" s="693"/>
      <c r="C120" s="106">
        <v>18</v>
      </c>
      <c r="D120" s="39" t="s">
        <v>31</v>
      </c>
      <c r="E120" s="83">
        <v>4.1989999999999998</v>
      </c>
      <c r="F120" s="83">
        <v>7.0512499999999996</v>
      </c>
      <c r="G120" s="83">
        <v>5.2755739999999998</v>
      </c>
      <c r="H120" s="83">
        <v>6.7937560000000001</v>
      </c>
      <c r="I120" s="84">
        <v>0.1368</v>
      </c>
      <c r="J120" s="84">
        <v>0.1396</v>
      </c>
      <c r="K120" s="83">
        <f t="shared" si="13"/>
        <v>50.510386819484239</v>
      </c>
      <c r="L120" s="10" t="s">
        <v>72</v>
      </c>
      <c r="M120" s="11" t="s">
        <v>72</v>
      </c>
      <c r="N120" s="34"/>
    </row>
    <row r="121" spans="2:14" ht="16.5" hidden="1" customHeight="1" outlineLevel="1">
      <c r="B121" s="693"/>
      <c r="C121" s="106">
        <v>19</v>
      </c>
      <c r="D121" s="39" t="s">
        <v>32</v>
      </c>
      <c r="E121" s="83">
        <v>4.202</v>
      </c>
      <c r="F121" s="83">
        <v>7.0774999999999997</v>
      </c>
      <c r="G121" s="83">
        <v>5.2914329999999996</v>
      </c>
      <c r="H121" s="83">
        <v>6.8430309999999999</v>
      </c>
      <c r="I121" s="84">
        <v>0.1371</v>
      </c>
      <c r="J121" s="84">
        <v>0.13830000000000001</v>
      </c>
      <c r="K121" s="83">
        <f t="shared" si="13"/>
        <v>51.17498192335502</v>
      </c>
      <c r="L121" s="10" t="s">
        <v>72</v>
      </c>
      <c r="M121" s="11" t="s">
        <v>72</v>
      </c>
      <c r="N121" s="34"/>
    </row>
    <row r="122" spans="2:14" ht="17.25" hidden="1" customHeight="1" outlineLevel="1" thickBot="1">
      <c r="B122" s="693"/>
      <c r="C122" s="107">
        <v>20</v>
      </c>
      <c r="D122" s="108" t="s">
        <v>33</v>
      </c>
      <c r="E122" s="88">
        <v>4.2009999999999996</v>
      </c>
      <c r="F122" s="88">
        <v>7.0887500000000001</v>
      </c>
      <c r="G122" s="88">
        <v>5.3011059999999999</v>
      </c>
      <c r="H122" s="88">
        <v>6.897672</v>
      </c>
      <c r="I122" s="89">
        <v>0.13739999999999999</v>
      </c>
      <c r="J122" s="89">
        <v>0.13730000000000001</v>
      </c>
      <c r="K122" s="88">
        <f t="shared" si="13"/>
        <v>51.629643117261473</v>
      </c>
      <c r="L122" s="90" t="s">
        <v>72</v>
      </c>
      <c r="M122" s="14" t="s">
        <v>72</v>
      </c>
      <c r="N122" s="91"/>
    </row>
    <row r="123" spans="2:14" ht="16.5" hidden="1" customHeight="1" outlineLevel="1">
      <c r="B123" s="693"/>
      <c r="C123" s="109">
        <v>21</v>
      </c>
      <c r="D123" s="110" t="s">
        <v>34</v>
      </c>
      <c r="E123" s="92">
        <v>4.2389999999999999</v>
      </c>
      <c r="F123" s="92">
        <v>7.42875</v>
      </c>
      <c r="G123" s="92">
        <v>5.5055639999999997</v>
      </c>
      <c r="H123" s="126">
        <v>7.1351469999999999</v>
      </c>
      <c r="I123" s="93">
        <v>0.13650000000000001</v>
      </c>
      <c r="J123" s="93">
        <v>0.14050000000000001</v>
      </c>
      <c r="K123" s="92">
        <f t="shared" si="13"/>
        <v>52.873665480427043</v>
      </c>
      <c r="L123" s="94" t="s">
        <v>72</v>
      </c>
      <c r="M123" s="58" t="s">
        <v>72</v>
      </c>
      <c r="N123" s="95"/>
    </row>
    <row r="124" spans="2:14" ht="16.5" hidden="1" customHeight="1" outlineLevel="1">
      <c r="B124" s="693"/>
      <c r="C124" s="106">
        <v>22</v>
      </c>
      <c r="D124" s="39" t="s">
        <v>35</v>
      </c>
      <c r="E124" s="83">
        <v>4.2080000000000002</v>
      </c>
      <c r="F124" s="83">
        <v>7.2487500000000002</v>
      </c>
      <c r="G124" s="83">
        <v>5.41174</v>
      </c>
      <c r="H124" s="83">
        <v>6.9491969999999998</v>
      </c>
      <c r="I124" s="84">
        <v>0.1363</v>
      </c>
      <c r="J124" s="84">
        <v>0.1409</v>
      </c>
      <c r="K124" s="83">
        <f t="shared" si="13"/>
        <v>51.446061036195886</v>
      </c>
      <c r="L124" s="10" t="s">
        <v>72</v>
      </c>
      <c r="M124" s="11" t="s">
        <v>72</v>
      </c>
      <c r="N124" s="34"/>
    </row>
    <row r="125" spans="2:14" ht="16.5" hidden="1" customHeight="1" outlineLevel="1">
      <c r="B125" s="693"/>
      <c r="C125" s="106">
        <v>23</v>
      </c>
      <c r="D125" s="39" t="s">
        <v>36</v>
      </c>
      <c r="E125" s="83">
        <v>4.2149999999999999</v>
      </c>
      <c r="F125" s="83">
        <v>7.2337499999999997</v>
      </c>
      <c r="G125" s="83">
        <v>5.391572</v>
      </c>
      <c r="H125" s="125">
        <v>6.9529180000000004</v>
      </c>
      <c r="I125" s="84">
        <v>0.1366</v>
      </c>
      <c r="J125" s="84">
        <v>0.14019999999999999</v>
      </c>
      <c r="K125" s="83">
        <f t="shared" si="13"/>
        <v>51.595934379457915</v>
      </c>
      <c r="L125" s="10" t="s">
        <v>72</v>
      </c>
      <c r="M125" s="11" t="s">
        <v>72</v>
      </c>
      <c r="N125" s="34"/>
    </row>
    <row r="126" spans="2:14" ht="16.5" hidden="1" customHeight="1" outlineLevel="1">
      <c r="B126" s="693"/>
      <c r="C126" s="106">
        <v>24</v>
      </c>
      <c r="D126" s="39" t="s">
        <v>37</v>
      </c>
      <c r="E126" s="83">
        <v>4.2080000000000002</v>
      </c>
      <c r="F126" s="83">
        <v>7.1812500000000004</v>
      </c>
      <c r="G126" s="83">
        <v>5.3613460000000002</v>
      </c>
      <c r="H126" s="83">
        <v>6.9349210000000001</v>
      </c>
      <c r="I126" s="84">
        <v>0.13700000000000001</v>
      </c>
      <c r="J126" s="84">
        <v>0.1389</v>
      </c>
      <c r="K126" s="83">
        <f t="shared" si="13"/>
        <v>51.700863930885532</v>
      </c>
      <c r="L126" s="10">
        <v>88.254000000000005</v>
      </c>
      <c r="M126" s="11">
        <v>75.27</v>
      </c>
      <c r="N126" s="34"/>
    </row>
    <row r="127" spans="2:14" ht="17.25" hidden="1" customHeight="1" outlineLevel="1" thickBot="1">
      <c r="B127" s="694"/>
      <c r="C127" s="107">
        <v>25</v>
      </c>
      <c r="D127" s="108" t="s">
        <v>38</v>
      </c>
      <c r="E127" s="88">
        <v>4.2039999999999997</v>
      </c>
      <c r="F127" s="88">
        <v>7.14</v>
      </c>
      <c r="G127" s="88">
        <v>5.3356209999999997</v>
      </c>
      <c r="H127" s="88">
        <v>6.9386979999999996</v>
      </c>
      <c r="I127" s="89">
        <v>0.13719999999999999</v>
      </c>
      <c r="J127" s="89">
        <v>0.13789999999999999</v>
      </c>
      <c r="K127" s="88">
        <f t="shared" si="13"/>
        <v>51.776649746192895</v>
      </c>
      <c r="L127" s="90">
        <v>88.572999999999993</v>
      </c>
      <c r="M127" s="14">
        <v>79.77</v>
      </c>
      <c r="N127" s="91"/>
    </row>
    <row r="128" spans="2:14" s="41" customFormat="1" ht="17.25" hidden="1" thickBot="1">
      <c r="B128" s="112"/>
      <c r="C128" s="690" t="s">
        <v>39</v>
      </c>
      <c r="D128" s="691"/>
      <c r="E128" s="113">
        <f t="shared" ref="E128:L128" si="14">1-(E101/E112)</f>
        <v>4.6324891908585686E-3</v>
      </c>
      <c r="F128" s="113">
        <f t="shared" si="14"/>
        <v>3.4337321244976238E-2</v>
      </c>
      <c r="G128" s="113">
        <f t="shared" si="14"/>
        <v>2.9819458920173236E-2</v>
      </c>
      <c r="H128" s="113">
        <f t="shared" si="14"/>
        <v>3.6143893625302348E-2</v>
      </c>
      <c r="I128" s="113">
        <f t="shared" si="14"/>
        <v>7.3787258912919595E-3</v>
      </c>
      <c r="J128" s="113">
        <f t="shared" si="14"/>
        <v>-1.546638574985626E-2</v>
      </c>
      <c r="K128" s="113">
        <f t="shared" si="14"/>
        <v>4.9029676793347243E-2</v>
      </c>
      <c r="L128" s="114">
        <f t="shared" si="14"/>
        <v>6.833352763539402E-2</v>
      </c>
      <c r="M128" s="113">
        <f>1-(M101/M112)</f>
        <v>0.45514127585202446</v>
      </c>
      <c r="N128" s="115"/>
    </row>
    <row r="129" spans="1:14" hidden="1"/>
    <row r="130" spans="1:14" s="5" customFormat="1" hidden="1">
      <c r="A130" s="1"/>
      <c r="B130" s="5" t="s">
        <v>170</v>
      </c>
      <c r="C130" s="64"/>
      <c r="E130" s="17"/>
      <c r="F130" s="17"/>
      <c r="G130" s="17"/>
      <c r="H130" s="17"/>
      <c r="I130" s="18"/>
      <c r="J130" s="18"/>
      <c r="K130" s="17"/>
      <c r="L130" s="21"/>
      <c r="M130" s="6"/>
    </row>
    <row r="131" spans="1:14" hidden="1">
      <c r="B131" s="65" t="s">
        <v>68</v>
      </c>
      <c r="L131" s="22"/>
      <c r="M131" s="3"/>
      <c r="N131" s="4"/>
    </row>
    <row r="132" spans="1:14" s="5" customFormat="1" ht="33.75" hidden="1" thickBot="1">
      <c r="A132" s="67"/>
      <c r="B132" s="7" t="s">
        <v>0</v>
      </c>
      <c r="C132" s="116" t="s">
        <v>11</v>
      </c>
      <c r="D132" s="8" t="s">
        <v>1</v>
      </c>
      <c r="E132" s="117" t="s">
        <v>2</v>
      </c>
      <c r="F132" s="117" t="s">
        <v>3</v>
      </c>
      <c r="G132" s="117" t="s">
        <v>4</v>
      </c>
      <c r="H132" s="117" t="s">
        <v>16</v>
      </c>
      <c r="I132" s="118" t="s">
        <v>6</v>
      </c>
      <c r="J132" s="119" t="s">
        <v>7</v>
      </c>
      <c r="K132" s="120" t="s">
        <v>8</v>
      </c>
      <c r="L132" s="30" t="s">
        <v>9</v>
      </c>
      <c r="M132" s="30" t="s">
        <v>18</v>
      </c>
      <c r="N132" s="121" t="s">
        <v>19</v>
      </c>
    </row>
    <row r="133" spans="1:14" s="5" customFormat="1" ht="17.25" hidden="1" thickBot="1">
      <c r="A133" s="67"/>
      <c r="B133" s="687" t="s">
        <v>52</v>
      </c>
      <c r="C133" s="122" t="s">
        <v>63</v>
      </c>
      <c r="D133" s="69" t="s">
        <v>49</v>
      </c>
      <c r="E133" s="70">
        <f t="shared" ref="E133:L133" si="15">AVERAGE(E134:E143)</f>
        <v>4.1450999999999993</v>
      </c>
      <c r="F133" s="70">
        <f t="shared" si="15"/>
        <v>6.98325</v>
      </c>
      <c r="G133" s="70">
        <f t="shared" si="15"/>
        <v>5.2926852000000002</v>
      </c>
      <c r="H133" s="70">
        <f t="shared" si="15"/>
        <v>6.6659206000000015</v>
      </c>
      <c r="I133" s="71">
        <f t="shared" si="15"/>
        <v>0.13596</v>
      </c>
      <c r="J133" s="71">
        <f t="shared" si="15"/>
        <v>0.14194999999999999</v>
      </c>
      <c r="K133" s="70">
        <f t="shared" si="15"/>
        <v>49.195554100000003</v>
      </c>
      <c r="L133" s="72" t="e">
        <f t="shared" si="15"/>
        <v>#DIV/0!</v>
      </c>
      <c r="M133" s="70">
        <f>AVERAGE(M136:M138)</f>
        <v>43.503</v>
      </c>
      <c r="N133" s="73" t="str">
        <f>IF(N134="","",N134)</f>
        <v/>
      </c>
    </row>
    <row r="134" spans="1:14" ht="16.5" hidden="1" customHeight="1" outlineLevel="1">
      <c r="B134" s="688"/>
      <c r="C134" s="74">
        <v>1</v>
      </c>
      <c r="D134" s="75" t="s">
        <v>61</v>
      </c>
      <c r="E134" s="92">
        <v>4.1680000000000001</v>
      </c>
      <c r="F134" s="92">
        <v>6.91</v>
      </c>
      <c r="G134" s="92">
        <v>5.2083459999999997</v>
      </c>
      <c r="H134" s="92">
        <v>6.5911929999999996</v>
      </c>
      <c r="I134" s="93">
        <v>0.1358</v>
      </c>
      <c r="J134" s="93">
        <v>0.1421</v>
      </c>
      <c r="K134" s="92">
        <v>48.627727</v>
      </c>
      <c r="L134" s="94" t="s">
        <v>53</v>
      </c>
      <c r="M134" s="58" t="s">
        <v>53</v>
      </c>
      <c r="N134" s="61"/>
    </row>
    <row r="135" spans="1:14" ht="16.5" hidden="1" customHeight="1" outlineLevel="1">
      <c r="B135" s="688"/>
      <c r="C135" s="82">
        <v>2</v>
      </c>
      <c r="D135" s="32" t="s">
        <v>62</v>
      </c>
      <c r="E135" s="83">
        <v>4.1429999999999998</v>
      </c>
      <c r="F135" s="83">
        <v>7.0612500000000002</v>
      </c>
      <c r="G135" s="83">
        <v>5.3544660000000004</v>
      </c>
      <c r="H135" s="83">
        <v>6.7432790000000002</v>
      </c>
      <c r="I135" s="84">
        <v>0.13600000000000001</v>
      </c>
      <c r="J135" s="84">
        <v>0.14180000000000001</v>
      </c>
      <c r="K135" s="83">
        <v>49.797249999999998</v>
      </c>
      <c r="L135" s="10" t="s">
        <v>53</v>
      </c>
      <c r="M135" s="11" t="s">
        <v>53</v>
      </c>
      <c r="N135" s="33"/>
    </row>
    <row r="136" spans="1:14" ht="16.5" hidden="1" customHeight="1" outlineLevel="1">
      <c r="B136" s="688"/>
      <c r="C136" s="82">
        <v>3</v>
      </c>
      <c r="D136" s="32" t="s">
        <v>60</v>
      </c>
      <c r="E136" s="83">
        <v>4.1319999999999997</v>
      </c>
      <c r="F136" s="83">
        <v>6.9550000000000001</v>
      </c>
      <c r="G136" s="83">
        <v>5.2879379999999996</v>
      </c>
      <c r="H136" s="83">
        <v>6.6403499999999998</v>
      </c>
      <c r="I136" s="84">
        <v>0.13600000000000001</v>
      </c>
      <c r="J136" s="84">
        <v>0.14169999999999999</v>
      </c>
      <c r="K136" s="83">
        <v>49.082568999999999</v>
      </c>
      <c r="L136" s="10" t="s">
        <v>53</v>
      </c>
      <c r="M136" s="40">
        <v>43.503</v>
      </c>
      <c r="N136" s="34"/>
    </row>
    <row r="137" spans="1:14" ht="16.5" hidden="1" customHeight="1" outlineLevel="1">
      <c r="B137" s="688"/>
      <c r="C137" s="82">
        <v>4</v>
      </c>
      <c r="D137" s="32" t="s">
        <v>63</v>
      </c>
      <c r="E137" s="83">
        <v>4.1429999999999998</v>
      </c>
      <c r="F137" s="83">
        <v>6.9725000000000001</v>
      </c>
      <c r="G137" s="83">
        <v>5.2871680000000003</v>
      </c>
      <c r="H137" s="83">
        <v>6.651408</v>
      </c>
      <c r="I137" s="84">
        <v>0.13600000000000001</v>
      </c>
      <c r="J137" s="84">
        <v>0.14199999999999999</v>
      </c>
      <c r="K137" s="83">
        <v>49.102113000000003</v>
      </c>
      <c r="L137" s="10" t="s">
        <v>53</v>
      </c>
      <c r="M137" s="11" t="s">
        <v>53</v>
      </c>
      <c r="N137" s="34"/>
    </row>
    <row r="138" spans="1:14" ht="17.25" hidden="1" customHeight="1" outlineLevel="1" thickBot="1">
      <c r="B138" s="688"/>
      <c r="C138" s="85">
        <v>5</v>
      </c>
      <c r="D138" s="86" t="s">
        <v>64</v>
      </c>
      <c r="E138" s="88">
        <v>4.1429999999999998</v>
      </c>
      <c r="F138" s="88">
        <v>6.9824999999999999</v>
      </c>
      <c r="G138" s="88">
        <v>5.2947509999999998</v>
      </c>
      <c r="H138" s="88">
        <v>6.6549079999999998</v>
      </c>
      <c r="I138" s="89">
        <v>0.13569999999999999</v>
      </c>
      <c r="J138" s="89">
        <v>0.1426</v>
      </c>
      <c r="K138" s="88">
        <v>48.965637999999998</v>
      </c>
      <c r="L138" s="90" t="s">
        <v>53</v>
      </c>
      <c r="M138" s="14" t="s">
        <v>53</v>
      </c>
      <c r="N138" s="91"/>
    </row>
    <row r="139" spans="1:14" ht="16.5" hidden="1" customHeight="1" outlineLevel="1">
      <c r="B139" s="688"/>
      <c r="C139" s="74">
        <v>6</v>
      </c>
      <c r="D139" s="75" t="s">
        <v>20</v>
      </c>
      <c r="E139" s="92">
        <v>4.1429999999999998</v>
      </c>
      <c r="F139" s="92">
        <v>7.0287499999999996</v>
      </c>
      <c r="G139" s="92">
        <v>5.3298220000000001</v>
      </c>
      <c r="H139" s="92">
        <v>6.7219680000000004</v>
      </c>
      <c r="I139" s="93">
        <v>0.13589999999999999</v>
      </c>
      <c r="J139" s="93">
        <v>0.1419</v>
      </c>
      <c r="K139" s="92">
        <v>49.533121999999999</v>
      </c>
      <c r="L139" s="94" t="s">
        <v>53</v>
      </c>
      <c r="M139" s="58" t="s">
        <v>53</v>
      </c>
      <c r="N139" s="95"/>
    </row>
    <row r="140" spans="1:14" ht="16.5" hidden="1" customHeight="1" outlineLevel="1">
      <c r="B140" s="688"/>
      <c r="C140" s="82">
        <v>7</v>
      </c>
      <c r="D140" s="32" t="s">
        <v>21</v>
      </c>
      <c r="E140" s="83">
        <v>4.1459999999999999</v>
      </c>
      <c r="F140" s="83">
        <v>7.0337500000000004</v>
      </c>
      <c r="G140" s="83">
        <v>5.3297540000000003</v>
      </c>
      <c r="H140" s="83">
        <v>6.7244289999999998</v>
      </c>
      <c r="I140" s="84">
        <v>0.13619999999999999</v>
      </c>
      <c r="J140" s="84">
        <v>0.1416</v>
      </c>
      <c r="K140" s="83">
        <v>49.673375999999998</v>
      </c>
      <c r="L140" s="10" t="s">
        <v>53</v>
      </c>
      <c r="M140" s="11" t="s">
        <v>53</v>
      </c>
      <c r="N140" s="34"/>
    </row>
    <row r="141" spans="1:14" ht="16.5" hidden="1" customHeight="1" outlineLevel="1">
      <c r="B141" s="688"/>
      <c r="C141" s="82">
        <v>8</v>
      </c>
      <c r="D141" s="32" t="s">
        <v>65</v>
      </c>
      <c r="E141" s="83">
        <v>4.1440000000000001</v>
      </c>
      <c r="F141" s="83">
        <v>6.9662499999999996</v>
      </c>
      <c r="G141" s="83">
        <v>5.2811539999999999</v>
      </c>
      <c r="H141" s="83">
        <v>6.6590379999999998</v>
      </c>
      <c r="I141" s="84">
        <v>0.1361</v>
      </c>
      <c r="J141" s="84">
        <v>0.1416</v>
      </c>
      <c r="K141" s="83">
        <v>49.196680999999998</v>
      </c>
      <c r="L141" s="10" t="s">
        <v>53</v>
      </c>
      <c r="M141" s="11">
        <v>39.506</v>
      </c>
      <c r="N141" s="34"/>
    </row>
    <row r="142" spans="1:14" ht="16.5" hidden="1" customHeight="1" outlineLevel="1">
      <c r="B142" s="688"/>
      <c r="C142" s="82">
        <v>9</v>
      </c>
      <c r="D142" s="32" t="s">
        <v>22</v>
      </c>
      <c r="E142" s="83">
        <v>4.1440000000000001</v>
      </c>
      <c r="F142" s="83">
        <v>6.9562499999999998</v>
      </c>
      <c r="G142" s="83">
        <v>5.2735729999999998</v>
      </c>
      <c r="H142" s="83">
        <v>6.6354639999999998</v>
      </c>
      <c r="I142" s="84">
        <v>0.13600000000000001</v>
      </c>
      <c r="J142" s="84">
        <v>0.14180000000000001</v>
      </c>
      <c r="K142" s="83">
        <v>49.05677</v>
      </c>
      <c r="L142" s="10" t="s">
        <v>53</v>
      </c>
      <c r="M142" s="11" t="s">
        <v>53</v>
      </c>
      <c r="N142" s="34"/>
    </row>
    <row r="143" spans="1:14" ht="17.25" hidden="1" customHeight="1" outlineLevel="1" thickBot="1">
      <c r="B143" s="689"/>
      <c r="C143" s="97">
        <v>10</v>
      </c>
      <c r="D143" s="35" t="s">
        <v>23</v>
      </c>
      <c r="E143" s="88">
        <v>4.1449999999999996</v>
      </c>
      <c r="F143" s="88">
        <v>6.9662499999999996</v>
      </c>
      <c r="G143" s="88">
        <v>5.2798800000000004</v>
      </c>
      <c r="H143" s="88">
        <v>6.6371690000000001</v>
      </c>
      <c r="I143" s="89">
        <v>0.13589999999999999</v>
      </c>
      <c r="J143" s="89">
        <v>0.1424</v>
      </c>
      <c r="K143" s="88">
        <v>48.920295000000003</v>
      </c>
      <c r="L143" s="90" t="s">
        <v>53</v>
      </c>
      <c r="M143" s="14" t="s">
        <v>53</v>
      </c>
      <c r="N143" s="91"/>
    </row>
    <row r="144" spans="1:14" s="5" customFormat="1" ht="17.25" hidden="1" thickBot="1">
      <c r="A144" s="67"/>
      <c r="B144" s="687" t="s">
        <v>55</v>
      </c>
      <c r="C144" s="122" t="s">
        <v>73</v>
      </c>
      <c r="D144" s="99" t="s">
        <v>49</v>
      </c>
      <c r="E144" s="100">
        <f t="shared" ref="E144:K144" si="16">AVERAGE(E145:E159)</f>
        <v>4.1433333333333335</v>
      </c>
      <c r="F144" s="100">
        <f t="shared" si="16"/>
        <v>7.0137500000000008</v>
      </c>
      <c r="G144" s="100">
        <f t="shared" si="16"/>
        <v>5.317939533333333</v>
      </c>
      <c r="H144" s="100">
        <f t="shared" si="16"/>
        <v>6.7044350666666661</v>
      </c>
      <c r="I144" s="101">
        <f t="shared" si="16"/>
        <v>0.13604666666666668</v>
      </c>
      <c r="J144" s="101">
        <f t="shared" si="16"/>
        <v>0.14164000000000002</v>
      </c>
      <c r="K144" s="100">
        <f t="shared" si="16"/>
        <v>49.518534799999998</v>
      </c>
      <c r="L144" s="102" t="e">
        <f>AVERAGE(L146:L159)</f>
        <v>#DIV/0!</v>
      </c>
      <c r="M144" s="100">
        <f>AVERAGE(M157:M159)</f>
        <v>43.512</v>
      </c>
      <c r="N144" s="103" t="str">
        <f>IF(N145="","",N145)</f>
        <v/>
      </c>
    </row>
    <row r="145" spans="2:14" ht="16.5" hidden="1" customHeight="1" outlineLevel="1">
      <c r="B145" s="688"/>
      <c r="C145" s="104">
        <v>11</v>
      </c>
      <c r="D145" s="105" t="s">
        <v>24</v>
      </c>
      <c r="E145" s="92">
        <v>4.1390000000000002</v>
      </c>
      <c r="F145" s="92">
        <v>7.0750000000000002</v>
      </c>
      <c r="G145" s="92">
        <v>5.3700770000000002</v>
      </c>
      <c r="H145" s="92">
        <v>6.7640130000000003</v>
      </c>
      <c r="I145" s="93">
        <v>0.1361</v>
      </c>
      <c r="J145" s="93">
        <v>0.14180000000000001</v>
      </c>
      <c r="K145" s="92">
        <v>49.894216999999998</v>
      </c>
      <c r="L145" s="94" t="s">
        <v>53</v>
      </c>
      <c r="M145" s="58" t="s">
        <v>53</v>
      </c>
      <c r="N145" s="95"/>
    </row>
    <row r="146" spans="2:14" ht="16.5" hidden="1" customHeight="1" outlineLevel="1">
      <c r="B146" s="688"/>
      <c r="C146" s="106">
        <v>12</v>
      </c>
      <c r="D146" s="39" t="s">
        <v>25</v>
      </c>
      <c r="E146" s="83">
        <v>4.1500000000000004</v>
      </c>
      <c r="F146" s="83">
        <v>7.1387499999999999</v>
      </c>
      <c r="G146" s="83">
        <v>5.4041030000000001</v>
      </c>
      <c r="H146" s="83">
        <v>6.8369859999999996</v>
      </c>
      <c r="I146" s="84">
        <v>0.1361</v>
      </c>
      <c r="J146" s="84">
        <v>0.14130000000000001</v>
      </c>
      <c r="K146" s="83">
        <v>50.521939000000003</v>
      </c>
      <c r="L146" s="10" t="s">
        <v>53</v>
      </c>
      <c r="M146" s="11" t="s">
        <v>53</v>
      </c>
      <c r="N146" s="34"/>
    </row>
    <row r="147" spans="2:14" ht="16.5" hidden="1" customHeight="1" outlineLevel="1">
      <c r="B147" s="688"/>
      <c r="C147" s="106">
        <v>13</v>
      </c>
      <c r="D147" s="39" t="s">
        <v>26</v>
      </c>
      <c r="E147" s="83">
        <v>4.1459999999999999</v>
      </c>
      <c r="F147" s="83">
        <v>6.9950000000000001</v>
      </c>
      <c r="G147" s="83">
        <v>5.3003910000000003</v>
      </c>
      <c r="H147" s="83">
        <v>6.6935469999999997</v>
      </c>
      <c r="I147" s="84">
        <v>0.1363</v>
      </c>
      <c r="J147" s="84">
        <v>0.1414</v>
      </c>
      <c r="K147" s="83">
        <v>49.469589999999997</v>
      </c>
      <c r="L147" s="10" t="s">
        <v>53</v>
      </c>
      <c r="M147" s="11" t="s">
        <v>53</v>
      </c>
      <c r="N147" s="34"/>
    </row>
    <row r="148" spans="2:14" ht="16.5" hidden="1" customHeight="1" outlineLevel="1">
      <c r="B148" s="688"/>
      <c r="C148" s="106">
        <v>14</v>
      </c>
      <c r="D148" s="39" t="s">
        <v>27</v>
      </c>
      <c r="E148" s="83">
        <v>4.141</v>
      </c>
      <c r="F148" s="83">
        <v>6.94</v>
      </c>
      <c r="G148" s="83">
        <v>5.2650649999999999</v>
      </c>
      <c r="H148" s="83">
        <v>6.6291640000000003</v>
      </c>
      <c r="I148" s="84">
        <v>0.1361</v>
      </c>
      <c r="J148" s="84">
        <v>0.14169999999999999</v>
      </c>
      <c r="K148" s="83">
        <v>48.976711000000002</v>
      </c>
      <c r="L148" s="10" t="s">
        <v>53</v>
      </c>
      <c r="M148" s="11" t="s">
        <v>53</v>
      </c>
      <c r="N148" s="34"/>
    </row>
    <row r="149" spans="2:14" ht="17.25" hidden="1" customHeight="1" outlineLevel="1" thickBot="1">
      <c r="B149" s="688"/>
      <c r="C149" s="107">
        <v>15</v>
      </c>
      <c r="D149" s="108" t="s">
        <v>28</v>
      </c>
      <c r="E149" s="88">
        <v>4.1399999999999997</v>
      </c>
      <c r="F149" s="88">
        <v>6.94625</v>
      </c>
      <c r="G149" s="88">
        <v>5.2710800000000004</v>
      </c>
      <c r="H149" s="88">
        <v>6.6236280000000001</v>
      </c>
      <c r="I149" s="89">
        <v>0.13589999999999999</v>
      </c>
      <c r="J149" s="89">
        <v>0.14219999999999999</v>
      </c>
      <c r="K149" s="88">
        <v>48.848452999999999</v>
      </c>
      <c r="L149" s="90" t="s">
        <v>53</v>
      </c>
      <c r="M149" s="14" t="s">
        <v>53</v>
      </c>
      <c r="N149" s="91"/>
    </row>
    <row r="150" spans="2:14" ht="16.5" hidden="1" customHeight="1" outlineLevel="1">
      <c r="B150" s="688"/>
      <c r="C150" s="109">
        <v>16</v>
      </c>
      <c r="D150" s="110" t="s">
        <v>29</v>
      </c>
      <c r="E150" s="92">
        <v>4.157</v>
      </c>
      <c r="F150" s="92">
        <v>7.1462500000000002</v>
      </c>
      <c r="G150" s="92">
        <v>5.400671</v>
      </c>
      <c r="H150" s="92">
        <v>6.8367620000000002</v>
      </c>
      <c r="I150" s="93">
        <v>0.13600000000000001</v>
      </c>
      <c r="J150" s="93">
        <v>0.1416</v>
      </c>
      <c r="K150" s="92">
        <v>50.467866999999998</v>
      </c>
      <c r="L150" s="94" t="s">
        <v>53</v>
      </c>
      <c r="M150" s="124">
        <v>29.51</v>
      </c>
      <c r="N150" s="95"/>
    </row>
    <row r="151" spans="2:14" ht="16.5" hidden="1" customHeight="1" outlineLevel="1">
      <c r="B151" s="688"/>
      <c r="C151" s="106">
        <v>17</v>
      </c>
      <c r="D151" s="39" t="s">
        <v>30</v>
      </c>
      <c r="E151" s="83">
        <v>4.1260000000000003</v>
      </c>
      <c r="F151" s="83">
        <v>6.9412500000000001</v>
      </c>
      <c r="G151" s="83">
        <v>5.285158</v>
      </c>
      <c r="H151" s="83">
        <v>6.648447</v>
      </c>
      <c r="I151" s="84">
        <v>0.1361</v>
      </c>
      <c r="J151" s="84">
        <v>0.14119999999999999</v>
      </c>
      <c r="K151" s="83">
        <v>49.158994</v>
      </c>
      <c r="L151" s="10" t="s">
        <v>53</v>
      </c>
      <c r="M151" s="11" t="s">
        <v>53</v>
      </c>
      <c r="N151" s="34"/>
    </row>
    <row r="152" spans="2:14" ht="16.5" hidden="1" customHeight="1" outlineLevel="1">
      <c r="B152" s="688"/>
      <c r="C152" s="106">
        <v>18</v>
      </c>
      <c r="D152" s="39" t="s">
        <v>31</v>
      </c>
      <c r="E152" s="83">
        <v>4.165</v>
      </c>
      <c r="F152" s="83">
        <v>6.9887499999999996</v>
      </c>
      <c r="G152" s="83">
        <v>5.2714980000000002</v>
      </c>
      <c r="H152" s="83">
        <v>6.6960439999999997</v>
      </c>
      <c r="I152" s="84">
        <v>0.1361</v>
      </c>
      <c r="J152" s="84">
        <v>0.14119999999999999</v>
      </c>
      <c r="K152" s="83">
        <v>49.495396999999997</v>
      </c>
      <c r="L152" s="10" t="s">
        <v>53</v>
      </c>
      <c r="M152" s="11" t="s">
        <v>53</v>
      </c>
      <c r="N152" s="34"/>
    </row>
    <row r="153" spans="2:14" ht="16.5" hidden="1" customHeight="1" outlineLevel="1">
      <c r="B153" s="688"/>
      <c r="C153" s="106">
        <v>19</v>
      </c>
      <c r="D153" s="39" t="s">
        <v>32</v>
      </c>
      <c r="E153" s="83">
        <v>4.1319999999999997</v>
      </c>
      <c r="F153" s="83">
        <v>6.96</v>
      </c>
      <c r="G153" s="83">
        <v>5.2917389999999997</v>
      </c>
      <c r="H153" s="83">
        <v>6.6543099999999997</v>
      </c>
      <c r="I153" s="84">
        <v>0.1361</v>
      </c>
      <c r="J153" s="84">
        <v>0.1416</v>
      </c>
      <c r="K153" s="83">
        <v>49.152541999999997</v>
      </c>
      <c r="L153" s="10" t="s">
        <v>53</v>
      </c>
      <c r="M153" s="11" t="s">
        <v>53</v>
      </c>
      <c r="N153" s="34"/>
    </row>
    <row r="154" spans="2:14" ht="17.25" hidden="1" customHeight="1" outlineLevel="1" thickBot="1">
      <c r="B154" s="688"/>
      <c r="C154" s="107">
        <v>20</v>
      </c>
      <c r="D154" s="108" t="s">
        <v>33</v>
      </c>
      <c r="E154" s="88">
        <v>4.1390000000000002</v>
      </c>
      <c r="F154" s="88">
        <v>6.9237500000000001</v>
      </c>
      <c r="G154" s="88">
        <v>5.2552750000000001</v>
      </c>
      <c r="H154" s="88">
        <v>6.594983</v>
      </c>
      <c r="I154" s="89">
        <v>0.13589999999999999</v>
      </c>
      <c r="J154" s="89">
        <v>0.1421</v>
      </c>
      <c r="K154" s="88">
        <v>48.724490000000003</v>
      </c>
      <c r="L154" s="90" t="s">
        <v>53</v>
      </c>
      <c r="M154" s="14" t="s">
        <v>53</v>
      </c>
      <c r="N154" s="91"/>
    </row>
    <row r="155" spans="2:14" ht="16.5" hidden="1" customHeight="1" outlineLevel="1">
      <c r="B155" s="688"/>
      <c r="C155" s="109">
        <v>21</v>
      </c>
      <c r="D155" s="110" t="s">
        <v>34</v>
      </c>
      <c r="E155" s="92">
        <v>4.1669999999999998</v>
      </c>
      <c r="F155" s="92">
        <v>7.18</v>
      </c>
      <c r="G155" s="92">
        <v>5.4131549999999997</v>
      </c>
      <c r="H155" s="92">
        <v>6.8592959999999996</v>
      </c>
      <c r="I155" s="93">
        <v>0.13589999999999999</v>
      </c>
      <c r="J155" s="93">
        <v>0.14180000000000001</v>
      </c>
      <c r="K155" s="92">
        <v>50.634697000000003</v>
      </c>
      <c r="L155" s="94" t="s">
        <v>53</v>
      </c>
      <c r="M155" s="124">
        <v>19.111999999999998</v>
      </c>
      <c r="N155" s="95"/>
    </row>
    <row r="156" spans="2:14" ht="16.5" hidden="1" customHeight="1" outlineLevel="1">
      <c r="B156" s="688"/>
      <c r="C156" s="106">
        <v>22</v>
      </c>
      <c r="D156" s="39" t="s">
        <v>35</v>
      </c>
      <c r="E156" s="83">
        <v>4.1449999999999996</v>
      </c>
      <c r="F156" s="83">
        <v>7.0549999999999997</v>
      </c>
      <c r="G156" s="83">
        <v>5.3471450000000003</v>
      </c>
      <c r="H156" s="83">
        <v>6.7458369999999999</v>
      </c>
      <c r="I156" s="84">
        <v>0.1361</v>
      </c>
      <c r="J156" s="84">
        <v>0.1414</v>
      </c>
      <c r="K156" s="83">
        <v>49.893917999999999</v>
      </c>
      <c r="L156" s="10" t="s">
        <v>53</v>
      </c>
      <c r="M156" s="40">
        <v>33.262999999999998</v>
      </c>
      <c r="N156" s="34"/>
    </row>
    <row r="157" spans="2:14" ht="16.5" hidden="1" customHeight="1" outlineLevel="1">
      <c r="B157" s="688"/>
      <c r="C157" s="106">
        <v>23</v>
      </c>
      <c r="D157" s="39" t="s">
        <v>36</v>
      </c>
      <c r="E157" s="83">
        <v>4.125</v>
      </c>
      <c r="F157" s="83">
        <v>6.9450000000000003</v>
      </c>
      <c r="G157" s="83">
        <v>5.2892950000000001</v>
      </c>
      <c r="H157" s="83">
        <v>6.6454899999999997</v>
      </c>
      <c r="I157" s="84">
        <v>0.13619999999999999</v>
      </c>
      <c r="J157" s="84">
        <v>0.1414</v>
      </c>
      <c r="K157" s="83">
        <v>49.115983</v>
      </c>
      <c r="L157" s="10" t="s">
        <v>53</v>
      </c>
      <c r="M157" s="11">
        <v>43.512</v>
      </c>
      <c r="N157" s="34"/>
    </row>
    <row r="158" spans="2:14" ht="16.5" hidden="1" customHeight="1" outlineLevel="1">
      <c r="B158" s="688"/>
      <c r="C158" s="106">
        <v>24</v>
      </c>
      <c r="D158" s="39" t="s">
        <v>37</v>
      </c>
      <c r="E158" s="83">
        <v>4.1349999999999998</v>
      </c>
      <c r="F158" s="83">
        <v>6.9524999999999997</v>
      </c>
      <c r="G158" s="83">
        <v>5.2822019999999998</v>
      </c>
      <c r="H158" s="83">
        <v>6.646528</v>
      </c>
      <c r="I158" s="84">
        <v>0.13600000000000001</v>
      </c>
      <c r="J158" s="84">
        <v>0.14169999999999999</v>
      </c>
      <c r="K158" s="83">
        <v>49.064926</v>
      </c>
      <c r="L158" s="10" t="s">
        <v>53</v>
      </c>
      <c r="M158" s="11" t="s">
        <v>53</v>
      </c>
      <c r="N158" s="34"/>
    </row>
    <row r="159" spans="2:14" ht="17.25" hidden="1" customHeight="1" outlineLevel="1" thickBot="1">
      <c r="B159" s="689"/>
      <c r="C159" s="107">
        <v>25</v>
      </c>
      <c r="D159" s="108" t="s">
        <v>38</v>
      </c>
      <c r="E159" s="88">
        <v>4.1429999999999998</v>
      </c>
      <c r="F159" s="88">
        <v>7.0187499999999998</v>
      </c>
      <c r="G159" s="88">
        <v>5.3222389999999997</v>
      </c>
      <c r="H159" s="88">
        <v>6.6914910000000001</v>
      </c>
      <c r="I159" s="89">
        <v>0.1358</v>
      </c>
      <c r="J159" s="89">
        <v>0.14219999999999999</v>
      </c>
      <c r="K159" s="88">
        <v>49.358297999999998</v>
      </c>
      <c r="L159" s="90" t="s">
        <v>53</v>
      </c>
      <c r="M159" s="14" t="s">
        <v>53</v>
      </c>
      <c r="N159" s="91"/>
    </row>
    <row r="160" spans="2:14" s="41" customFormat="1" ht="17.25" hidden="1" collapsed="1" thickBot="1">
      <c r="B160" s="112"/>
      <c r="C160" s="690" t="s">
        <v>39</v>
      </c>
      <c r="D160" s="691"/>
      <c r="E160" s="113">
        <f t="shared" ref="E160:L160" si="17">1-(E133/E144)</f>
        <v>-4.2638777152026464E-4</v>
      </c>
      <c r="F160" s="113">
        <f t="shared" si="17"/>
        <v>4.3486009623954214E-3</v>
      </c>
      <c r="G160" s="113">
        <f t="shared" si="17"/>
        <v>4.7488944120248622E-3</v>
      </c>
      <c r="H160" s="113">
        <f t="shared" si="17"/>
        <v>5.7446252046130519E-3</v>
      </c>
      <c r="I160" s="113">
        <f t="shared" si="17"/>
        <v>6.3703631106981629E-4</v>
      </c>
      <c r="J160" s="113">
        <f t="shared" si="17"/>
        <v>-2.1886472747809638E-3</v>
      </c>
      <c r="K160" s="113">
        <f t="shared" si="17"/>
        <v>6.522420368544446E-3</v>
      </c>
      <c r="L160" s="114" t="e">
        <f t="shared" si="17"/>
        <v>#DIV/0!</v>
      </c>
      <c r="M160" s="113">
        <f>1-(M133/M144)</f>
        <v>2.0683949255373424E-4</v>
      </c>
      <c r="N160" s="115"/>
    </row>
    <row r="161" spans="1:14" hidden="1"/>
    <row r="162" spans="1:14" s="5" customFormat="1" hidden="1">
      <c r="A162" s="1"/>
      <c r="B162" s="5" t="s">
        <v>169</v>
      </c>
      <c r="C162" s="64"/>
      <c r="E162" s="17"/>
      <c r="F162" s="17"/>
      <c r="G162" s="17"/>
      <c r="H162" s="17"/>
      <c r="I162" s="18"/>
      <c r="J162" s="18"/>
      <c r="K162" s="17"/>
      <c r="L162" s="21"/>
      <c r="M162" s="6"/>
    </row>
    <row r="163" spans="1:14" hidden="1">
      <c r="B163" s="65" t="s">
        <v>68</v>
      </c>
      <c r="L163" s="22"/>
      <c r="M163" s="3"/>
      <c r="N163" s="4"/>
    </row>
    <row r="164" spans="1:14" s="5" customFormat="1" ht="33.75" hidden="1" thickBot="1">
      <c r="A164" s="67"/>
      <c r="B164" s="7" t="s">
        <v>0</v>
      </c>
      <c r="C164" s="116" t="s">
        <v>11</v>
      </c>
      <c r="D164" s="8" t="s">
        <v>1</v>
      </c>
      <c r="E164" s="117" t="s">
        <v>2</v>
      </c>
      <c r="F164" s="117" t="s">
        <v>3</v>
      </c>
      <c r="G164" s="117" t="s">
        <v>4</v>
      </c>
      <c r="H164" s="117" t="s">
        <v>16</v>
      </c>
      <c r="I164" s="118" t="s">
        <v>6</v>
      </c>
      <c r="J164" s="119" t="s">
        <v>7</v>
      </c>
      <c r="K164" s="120" t="s">
        <v>8</v>
      </c>
      <c r="L164" s="30" t="s">
        <v>9</v>
      </c>
      <c r="M164" s="30" t="s">
        <v>18</v>
      </c>
      <c r="N164" s="121" t="s">
        <v>19</v>
      </c>
    </row>
    <row r="165" spans="1:14" s="5" customFormat="1" ht="17.25" hidden="1" thickBot="1">
      <c r="A165" s="67"/>
      <c r="B165" s="687" t="s">
        <v>74</v>
      </c>
      <c r="C165" s="122" t="s">
        <v>75</v>
      </c>
      <c r="D165" s="69" t="s">
        <v>49</v>
      </c>
      <c r="E165" s="70">
        <f t="shared" ref="E165:L165" si="18">AVERAGE(E166:E175)</f>
        <v>4.1393000000000004</v>
      </c>
      <c r="F165" s="70">
        <f t="shared" si="18"/>
        <v>7.2523750000000007</v>
      </c>
      <c r="G165" s="70">
        <f t="shared" si="18"/>
        <v>5.5043071000000001</v>
      </c>
      <c r="H165" s="70">
        <f t="shared" si="18"/>
        <v>6.8665909999999997</v>
      </c>
      <c r="I165" s="71">
        <f t="shared" si="18"/>
        <v>0.13474</v>
      </c>
      <c r="J165" s="71">
        <f t="shared" si="18"/>
        <v>0.14470999999999998</v>
      </c>
      <c r="K165" s="70">
        <f t="shared" si="18"/>
        <v>50.116623300000001</v>
      </c>
      <c r="L165" s="72" t="e">
        <f t="shared" si="18"/>
        <v>#DIV/0!</v>
      </c>
      <c r="M165" s="70">
        <f>AVERAGE(M166:M175)</f>
        <v>36.573333333333331</v>
      </c>
      <c r="N165" s="73" t="str">
        <f>IF(N166="","",N166)</f>
        <v/>
      </c>
    </row>
    <row r="166" spans="1:14" ht="16.5" hidden="1" customHeight="1" outlineLevel="1">
      <c r="B166" s="688"/>
      <c r="C166" s="74">
        <v>1</v>
      </c>
      <c r="D166" s="75" t="s">
        <v>61</v>
      </c>
      <c r="E166" s="92">
        <v>4.1390000000000002</v>
      </c>
      <c r="F166" s="92">
        <v>7.3</v>
      </c>
      <c r="G166" s="92">
        <v>5.5408569999999999</v>
      </c>
      <c r="H166" s="92">
        <v>6.8912079999999998</v>
      </c>
      <c r="I166" s="93">
        <v>0.1346</v>
      </c>
      <c r="J166" s="93">
        <v>0.14549999999999999</v>
      </c>
      <c r="K166" s="92">
        <v>50.171821000000001</v>
      </c>
      <c r="L166" s="94" t="s">
        <v>53</v>
      </c>
      <c r="M166" s="58">
        <v>34.514000000000003</v>
      </c>
      <c r="N166" s="61"/>
    </row>
    <row r="167" spans="1:14" ht="16.5" hidden="1" customHeight="1" outlineLevel="1">
      <c r="B167" s="688"/>
      <c r="C167" s="82">
        <v>2</v>
      </c>
      <c r="D167" s="32" t="s">
        <v>62</v>
      </c>
      <c r="E167" s="83">
        <v>4.1390000000000002</v>
      </c>
      <c r="F167" s="83">
        <v>7.3025000000000002</v>
      </c>
      <c r="G167" s="83">
        <v>5.5427549999999997</v>
      </c>
      <c r="H167" s="83">
        <v>6.8951209999999996</v>
      </c>
      <c r="I167" s="84">
        <v>0.1343</v>
      </c>
      <c r="J167" s="84">
        <v>0.1454</v>
      </c>
      <c r="K167" s="83">
        <v>50.223520999999998</v>
      </c>
      <c r="L167" s="10"/>
      <c r="M167" s="11">
        <v>43.014000000000003</v>
      </c>
      <c r="N167" s="33"/>
    </row>
    <row r="168" spans="1:14" ht="16.5" hidden="1" customHeight="1" outlineLevel="1">
      <c r="B168" s="688"/>
      <c r="C168" s="82">
        <v>3</v>
      </c>
      <c r="D168" s="32" t="s">
        <v>60</v>
      </c>
      <c r="E168" s="127">
        <v>4.1420000000000003</v>
      </c>
      <c r="F168" s="127">
        <v>7.2525000000000004</v>
      </c>
      <c r="G168" s="127">
        <v>5.5008160000000004</v>
      </c>
      <c r="H168" s="127">
        <v>6.8717550000000003</v>
      </c>
      <c r="I168" s="84">
        <v>0.13450000000000001</v>
      </c>
      <c r="J168" s="84">
        <v>0.14499999999999999</v>
      </c>
      <c r="K168" s="83">
        <v>50.017240999999999</v>
      </c>
      <c r="L168" s="10"/>
      <c r="M168" s="11">
        <v>39.515000000000001</v>
      </c>
      <c r="N168" s="34"/>
    </row>
    <row r="169" spans="1:14" ht="16.5" hidden="1" customHeight="1" outlineLevel="1">
      <c r="B169" s="688"/>
      <c r="C169" s="82">
        <v>4</v>
      </c>
      <c r="D169" s="32" t="s">
        <v>63</v>
      </c>
      <c r="E169" s="127">
        <v>4.141</v>
      </c>
      <c r="F169" s="127">
        <v>7.2424999999999997</v>
      </c>
      <c r="G169" s="127">
        <v>5.4945579999999996</v>
      </c>
      <c r="H169" s="127">
        <v>6.8650989999999998</v>
      </c>
      <c r="I169" s="84">
        <v>0.13489999999999999</v>
      </c>
      <c r="J169" s="84">
        <v>0.14410000000000001</v>
      </c>
      <c r="K169" s="83">
        <v>50.260235999999999</v>
      </c>
      <c r="L169" s="10"/>
      <c r="M169" s="11">
        <v>32.765000000000001</v>
      </c>
      <c r="N169" s="34"/>
    </row>
    <row r="170" spans="1:14" ht="17.25" hidden="1" customHeight="1" outlineLevel="1" thickBot="1">
      <c r="B170" s="688"/>
      <c r="C170" s="85">
        <v>5</v>
      </c>
      <c r="D170" s="86" t="s">
        <v>64</v>
      </c>
      <c r="E170" s="128">
        <v>4.1360000000000001</v>
      </c>
      <c r="F170" s="128">
        <v>7.2262500000000003</v>
      </c>
      <c r="G170" s="128">
        <v>5.4888579999999996</v>
      </c>
      <c r="H170" s="128">
        <v>6.8620080000000003</v>
      </c>
      <c r="I170" s="89">
        <v>0.13519999999999999</v>
      </c>
      <c r="J170" s="89">
        <v>0.14360000000000001</v>
      </c>
      <c r="K170" s="88">
        <v>50.322074999999998</v>
      </c>
      <c r="L170" s="90"/>
      <c r="M170" s="14">
        <v>20.315000000000001</v>
      </c>
      <c r="N170" s="91"/>
    </row>
    <row r="171" spans="1:14" ht="16.5" hidden="1" customHeight="1" outlineLevel="1">
      <c r="B171" s="688"/>
      <c r="C171" s="74">
        <v>6</v>
      </c>
      <c r="D171" s="75" t="s">
        <v>20</v>
      </c>
      <c r="E171" s="129">
        <v>4.1360000000000001</v>
      </c>
      <c r="F171" s="129">
        <v>7.2725</v>
      </c>
      <c r="G171" s="129">
        <v>5.5239880000000001</v>
      </c>
      <c r="H171" s="129">
        <v>6.8668469999999999</v>
      </c>
      <c r="I171" s="93">
        <v>0.13469999999999999</v>
      </c>
      <c r="J171" s="93">
        <v>0.1454</v>
      </c>
      <c r="K171" s="92">
        <v>50.017194000000003</v>
      </c>
      <c r="L171" s="94"/>
      <c r="M171" s="58">
        <v>33.265999999999998</v>
      </c>
      <c r="N171" s="34"/>
    </row>
    <row r="172" spans="1:14" ht="16.5" hidden="1" customHeight="1" outlineLevel="1">
      <c r="B172" s="688"/>
      <c r="C172" s="82">
        <v>7</v>
      </c>
      <c r="D172" s="32" t="s">
        <v>21</v>
      </c>
      <c r="E172" s="127">
        <v>4.141</v>
      </c>
      <c r="F172" s="127">
        <v>7.2874999999999996</v>
      </c>
      <c r="G172" s="127">
        <v>5.5286980000000003</v>
      </c>
      <c r="H172" s="127">
        <v>6.8891640000000001</v>
      </c>
      <c r="I172" s="84">
        <v>0.13439999999999999</v>
      </c>
      <c r="J172" s="84">
        <v>0.1454</v>
      </c>
      <c r="K172" s="83">
        <v>50.120358000000003</v>
      </c>
      <c r="L172" s="10"/>
      <c r="M172" s="11">
        <v>38.015999999999998</v>
      </c>
      <c r="N172" s="34"/>
    </row>
    <row r="173" spans="1:14" ht="16.5" hidden="1" customHeight="1" outlineLevel="1">
      <c r="B173" s="688"/>
      <c r="C173" s="82">
        <v>8</v>
      </c>
      <c r="D173" s="32" t="s">
        <v>65</v>
      </c>
      <c r="E173" s="127">
        <v>4.1429999999999998</v>
      </c>
      <c r="F173" s="127">
        <v>7.2687499999999998</v>
      </c>
      <c r="G173" s="127">
        <v>5.5118109999999998</v>
      </c>
      <c r="H173" s="127">
        <v>6.8841799999999997</v>
      </c>
      <c r="I173" s="84">
        <v>0.1346</v>
      </c>
      <c r="J173" s="84">
        <v>0.14499999999999999</v>
      </c>
      <c r="K173" s="83">
        <v>50.129309999999997</v>
      </c>
      <c r="L173" s="10"/>
      <c r="M173" s="11" t="s">
        <v>53</v>
      </c>
      <c r="N173" s="34"/>
    </row>
    <row r="174" spans="1:14" ht="16.5" hidden="1" customHeight="1" outlineLevel="1">
      <c r="B174" s="688"/>
      <c r="C174" s="82">
        <v>9</v>
      </c>
      <c r="D174" s="32" t="s">
        <v>22</v>
      </c>
      <c r="E174" s="83">
        <v>4.1369999999999996</v>
      </c>
      <c r="F174" s="83">
        <v>7.2012499999999999</v>
      </c>
      <c r="G174" s="83">
        <v>5.4685459999999999</v>
      </c>
      <c r="H174" s="83">
        <v>6.8332439999999997</v>
      </c>
      <c r="I174" s="84">
        <v>0.13500000000000001</v>
      </c>
      <c r="J174" s="84">
        <v>0.14419999999999999</v>
      </c>
      <c r="K174" s="83">
        <v>49.939320000000002</v>
      </c>
      <c r="L174" s="10"/>
      <c r="M174" s="11">
        <v>45.503</v>
      </c>
      <c r="N174" s="34"/>
    </row>
    <row r="175" spans="1:14" ht="17.25" hidden="1" customHeight="1" outlineLevel="1" thickBot="1">
      <c r="B175" s="689"/>
      <c r="C175" s="97">
        <v>10</v>
      </c>
      <c r="D175" s="35" t="s">
        <v>23</v>
      </c>
      <c r="E175" s="130">
        <v>4.1390000000000002</v>
      </c>
      <c r="F175" s="130">
        <v>7.17</v>
      </c>
      <c r="G175" s="130">
        <v>5.4421840000000001</v>
      </c>
      <c r="H175" s="130">
        <v>6.8072840000000001</v>
      </c>
      <c r="I175" s="131">
        <v>0.13519999999999999</v>
      </c>
      <c r="J175" s="131">
        <v>0.14349999999999999</v>
      </c>
      <c r="K175" s="130">
        <v>49.965156999999998</v>
      </c>
      <c r="L175" s="36"/>
      <c r="M175" s="37">
        <v>42.252000000000002</v>
      </c>
      <c r="N175" s="38"/>
    </row>
    <row r="176" spans="1:14" s="5" customFormat="1" ht="17.25" hidden="1" collapsed="1" thickBot="1">
      <c r="A176" s="67"/>
      <c r="B176" s="687" t="s">
        <v>76</v>
      </c>
      <c r="C176" s="122" t="s">
        <v>69</v>
      </c>
      <c r="D176" s="99" t="s">
        <v>49</v>
      </c>
      <c r="E176" s="100">
        <f t="shared" ref="E176:K176" si="19">AVERAGE(E177:E191)</f>
        <v>4.1209999999999996</v>
      </c>
      <c r="F176" s="100">
        <f t="shared" si="19"/>
        <v>7.1685833333333333</v>
      </c>
      <c r="G176" s="100">
        <f t="shared" si="19"/>
        <v>5.4648839999999996</v>
      </c>
      <c r="H176" s="100">
        <f t="shared" si="19"/>
        <v>6.7868155333333329</v>
      </c>
      <c r="I176" s="101">
        <f t="shared" si="19"/>
        <v>0.1348</v>
      </c>
      <c r="J176" s="101">
        <f t="shared" si="19"/>
        <v>0.14474000000000001</v>
      </c>
      <c r="K176" s="100">
        <f t="shared" si="19"/>
        <v>49.527278733333326</v>
      </c>
      <c r="L176" s="102" t="e">
        <f>AVERAGE(L178:L191)</f>
        <v>#DIV/0!</v>
      </c>
      <c r="M176" s="100">
        <f>AVERAGE(M177:M191)</f>
        <v>33.270923076923076</v>
      </c>
      <c r="N176" s="103" t="str">
        <f>IF(N177="","",N177)</f>
        <v/>
      </c>
    </row>
    <row r="177" spans="2:14" ht="16.5" hidden="1" customHeight="1" outlineLevel="1">
      <c r="B177" s="688"/>
      <c r="C177" s="104">
        <v>11</v>
      </c>
      <c r="D177" s="105" t="s">
        <v>24</v>
      </c>
      <c r="E177" s="77">
        <v>4.125</v>
      </c>
      <c r="F177" s="77">
        <v>7.21</v>
      </c>
      <c r="G177" s="77">
        <v>5.4911190000000003</v>
      </c>
      <c r="H177" s="77">
        <v>6.8076480000000004</v>
      </c>
      <c r="I177" s="78">
        <v>0.13469999999999999</v>
      </c>
      <c r="J177" s="78">
        <v>0.1454</v>
      </c>
      <c r="K177" s="77">
        <v>49.587344999999999</v>
      </c>
      <c r="L177" s="79"/>
      <c r="M177" s="80">
        <v>17.603000000000002</v>
      </c>
      <c r="N177" s="132"/>
    </row>
    <row r="178" spans="2:14" ht="16.5" hidden="1" customHeight="1" outlineLevel="1">
      <c r="B178" s="688"/>
      <c r="C178" s="106">
        <v>12</v>
      </c>
      <c r="D178" s="39" t="s">
        <v>25</v>
      </c>
      <c r="E178" s="83">
        <v>4.1269999999999998</v>
      </c>
      <c r="F178" s="83">
        <v>7.2462499999999999</v>
      </c>
      <c r="G178" s="83">
        <v>5.5160520000000002</v>
      </c>
      <c r="H178" s="83">
        <v>6.8501469999999998</v>
      </c>
      <c r="I178" s="84">
        <v>0.13450000000000001</v>
      </c>
      <c r="J178" s="84">
        <v>0.1454</v>
      </c>
      <c r="K178" s="83">
        <v>49.836657000000002</v>
      </c>
      <c r="L178" s="10"/>
      <c r="M178" s="11">
        <v>48.003999999999998</v>
      </c>
      <c r="N178" s="34"/>
    </row>
    <row r="179" spans="2:14" ht="16.5" hidden="1" customHeight="1" outlineLevel="1">
      <c r="B179" s="688"/>
      <c r="C179" s="106">
        <v>13</v>
      </c>
      <c r="D179" s="39" t="s">
        <v>26</v>
      </c>
      <c r="E179" s="83">
        <v>4.1369999999999996</v>
      </c>
      <c r="F179" s="83">
        <v>7.1812500000000004</v>
      </c>
      <c r="G179" s="83">
        <v>5.4533579999999997</v>
      </c>
      <c r="H179" s="83">
        <v>6.7951860000000002</v>
      </c>
      <c r="I179" s="84">
        <v>0.1348</v>
      </c>
      <c r="J179" s="84">
        <v>0.14510000000000001</v>
      </c>
      <c r="K179" s="83">
        <v>49.491729999999997</v>
      </c>
      <c r="L179" s="10"/>
      <c r="M179" s="11">
        <v>41.253999999999998</v>
      </c>
      <c r="N179" s="34"/>
    </row>
    <row r="180" spans="2:14" ht="16.5" hidden="1" customHeight="1" outlineLevel="1">
      <c r="B180" s="688"/>
      <c r="C180" s="106">
        <v>14</v>
      </c>
      <c r="D180" s="39" t="s">
        <v>27</v>
      </c>
      <c r="E180" s="83">
        <v>4.1280000000000001</v>
      </c>
      <c r="F180" s="83">
        <v>7.1637500000000003</v>
      </c>
      <c r="G180" s="83">
        <v>5.4519299999999999</v>
      </c>
      <c r="H180" s="83">
        <v>6.801895</v>
      </c>
      <c r="I180" s="84">
        <v>0.1351</v>
      </c>
      <c r="J180" s="84">
        <v>0.14410000000000001</v>
      </c>
      <c r="K180" s="83">
        <v>49.713740000000001</v>
      </c>
      <c r="L180" s="10"/>
      <c r="M180" s="11">
        <v>40.253999999999998</v>
      </c>
      <c r="N180" s="34"/>
    </row>
    <row r="181" spans="2:14" ht="17.25" hidden="1" customHeight="1" outlineLevel="1" thickBot="1">
      <c r="B181" s="688"/>
      <c r="C181" s="107">
        <v>15</v>
      </c>
      <c r="D181" s="108" t="s">
        <v>28</v>
      </c>
      <c r="E181" s="88">
        <v>4.1239999999999997</v>
      </c>
      <c r="F181" s="88">
        <v>7.1150000000000002</v>
      </c>
      <c r="G181" s="88">
        <v>5.4200809999999997</v>
      </c>
      <c r="H181" s="88">
        <v>6.760154</v>
      </c>
      <c r="I181" s="89">
        <v>0.13539999999999999</v>
      </c>
      <c r="J181" s="89">
        <v>0.1434</v>
      </c>
      <c r="K181" s="88">
        <v>49.616456999999997</v>
      </c>
      <c r="L181" s="90"/>
      <c r="M181" s="14">
        <v>33.503999999999998</v>
      </c>
      <c r="N181" s="91"/>
    </row>
    <row r="182" spans="2:14" ht="16.5" hidden="1" customHeight="1" outlineLevel="1">
      <c r="B182" s="688"/>
      <c r="C182" s="109">
        <v>16</v>
      </c>
      <c r="D182" s="110" t="s">
        <v>29</v>
      </c>
      <c r="E182" s="92">
        <v>4.1159999999999997</v>
      </c>
      <c r="F182" s="92">
        <v>7.2</v>
      </c>
      <c r="G182" s="92">
        <v>5.4954929999999997</v>
      </c>
      <c r="H182" s="92">
        <v>6.797879</v>
      </c>
      <c r="I182" s="93">
        <v>0.13469999999999999</v>
      </c>
      <c r="J182" s="93">
        <v>0.14549999999999999</v>
      </c>
      <c r="K182" s="92">
        <v>49.484535999999999</v>
      </c>
      <c r="L182" s="94"/>
      <c r="M182" s="58">
        <v>22.504999999999999</v>
      </c>
      <c r="N182" s="95"/>
    </row>
    <row r="183" spans="2:14" ht="16.5" hidden="1" customHeight="1" outlineLevel="1">
      <c r="B183" s="688"/>
      <c r="C183" s="106">
        <v>17</v>
      </c>
      <c r="D183" s="39" t="s">
        <v>30</v>
      </c>
      <c r="E183" s="83">
        <v>4.1219999999999999</v>
      </c>
      <c r="F183" s="83">
        <v>7.2012499999999999</v>
      </c>
      <c r="G183" s="83">
        <v>5.4884459999999997</v>
      </c>
      <c r="H183" s="83">
        <v>6.802327</v>
      </c>
      <c r="I183" s="84">
        <v>0.13439999999999999</v>
      </c>
      <c r="J183" s="84">
        <v>0.1454</v>
      </c>
      <c r="K183" s="83">
        <v>49.527166000000001</v>
      </c>
      <c r="L183" s="10"/>
      <c r="M183" s="11">
        <v>41.756</v>
      </c>
      <c r="N183" s="34"/>
    </row>
    <row r="184" spans="2:14" ht="16.5" hidden="1" customHeight="1" outlineLevel="1">
      <c r="B184" s="688"/>
      <c r="C184" s="106">
        <v>18</v>
      </c>
      <c r="D184" s="39" t="s">
        <v>31</v>
      </c>
      <c r="E184" s="83">
        <v>4.1180000000000003</v>
      </c>
      <c r="F184" s="83">
        <v>7.2074999999999996</v>
      </c>
      <c r="G184" s="83">
        <v>5.498545</v>
      </c>
      <c r="H184" s="83">
        <v>6.8172740000000003</v>
      </c>
      <c r="I184" s="84">
        <v>0.1346</v>
      </c>
      <c r="J184" s="84">
        <v>0.14499999999999999</v>
      </c>
      <c r="K184" s="83">
        <v>49.706896999999998</v>
      </c>
      <c r="L184" s="10"/>
      <c r="M184" s="11">
        <v>17.306000000000001</v>
      </c>
      <c r="N184" s="34"/>
    </row>
    <row r="185" spans="2:14" ht="16.5" hidden="1" customHeight="1" outlineLevel="1">
      <c r="B185" s="688"/>
      <c r="C185" s="106">
        <v>19</v>
      </c>
      <c r="D185" s="39" t="s">
        <v>32</v>
      </c>
      <c r="E185" s="83">
        <v>4.117</v>
      </c>
      <c r="F185" s="83">
        <v>7.1550000000000002</v>
      </c>
      <c r="G185" s="83">
        <v>5.4598190000000004</v>
      </c>
      <c r="H185" s="83">
        <v>6.7766270000000004</v>
      </c>
      <c r="I185" s="84">
        <v>0.1351</v>
      </c>
      <c r="J185" s="84">
        <v>0.14419999999999999</v>
      </c>
      <c r="K185" s="83">
        <v>49.618585000000003</v>
      </c>
      <c r="L185" s="10"/>
      <c r="M185" s="11">
        <v>34.756</v>
      </c>
      <c r="N185" s="34"/>
    </row>
    <row r="186" spans="2:14" ht="17.25" hidden="1" customHeight="1" outlineLevel="1" thickBot="1">
      <c r="B186" s="688"/>
      <c r="C186" s="107">
        <v>20</v>
      </c>
      <c r="D186" s="108" t="s">
        <v>33</v>
      </c>
      <c r="E186" s="88">
        <v>4.125</v>
      </c>
      <c r="F186" s="88">
        <v>7.0975000000000001</v>
      </c>
      <c r="G186" s="88">
        <v>5.4054390000000003</v>
      </c>
      <c r="H186" s="88">
        <v>6.7441339999999999</v>
      </c>
      <c r="I186" s="89">
        <v>0.1353</v>
      </c>
      <c r="J186" s="89">
        <v>0.1434</v>
      </c>
      <c r="K186" s="88">
        <v>49.494421000000003</v>
      </c>
      <c r="L186" s="90"/>
      <c r="M186" s="14">
        <v>35.256999999999998</v>
      </c>
      <c r="N186" s="91"/>
    </row>
    <row r="187" spans="2:14" ht="16.5" hidden="1" customHeight="1" outlineLevel="1">
      <c r="B187" s="688"/>
      <c r="C187" s="109">
        <v>21</v>
      </c>
      <c r="D187" s="110" t="s">
        <v>34</v>
      </c>
      <c r="E187" s="92">
        <v>4.109</v>
      </c>
      <c r="F187" s="92">
        <v>7.1749999999999998</v>
      </c>
      <c r="G187" s="92">
        <v>5.485741</v>
      </c>
      <c r="H187" s="92">
        <v>6.7778669999999996</v>
      </c>
      <c r="I187" s="93">
        <v>0.13450000000000001</v>
      </c>
      <c r="J187" s="93">
        <v>0.14549999999999999</v>
      </c>
      <c r="K187" s="92">
        <v>49.312714999999997</v>
      </c>
      <c r="L187" s="94"/>
      <c r="M187" s="58">
        <v>40.256999999999998</v>
      </c>
      <c r="N187" s="95"/>
    </row>
    <row r="188" spans="2:14" ht="16.5" hidden="1" customHeight="1" outlineLevel="1">
      <c r="B188" s="688"/>
      <c r="C188" s="106">
        <v>22</v>
      </c>
      <c r="D188" s="39" t="s">
        <v>35</v>
      </c>
      <c r="E188" s="83">
        <v>4.1139999999999999</v>
      </c>
      <c r="F188" s="83">
        <v>7.2112499999999997</v>
      </c>
      <c r="G188" s="83">
        <v>5.5067550000000001</v>
      </c>
      <c r="H188" s="83">
        <v>6.8170219999999997</v>
      </c>
      <c r="I188" s="84">
        <v>0.1343</v>
      </c>
      <c r="J188" s="84">
        <v>0.14560000000000001</v>
      </c>
      <c r="K188" s="83">
        <v>49.527816000000001</v>
      </c>
      <c r="L188" s="10"/>
      <c r="M188" s="11" t="s">
        <v>53</v>
      </c>
      <c r="N188" s="34"/>
    </row>
    <row r="189" spans="2:14" ht="16.5" hidden="1" customHeight="1" outlineLevel="1">
      <c r="B189" s="688"/>
      <c r="C189" s="106">
        <v>23</v>
      </c>
      <c r="D189" s="39" t="s">
        <v>36</v>
      </c>
      <c r="E189" s="83">
        <v>4.1280000000000001</v>
      </c>
      <c r="F189" s="83">
        <v>7.1537499999999996</v>
      </c>
      <c r="G189" s="83">
        <v>5.4443190000000001</v>
      </c>
      <c r="H189" s="83">
        <v>6.7639639999999996</v>
      </c>
      <c r="I189" s="84">
        <v>0.13450000000000001</v>
      </c>
      <c r="J189" s="84">
        <v>0.14499999999999999</v>
      </c>
      <c r="K189" s="83">
        <v>49.336207000000002</v>
      </c>
      <c r="L189" s="10"/>
      <c r="M189" s="11" t="s">
        <v>53</v>
      </c>
      <c r="N189" s="34"/>
    </row>
    <row r="190" spans="2:14" ht="16.5" hidden="1" customHeight="1" outlineLevel="1">
      <c r="B190" s="688"/>
      <c r="C190" s="106">
        <v>24</v>
      </c>
      <c r="D190" s="39" t="s">
        <v>37</v>
      </c>
      <c r="E190" s="83">
        <v>4.1109999999999998</v>
      </c>
      <c r="F190" s="83">
        <v>7.125</v>
      </c>
      <c r="G190" s="83">
        <v>5.4448619999999996</v>
      </c>
      <c r="H190" s="83">
        <v>6.7614840000000003</v>
      </c>
      <c r="I190" s="84">
        <v>0.13489999999999999</v>
      </c>
      <c r="J190" s="84">
        <v>0.1444</v>
      </c>
      <c r="K190" s="83">
        <v>49.342104999999997</v>
      </c>
      <c r="L190" s="10"/>
      <c r="M190" s="11">
        <v>21.308</v>
      </c>
      <c r="N190" s="34"/>
    </row>
    <row r="191" spans="2:14" ht="17.25" hidden="1" customHeight="1" outlineLevel="1" thickBot="1">
      <c r="B191" s="689"/>
      <c r="C191" s="107">
        <v>25</v>
      </c>
      <c r="D191" s="108" t="s">
        <v>38</v>
      </c>
      <c r="E191" s="88">
        <v>4.1139999999999999</v>
      </c>
      <c r="F191" s="88">
        <v>7.0862499999999997</v>
      </c>
      <c r="G191" s="88">
        <v>5.4113009999999999</v>
      </c>
      <c r="H191" s="88">
        <v>6.7286250000000001</v>
      </c>
      <c r="I191" s="89">
        <v>0.13519999999999999</v>
      </c>
      <c r="J191" s="89">
        <v>0.14369999999999999</v>
      </c>
      <c r="K191" s="88">
        <v>49.312804</v>
      </c>
      <c r="L191" s="90"/>
      <c r="M191" s="14">
        <v>38.758000000000003</v>
      </c>
      <c r="N191" s="91"/>
    </row>
    <row r="192" spans="2:14" s="41" customFormat="1" ht="17.25" hidden="1" collapsed="1" thickBot="1">
      <c r="B192" s="112"/>
      <c r="C192" s="690" t="s">
        <v>39</v>
      </c>
      <c r="D192" s="691"/>
      <c r="E192" s="113">
        <f t="shared" ref="E192:L192" si="20">1-(E165/E176)</f>
        <v>-4.4406697403545081E-3</v>
      </c>
      <c r="F192" s="113">
        <f t="shared" si="20"/>
        <v>-1.1688734408239698E-2</v>
      </c>
      <c r="G192" s="113">
        <f t="shared" si="20"/>
        <v>-7.2138951165294785E-3</v>
      </c>
      <c r="H192" s="113">
        <f t="shared" si="20"/>
        <v>-1.1754476937652303E-2</v>
      </c>
      <c r="I192" s="113">
        <f t="shared" si="20"/>
        <v>4.451038575667976E-4</v>
      </c>
      <c r="J192" s="113">
        <f t="shared" si="20"/>
        <v>2.0726820505756471E-4</v>
      </c>
      <c r="K192" s="113">
        <f t="shared" si="20"/>
        <v>-1.1899393258407054E-2</v>
      </c>
      <c r="L192" s="114" t="e">
        <f t="shared" si="20"/>
        <v>#DIV/0!</v>
      </c>
      <c r="M192" s="113">
        <f>1-(M165/M176)</f>
        <v>-9.9258149489120262E-2</v>
      </c>
      <c r="N192" s="115"/>
    </row>
    <row r="193" spans="2:14" hidden="1"/>
    <row r="194" spans="2:14" hidden="1">
      <c r="B194" s="5" t="s">
        <v>172</v>
      </c>
      <c r="C194" s="64"/>
      <c r="D194" s="5"/>
      <c r="E194" s="17"/>
      <c r="F194" s="17"/>
      <c r="G194" s="17"/>
      <c r="H194" s="17"/>
      <c r="I194" s="18"/>
      <c r="J194" s="18"/>
      <c r="K194" s="17"/>
      <c r="L194" s="21"/>
      <c r="M194" s="6"/>
      <c r="N194" s="5"/>
    </row>
    <row r="195" spans="2:14" hidden="1">
      <c r="B195" s="65" t="s">
        <v>68</v>
      </c>
      <c r="L195" s="22"/>
      <c r="M195" s="3"/>
      <c r="N195" s="4"/>
    </row>
    <row r="196" spans="2:14" ht="33.75" hidden="1" thickBot="1">
      <c r="B196" s="7" t="s">
        <v>0</v>
      </c>
      <c r="C196" s="116" t="s">
        <v>11</v>
      </c>
      <c r="D196" s="8" t="s">
        <v>1</v>
      </c>
      <c r="E196" s="117" t="s">
        <v>2</v>
      </c>
      <c r="F196" s="117" t="s">
        <v>3</v>
      </c>
      <c r="G196" s="117" t="s">
        <v>4</v>
      </c>
      <c r="H196" s="117" t="s">
        <v>16</v>
      </c>
      <c r="I196" s="118" t="s">
        <v>6</v>
      </c>
      <c r="J196" s="119" t="s">
        <v>7</v>
      </c>
      <c r="K196" s="120" t="s">
        <v>8</v>
      </c>
      <c r="L196" s="30" t="s">
        <v>9</v>
      </c>
      <c r="M196" s="30" t="s">
        <v>18</v>
      </c>
      <c r="N196" s="121" t="s">
        <v>19</v>
      </c>
    </row>
    <row r="197" spans="2:14" ht="17.25" hidden="1" thickBot="1">
      <c r="B197" s="687" t="s">
        <v>52</v>
      </c>
      <c r="C197" s="133" t="s">
        <v>61</v>
      </c>
      <c r="D197" s="69" t="s">
        <v>49</v>
      </c>
      <c r="E197" s="70">
        <f t="shared" ref="E197:L197" si="21">AVERAGE(E198:E207)</f>
        <v>4.219199999999999</v>
      </c>
      <c r="F197" s="70">
        <f t="shared" si="21"/>
        <v>6.9811250000000005</v>
      </c>
      <c r="G197" s="70">
        <f t="shared" si="21"/>
        <v>5.1980941999999999</v>
      </c>
      <c r="H197" s="70">
        <f t="shared" si="21"/>
        <v>6.6497632999999992</v>
      </c>
      <c r="I197" s="71">
        <f t="shared" si="21"/>
        <v>0.13523999999999997</v>
      </c>
      <c r="J197" s="71">
        <f t="shared" si="21"/>
        <v>0.14344999999999999</v>
      </c>
      <c r="K197" s="70">
        <f t="shared" si="21"/>
        <v>48.665523700000001</v>
      </c>
      <c r="L197" s="72" t="e">
        <f t="shared" si="21"/>
        <v>#DIV/0!</v>
      </c>
      <c r="M197" s="72"/>
      <c r="N197" s="73" t="str">
        <f>IF(N198="","",N198)</f>
        <v/>
      </c>
    </row>
    <row r="198" spans="2:14" hidden="1">
      <c r="B198" s="688"/>
      <c r="C198" s="74">
        <v>1</v>
      </c>
      <c r="D198" s="75" t="s">
        <v>61</v>
      </c>
      <c r="E198" s="92">
        <v>4.2140000000000004</v>
      </c>
      <c r="F198" s="92">
        <v>7.0075000000000003</v>
      </c>
      <c r="G198" s="92">
        <v>5.2241790000000004</v>
      </c>
      <c r="H198" s="92">
        <v>6.6573799999999999</v>
      </c>
      <c r="I198" s="93">
        <v>0.13500000000000001</v>
      </c>
      <c r="J198" s="93">
        <v>0.14430000000000001</v>
      </c>
      <c r="K198" s="92">
        <v>48.562024000000001</v>
      </c>
      <c r="L198" s="94" t="s">
        <v>53</v>
      </c>
      <c r="M198" s="58"/>
      <c r="N198" s="61"/>
    </row>
    <row r="199" spans="2:14" hidden="1">
      <c r="B199" s="688"/>
      <c r="C199" s="82">
        <v>2</v>
      </c>
      <c r="D199" s="32" t="s">
        <v>62</v>
      </c>
      <c r="E199" s="83">
        <v>4.2149999999999999</v>
      </c>
      <c r="F199" s="83">
        <v>7.0025000000000004</v>
      </c>
      <c r="G199" s="83">
        <v>5.2192129999999999</v>
      </c>
      <c r="H199" s="83">
        <v>6.652806</v>
      </c>
      <c r="I199" s="84">
        <v>0.1348</v>
      </c>
      <c r="J199" s="84">
        <v>0.14430000000000001</v>
      </c>
      <c r="K199" s="83">
        <v>48.527374000000002</v>
      </c>
      <c r="L199" s="10"/>
      <c r="M199" s="11"/>
      <c r="N199" s="33"/>
    </row>
    <row r="200" spans="2:14" hidden="1">
      <c r="B200" s="688"/>
      <c r="C200" s="82">
        <v>3</v>
      </c>
      <c r="D200" s="32" t="s">
        <v>60</v>
      </c>
      <c r="E200" s="127">
        <v>4.2160000000000002</v>
      </c>
      <c r="F200" s="127">
        <v>6.9824999999999999</v>
      </c>
      <c r="G200" s="127">
        <v>5.2030719999999997</v>
      </c>
      <c r="H200" s="127">
        <v>6.6480069999999998</v>
      </c>
      <c r="I200" s="84">
        <v>0.1351</v>
      </c>
      <c r="J200" s="84">
        <v>0.14369999999999999</v>
      </c>
      <c r="K200" s="83">
        <v>48.590814000000002</v>
      </c>
      <c r="L200" s="10"/>
      <c r="M200" s="11"/>
      <c r="N200" s="34"/>
    </row>
    <row r="201" spans="2:14" hidden="1">
      <c r="B201" s="688"/>
      <c r="C201" s="82">
        <v>4</v>
      </c>
      <c r="D201" s="32" t="s">
        <v>63</v>
      </c>
      <c r="E201" s="127">
        <v>4.218</v>
      </c>
      <c r="F201" s="127">
        <v>6.9050000000000002</v>
      </c>
      <c r="G201" s="127">
        <v>5.1428830000000003</v>
      </c>
      <c r="H201" s="127">
        <v>6.5930530000000003</v>
      </c>
      <c r="I201" s="84">
        <v>0.13550000000000001</v>
      </c>
      <c r="J201" s="84">
        <v>0.14280000000000001</v>
      </c>
      <c r="K201" s="83">
        <v>48.354342000000003</v>
      </c>
      <c r="L201" s="10"/>
      <c r="M201" s="11"/>
      <c r="N201" s="34"/>
    </row>
    <row r="202" spans="2:14" ht="17.25" hidden="1" thickBot="1">
      <c r="B202" s="688"/>
      <c r="C202" s="85">
        <v>5</v>
      </c>
      <c r="D202" s="86" t="s">
        <v>64</v>
      </c>
      <c r="E202" s="128">
        <v>4.2169999999999996</v>
      </c>
      <c r="F202" s="128">
        <v>6.8849999999999998</v>
      </c>
      <c r="G202" s="128">
        <v>5.1292030000000004</v>
      </c>
      <c r="H202" s="128">
        <v>6.5964260000000001</v>
      </c>
      <c r="I202" s="89">
        <v>0.13569999999999999</v>
      </c>
      <c r="J202" s="89">
        <v>0.14199999999999999</v>
      </c>
      <c r="K202" s="88">
        <v>48.485914999999999</v>
      </c>
      <c r="L202" s="90"/>
      <c r="M202" s="14"/>
      <c r="N202" s="91"/>
    </row>
    <row r="203" spans="2:14" hidden="1">
      <c r="B203" s="688"/>
      <c r="C203" s="74">
        <v>6</v>
      </c>
      <c r="D203" s="75" t="s">
        <v>20</v>
      </c>
      <c r="E203" s="129">
        <v>4.218</v>
      </c>
      <c r="F203" s="129">
        <v>7.0674999999999999</v>
      </c>
      <c r="G203" s="129">
        <v>5.2639139999999998</v>
      </c>
      <c r="H203" s="129">
        <v>6.7066319999999999</v>
      </c>
      <c r="I203" s="93">
        <v>0.1351</v>
      </c>
      <c r="J203" s="93">
        <v>0.14430000000000001</v>
      </c>
      <c r="K203" s="92">
        <v>48.977823999999998</v>
      </c>
      <c r="L203" s="94" t="s">
        <v>53</v>
      </c>
      <c r="M203" s="58"/>
      <c r="N203" s="34"/>
    </row>
    <row r="204" spans="2:14" hidden="1">
      <c r="B204" s="688"/>
      <c r="C204" s="82">
        <v>7</v>
      </c>
      <c r="D204" s="32" t="s">
        <v>21</v>
      </c>
      <c r="E204" s="127">
        <v>4.2240000000000002</v>
      </c>
      <c r="F204" s="127">
        <v>7.0475000000000003</v>
      </c>
      <c r="G204" s="127">
        <v>5.2415609999999999</v>
      </c>
      <c r="H204" s="127">
        <v>6.6927490000000001</v>
      </c>
      <c r="I204" s="84">
        <v>0.1348</v>
      </c>
      <c r="J204" s="84">
        <v>0.1444</v>
      </c>
      <c r="K204" s="83">
        <v>48.805402000000001</v>
      </c>
      <c r="L204" s="10"/>
      <c r="M204" s="11"/>
      <c r="N204" s="34"/>
    </row>
    <row r="205" spans="2:14" hidden="1">
      <c r="B205" s="688"/>
      <c r="C205" s="82">
        <v>8</v>
      </c>
      <c r="D205" s="32" t="s">
        <v>65</v>
      </c>
      <c r="E205" s="127">
        <v>4.2290000000000001</v>
      </c>
      <c r="F205" s="127">
        <v>7.0437500000000002</v>
      </c>
      <c r="G205" s="127">
        <v>5.2325790000000003</v>
      </c>
      <c r="H205" s="127">
        <v>6.699884</v>
      </c>
      <c r="I205" s="84">
        <v>0.1351</v>
      </c>
      <c r="J205" s="84">
        <v>0.14380000000000001</v>
      </c>
      <c r="K205" s="83">
        <v>48.982962000000001</v>
      </c>
      <c r="L205" s="10" t="s">
        <v>53</v>
      </c>
      <c r="M205" s="11"/>
      <c r="N205" s="34"/>
    </row>
    <row r="206" spans="2:14" hidden="1">
      <c r="B206" s="688"/>
      <c r="C206" s="82">
        <v>9</v>
      </c>
      <c r="D206" s="32" t="s">
        <v>22</v>
      </c>
      <c r="E206" s="83">
        <v>4.2169999999999996</v>
      </c>
      <c r="F206" s="83">
        <v>6.9325000000000001</v>
      </c>
      <c r="G206" s="83">
        <v>5.1645890000000003</v>
      </c>
      <c r="H206" s="83">
        <v>6.6137969999999999</v>
      </c>
      <c r="I206" s="84">
        <v>0.13550000000000001</v>
      </c>
      <c r="J206" s="84">
        <v>0.1429</v>
      </c>
      <c r="K206" s="83">
        <v>48.512945999999999</v>
      </c>
      <c r="L206" s="10"/>
      <c r="M206" s="11"/>
      <c r="N206" s="34"/>
    </row>
    <row r="207" spans="2:14" ht="17.25" hidden="1" thickBot="1">
      <c r="B207" s="689"/>
      <c r="C207" s="97">
        <v>10</v>
      </c>
      <c r="D207" s="35" t="s">
        <v>23</v>
      </c>
      <c r="E207" s="130">
        <v>4.2240000000000002</v>
      </c>
      <c r="F207" s="130">
        <v>6.9375</v>
      </c>
      <c r="G207" s="130">
        <v>5.1597489999999997</v>
      </c>
      <c r="H207" s="130">
        <v>6.6368989999999997</v>
      </c>
      <c r="I207" s="131">
        <v>0.1358</v>
      </c>
      <c r="J207" s="131">
        <v>0.14199999999999999</v>
      </c>
      <c r="K207" s="130">
        <v>48.855634000000002</v>
      </c>
      <c r="L207" s="36"/>
      <c r="M207" s="37"/>
      <c r="N207" s="38"/>
    </row>
    <row r="208" spans="2:14" ht="17.25" hidden="1" thickBot="1">
      <c r="B208" s="687" t="s">
        <v>57</v>
      </c>
      <c r="C208" s="133" t="s">
        <v>67</v>
      </c>
      <c r="D208" s="99" t="s">
        <v>49</v>
      </c>
      <c r="E208" s="100">
        <f t="shared" ref="E208:K208" si="22">AVERAGE(E209:E223)</f>
        <v>4.2266666666666675</v>
      </c>
      <c r="F208" s="100">
        <f t="shared" si="22"/>
        <v>7.0791666666666666</v>
      </c>
      <c r="G208" s="100">
        <f t="shared" si="22"/>
        <v>5.2617940000000001</v>
      </c>
      <c r="H208" s="100">
        <f t="shared" si="22"/>
        <v>6.7377772666666669</v>
      </c>
      <c r="I208" s="101">
        <f t="shared" si="22"/>
        <v>0.13522000000000001</v>
      </c>
      <c r="J208" s="101">
        <f t="shared" si="22"/>
        <v>0.14368666666666666</v>
      </c>
      <c r="K208" s="100">
        <f t="shared" si="22"/>
        <v>49.267680066666671</v>
      </c>
      <c r="L208" s="102" t="e">
        <f>AVERAGE(L210:L223)</f>
        <v>#DIV/0!</v>
      </c>
      <c r="M208" s="102"/>
      <c r="N208" s="103" t="str">
        <f>IF(N209="","",N209)</f>
        <v/>
      </c>
    </row>
    <row r="209" spans="2:14" hidden="1">
      <c r="B209" s="688"/>
      <c r="C209" s="104">
        <v>11</v>
      </c>
      <c r="D209" s="105" t="s">
        <v>24</v>
      </c>
      <c r="E209" s="77">
        <v>4.2210000000000001</v>
      </c>
      <c r="F209" s="77">
        <v>7.0787500000000003</v>
      </c>
      <c r="G209" s="77">
        <v>5.2685449999999996</v>
      </c>
      <c r="H209" s="77">
        <v>6.7198739999999999</v>
      </c>
      <c r="I209" s="78">
        <v>0.13519999999999999</v>
      </c>
      <c r="J209" s="78">
        <v>0.1444</v>
      </c>
      <c r="K209" s="77">
        <v>49.021813999999999</v>
      </c>
      <c r="L209" s="79"/>
      <c r="M209" s="80"/>
      <c r="N209" s="132"/>
    </row>
    <row r="210" spans="2:14" hidden="1">
      <c r="B210" s="688"/>
      <c r="C210" s="106">
        <v>12</v>
      </c>
      <c r="D210" s="39" t="s">
        <v>25</v>
      </c>
      <c r="E210" s="83">
        <v>4.2249999999999996</v>
      </c>
      <c r="F210" s="83">
        <v>7.0724999999999998</v>
      </c>
      <c r="G210" s="83">
        <v>5.2589100000000002</v>
      </c>
      <c r="H210" s="83">
        <v>6.7144149999999998</v>
      </c>
      <c r="I210" s="84">
        <v>0.1348</v>
      </c>
      <c r="J210" s="84">
        <v>0.1444</v>
      </c>
      <c r="K210" s="83">
        <v>48.978532000000001</v>
      </c>
      <c r="L210" s="10" t="s">
        <v>53</v>
      </c>
      <c r="M210" s="11"/>
      <c r="N210" s="34"/>
    </row>
    <row r="211" spans="2:14" hidden="1">
      <c r="B211" s="688"/>
      <c r="C211" s="106">
        <v>13</v>
      </c>
      <c r="D211" s="39" t="s">
        <v>26</v>
      </c>
      <c r="E211" s="83">
        <v>4.2309999999999999</v>
      </c>
      <c r="F211" s="83">
        <v>6.9749999999999996</v>
      </c>
      <c r="G211" s="83">
        <v>5.1790570000000002</v>
      </c>
      <c r="H211" s="83">
        <v>6.6305449999999997</v>
      </c>
      <c r="I211" s="84">
        <v>0.1353</v>
      </c>
      <c r="J211" s="84">
        <v>0.14410000000000001</v>
      </c>
      <c r="K211" s="83">
        <v>48.403886</v>
      </c>
      <c r="L211" s="10"/>
      <c r="M211" s="11"/>
      <c r="N211" s="34"/>
    </row>
    <row r="212" spans="2:14" hidden="1">
      <c r="B212" s="688"/>
      <c r="C212" s="106">
        <v>14</v>
      </c>
      <c r="D212" s="39" t="s">
        <v>27</v>
      </c>
      <c r="E212" s="83">
        <v>4.2229999999999999</v>
      </c>
      <c r="F212" s="83">
        <v>7.0262500000000001</v>
      </c>
      <c r="G212" s="83">
        <v>5.2269940000000004</v>
      </c>
      <c r="H212" s="83">
        <v>6.7035169999999997</v>
      </c>
      <c r="I212" s="84">
        <v>0.1356</v>
      </c>
      <c r="J212" s="84">
        <v>0.1429</v>
      </c>
      <c r="K212" s="83">
        <v>49.168998999999999</v>
      </c>
      <c r="L212" s="10"/>
      <c r="M212" s="11"/>
      <c r="N212" s="34"/>
    </row>
    <row r="213" spans="2:14" ht="17.25" hidden="1" thickBot="1">
      <c r="B213" s="688"/>
      <c r="C213" s="107">
        <v>15</v>
      </c>
      <c r="D213" s="108" t="s">
        <v>28</v>
      </c>
      <c r="E213" s="88">
        <v>4.2240000000000002</v>
      </c>
      <c r="F213" s="88">
        <v>6.98</v>
      </c>
      <c r="G213" s="88">
        <v>5.1913580000000001</v>
      </c>
      <c r="H213" s="88">
        <v>6.6774199999999997</v>
      </c>
      <c r="I213" s="89">
        <v>0.13589999999999999</v>
      </c>
      <c r="J213" s="89">
        <v>0.1421</v>
      </c>
      <c r="K213" s="88">
        <v>49.120337999999997</v>
      </c>
      <c r="L213" s="90"/>
      <c r="M213" s="14"/>
      <c r="N213" s="91"/>
    </row>
    <row r="214" spans="2:14" hidden="1">
      <c r="B214" s="688"/>
      <c r="C214" s="109">
        <v>16</v>
      </c>
      <c r="D214" s="110" t="s">
        <v>29</v>
      </c>
      <c r="E214" s="92">
        <v>4.2220000000000004</v>
      </c>
      <c r="F214" s="92">
        <v>7.1387499999999999</v>
      </c>
      <c r="G214" s="92">
        <v>5.3119440000000004</v>
      </c>
      <c r="H214" s="92">
        <v>6.7746700000000004</v>
      </c>
      <c r="I214" s="93">
        <v>0.1351</v>
      </c>
      <c r="J214" s="93">
        <v>0.14449999999999999</v>
      </c>
      <c r="K214" s="92">
        <v>49.403114000000002</v>
      </c>
      <c r="L214" s="94"/>
      <c r="M214" s="58"/>
      <c r="N214" s="95"/>
    </row>
    <row r="215" spans="2:14" hidden="1">
      <c r="B215" s="688"/>
      <c r="C215" s="106">
        <v>17</v>
      </c>
      <c r="D215" s="39" t="s">
        <v>30</v>
      </c>
      <c r="E215" s="83">
        <v>4.2240000000000002</v>
      </c>
      <c r="F215" s="83">
        <v>7.1187500000000004</v>
      </c>
      <c r="G215" s="83">
        <v>5.2945529999999996</v>
      </c>
      <c r="H215" s="83">
        <v>6.7544589999999998</v>
      </c>
      <c r="I215" s="84">
        <v>0.1348</v>
      </c>
      <c r="J215" s="84">
        <v>0.14449999999999999</v>
      </c>
      <c r="K215" s="83">
        <v>49.264705999999997</v>
      </c>
      <c r="L215" s="10"/>
      <c r="M215" s="11"/>
      <c r="N215" s="34"/>
    </row>
    <row r="216" spans="2:14" hidden="1">
      <c r="B216" s="688"/>
      <c r="C216" s="106">
        <v>18</v>
      </c>
      <c r="D216" s="39" t="s">
        <v>31</v>
      </c>
      <c r="E216" s="83">
        <v>4.2290000000000001</v>
      </c>
      <c r="F216" s="83">
        <v>7.1237500000000002</v>
      </c>
      <c r="G216" s="83">
        <v>5.292008</v>
      </c>
      <c r="H216" s="83">
        <v>6.7679010000000002</v>
      </c>
      <c r="I216" s="84">
        <v>0.13500000000000001</v>
      </c>
      <c r="J216" s="84">
        <v>0.14399999999999999</v>
      </c>
      <c r="K216" s="83">
        <v>49.470486000000001</v>
      </c>
      <c r="L216" s="10" t="s">
        <v>53</v>
      </c>
      <c r="M216" s="11"/>
      <c r="N216" s="34"/>
    </row>
    <row r="217" spans="2:14" hidden="1">
      <c r="B217" s="688"/>
      <c r="C217" s="106">
        <v>19</v>
      </c>
      <c r="D217" s="39" t="s">
        <v>32</v>
      </c>
      <c r="E217" s="83">
        <v>4.2290000000000001</v>
      </c>
      <c r="F217" s="83">
        <v>7.0025000000000004</v>
      </c>
      <c r="G217" s="83">
        <v>5.2019349999999998</v>
      </c>
      <c r="H217" s="83">
        <v>6.6735530000000001</v>
      </c>
      <c r="I217" s="84">
        <v>0.13550000000000001</v>
      </c>
      <c r="J217" s="84">
        <v>0.1431</v>
      </c>
      <c r="K217" s="83">
        <v>48.934311999999998</v>
      </c>
      <c r="L217" s="10"/>
      <c r="M217" s="11"/>
      <c r="N217" s="34"/>
    </row>
    <row r="218" spans="2:14" ht="17.25" hidden="1" thickBot="1">
      <c r="B218" s="688"/>
      <c r="C218" s="107">
        <v>20</v>
      </c>
      <c r="D218" s="108" t="s">
        <v>33</v>
      </c>
      <c r="E218" s="88">
        <v>4.2279999999999998</v>
      </c>
      <c r="F218" s="88">
        <v>7.0012499999999998</v>
      </c>
      <c r="G218" s="88">
        <v>5.2022370000000002</v>
      </c>
      <c r="H218" s="88">
        <v>6.6973409999999998</v>
      </c>
      <c r="I218" s="89">
        <v>0.1358</v>
      </c>
      <c r="J218" s="89">
        <v>0.14230000000000001</v>
      </c>
      <c r="K218" s="88">
        <v>49.200631999999999</v>
      </c>
      <c r="L218" s="90"/>
      <c r="M218" s="14"/>
      <c r="N218" s="91"/>
    </row>
    <row r="219" spans="2:14" hidden="1">
      <c r="B219" s="688"/>
      <c r="C219" s="109">
        <v>21</v>
      </c>
      <c r="D219" s="110" t="s">
        <v>34</v>
      </c>
      <c r="E219" s="92">
        <v>4.226</v>
      </c>
      <c r="F219" s="92">
        <v>7.1974999999999998</v>
      </c>
      <c r="G219" s="92">
        <v>5.3505900000000004</v>
      </c>
      <c r="H219" s="92">
        <v>6.818835</v>
      </c>
      <c r="I219" s="93">
        <v>0.13489999999999999</v>
      </c>
      <c r="J219" s="93">
        <v>0.14449999999999999</v>
      </c>
      <c r="K219" s="92">
        <v>49.809688999999999</v>
      </c>
      <c r="L219" s="94"/>
      <c r="M219" s="58"/>
      <c r="N219" s="95"/>
    </row>
    <row r="220" spans="2:14" hidden="1">
      <c r="B220" s="688"/>
      <c r="C220" s="106">
        <v>22</v>
      </c>
      <c r="D220" s="39" t="s">
        <v>35</v>
      </c>
      <c r="E220" s="83">
        <v>4.2270000000000003</v>
      </c>
      <c r="F220" s="83">
        <v>7.17875</v>
      </c>
      <c r="G220" s="83">
        <v>5.3353890000000002</v>
      </c>
      <c r="H220" s="83">
        <v>6.830228</v>
      </c>
      <c r="I220" s="84">
        <v>0.1346</v>
      </c>
      <c r="J220" s="84">
        <v>0.14449999999999999</v>
      </c>
      <c r="K220" s="83">
        <v>49.679931000000003</v>
      </c>
      <c r="L220" s="10"/>
      <c r="M220" s="11"/>
      <c r="N220" s="34"/>
    </row>
    <row r="221" spans="2:14" hidden="1">
      <c r="B221" s="688"/>
      <c r="C221" s="106">
        <v>23</v>
      </c>
      <c r="D221" s="39" t="s">
        <v>36</v>
      </c>
      <c r="E221" s="83">
        <v>4.234</v>
      </c>
      <c r="F221" s="83">
        <v>7.1624999999999996</v>
      </c>
      <c r="G221" s="83">
        <v>5.3145110000000004</v>
      </c>
      <c r="H221" s="83">
        <v>6.8187920000000002</v>
      </c>
      <c r="I221" s="84">
        <v>0.13489999999999999</v>
      </c>
      <c r="J221" s="84">
        <v>0.14410000000000001</v>
      </c>
      <c r="K221" s="83">
        <v>49.705066000000002</v>
      </c>
      <c r="L221" s="10"/>
      <c r="M221" s="11"/>
      <c r="N221" s="34"/>
    </row>
    <row r="222" spans="2:14" hidden="1">
      <c r="B222" s="688"/>
      <c r="C222" s="106">
        <v>24</v>
      </c>
      <c r="D222" s="39" t="s">
        <v>37</v>
      </c>
      <c r="E222" s="83">
        <v>4.2300000000000004</v>
      </c>
      <c r="F222" s="83">
        <v>7.1062500000000002</v>
      </c>
      <c r="G222" s="83">
        <v>5.2777599999999998</v>
      </c>
      <c r="H222" s="83">
        <v>6.771922</v>
      </c>
      <c r="I222" s="84">
        <v>0.1353</v>
      </c>
      <c r="J222" s="84">
        <v>0.14330000000000001</v>
      </c>
      <c r="K222" s="83">
        <v>49.590021</v>
      </c>
      <c r="L222" s="10"/>
      <c r="M222" s="11"/>
      <c r="N222" s="34"/>
    </row>
    <row r="223" spans="2:14" ht="17.25" hidden="1" thickBot="1">
      <c r="B223" s="689"/>
      <c r="C223" s="107">
        <v>25</v>
      </c>
      <c r="D223" s="108" t="s">
        <v>38</v>
      </c>
      <c r="E223" s="88">
        <v>4.2270000000000003</v>
      </c>
      <c r="F223" s="88">
        <v>7.0250000000000004</v>
      </c>
      <c r="G223" s="88">
        <v>5.2211189999999998</v>
      </c>
      <c r="H223" s="88">
        <v>6.7131869999999996</v>
      </c>
      <c r="I223" s="89">
        <v>0.1356</v>
      </c>
      <c r="J223" s="89">
        <v>0.1426</v>
      </c>
      <c r="K223" s="88">
        <v>49.263674999999999</v>
      </c>
      <c r="L223" s="90"/>
      <c r="M223" s="14"/>
      <c r="N223" s="91"/>
    </row>
    <row r="224" spans="2:14" ht="17.25" hidden="1" thickBot="1">
      <c r="B224" s="112"/>
      <c r="C224" s="690" t="s">
        <v>39</v>
      </c>
      <c r="D224" s="691"/>
      <c r="E224" s="113">
        <f t="shared" ref="E224:L224" si="23">1-(E197/E208)</f>
        <v>1.7665615141960744E-3</v>
      </c>
      <c r="F224" s="113">
        <f t="shared" si="23"/>
        <v>1.3849323131253644E-2</v>
      </c>
      <c r="G224" s="113">
        <f t="shared" si="23"/>
        <v>1.2106099174540086E-2</v>
      </c>
      <c r="H224" s="113">
        <f t="shared" si="23"/>
        <v>1.3062759895921872E-2</v>
      </c>
      <c r="I224" s="113">
        <f t="shared" si="23"/>
        <v>-1.47907114331991E-4</v>
      </c>
      <c r="J224" s="113">
        <f t="shared" si="23"/>
        <v>1.6471024915324373E-3</v>
      </c>
      <c r="K224" s="113">
        <f t="shared" si="23"/>
        <v>1.2222137633675079E-2</v>
      </c>
      <c r="L224" s="114" t="e">
        <f t="shared" si="23"/>
        <v>#DIV/0!</v>
      </c>
      <c r="M224" s="113"/>
      <c r="N224" s="115"/>
    </row>
    <row r="225" spans="1:14" hidden="1"/>
    <row r="226" spans="1:14" s="5" customFormat="1" hidden="1">
      <c r="A226" s="1"/>
      <c r="B226" s="5" t="s">
        <v>180</v>
      </c>
      <c r="C226" s="64"/>
      <c r="E226" s="17"/>
      <c r="F226" s="17"/>
      <c r="G226" s="17"/>
      <c r="H226" s="17"/>
      <c r="I226" s="18"/>
      <c r="J226" s="18"/>
      <c r="K226" s="17"/>
      <c r="L226" s="21"/>
      <c r="M226" s="6"/>
    </row>
    <row r="227" spans="1:14" hidden="1">
      <c r="B227" s="65" t="s">
        <v>68</v>
      </c>
      <c r="L227" s="22"/>
      <c r="M227" s="3"/>
      <c r="N227" s="4"/>
    </row>
    <row r="228" spans="1:14" s="5" customFormat="1" ht="33.75" hidden="1" thickBot="1">
      <c r="A228" s="67"/>
      <c r="B228" s="7" t="s">
        <v>0</v>
      </c>
      <c r="C228" s="116" t="s">
        <v>11</v>
      </c>
      <c r="D228" s="8" t="s">
        <v>1</v>
      </c>
      <c r="E228" s="117" t="s">
        <v>2</v>
      </c>
      <c r="F228" s="117" t="s">
        <v>3</v>
      </c>
      <c r="G228" s="117" t="s">
        <v>4</v>
      </c>
      <c r="H228" s="117" t="s">
        <v>16</v>
      </c>
      <c r="I228" s="118" t="s">
        <v>6</v>
      </c>
      <c r="J228" s="119" t="s">
        <v>7</v>
      </c>
      <c r="K228" s="120" t="s">
        <v>8</v>
      </c>
      <c r="L228" s="30" t="s">
        <v>9</v>
      </c>
      <c r="M228" s="30" t="s">
        <v>18</v>
      </c>
      <c r="N228" s="121" t="s">
        <v>19</v>
      </c>
    </row>
    <row r="229" spans="1:14" s="5" customFormat="1" ht="17.25" hidden="1" thickBot="1">
      <c r="A229" s="67"/>
      <c r="B229" s="687" t="s">
        <v>52</v>
      </c>
      <c r="C229" s="122" t="s">
        <v>61</v>
      </c>
      <c r="D229" s="69" t="s">
        <v>49</v>
      </c>
      <c r="E229" s="70">
        <f t="shared" ref="E229:L229" si="24">AVERAGE(E230:E239)</f>
        <v>4.1654</v>
      </c>
      <c r="F229" s="70">
        <f t="shared" si="24"/>
        <v>7.4550000000000001</v>
      </c>
      <c r="G229" s="70">
        <f t="shared" si="24"/>
        <v>5.6226520999999989</v>
      </c>
      <c r="H229" s="70">
        <f t="shared" si="24"/>
        <v>7.0566958</v>
      </c>
      <c r="I229" s="71">
        <f t="shared" si="24"/>
        <v>0.13469</v>
      </c>
      <c r="J229" s="71">
        <f t="shared" si="24"/>
        <v>0.14509</v>
      </c>
      <c r="K229" s="70">
        <f t="shared" si="24"/>
        <v>51.382094800000004</v>
      </c>
      <c r="L229" s="72" t="e">
        <f t="shared" si="24"/>
        <v>#DIV/0!</v>
      </c>
      <c r="M229" s="72"/>
      <c r="N229" s="73" t="str">
        <f>IF(N230="","",N230)</f>
        <v/>
      </c>
    </row>
    <row r="230" spans="1:14" ht="16.5" hidden="1" customHeight="1" outlineLevel="1">
      <c r="B230" s="688"/>
      <c r="C230" s="74">
        <v>1</v>
      </c>
      <c r="D230" s="75" t="s">
        <v>61</v>
      </c>
      <c r="E230" s="92">
        <v>4.1619999999999999</v>
      </c>
      <c r="F230" s="92">
        <v>7.4962499999999999</v>
      </c>
      <c r="G230" s="92">
        <v>5.658372</v>
      </c>
      <c r="H230" s="92">
        <v>7.0805410000000002</v>
      </c>
      <c r="I230" s="93">
        <v>0.13439999999999999</v>
      </c>
      <c r="J230" s="93">
        <v>0.1459</v>
      </c>
      <c r="K230" s="92">
        <v>51.379368999999997</v>
      </c>
      <c r="L230" s="94"/>
      <c r="M230" s="58"/>
      <c r="N230" s="61"/>
    </row>
    <row r="231" spans="1:14" ht="16.5" hidden="1" customHeight="1" outlineLevel="1">
      <c r="B231" s="688"/>
      <c r="C231" s="82">
        <v>2</v>
      </c>
      <c r="D231" s="32" t="s">
        <v>62</v>
      </c>
      <c r="E231" s="83">
        <v>4.1630000000000003</v>
      </c>
      <c r="F231" s="83">
        <v>7.48</v>
      </c>
      <c r="G231" s="83">
        <v>5.6447500000000002</v>
      </c>
      <c r="H231" s="83">
        <v>7.0767129999999998</v>
      </c>
      <c r="I231" s="84">
        <v>0.1343</v>
      </c>
      <c r="J231" s="84">
        <v>0.14580000000000001</v>
      </c>
      <c r="K231" s="83">
        <v>51.303154999999997</v>
      </c>
      <c r="L231" s="10"/>
      <c r="M231" s="11"/>
      <c r="N231" s="33"/>
    </row>
    <row r="232" spans="1:14" ht="16.5" hidden="1" customHeight="1" outlineLevel="1">
      <c r="B232" s="688"/>
      <c r="C232" s="82">
        <v>3</v>
      </c>
      <c r="D232" s="32" t="s">
        <v>60</v>
      </c>
      <c r="E232" s="127">
        <v>4.1609999999999996</v>
      </c>
      <c r="F232" s="127">
        <v>7.4325000000000001</v>
      </c>
      <c r="G232" s="127">
        <v>5.6116000000000001</v>
      </c>
      <c r="H232" s="127">
        <v>7.0287559999999996</v>
      </c>
      <c r="I232" s="84">
        <v>0.13450000000000001</v>
      </c>
      <c r="J232" s="84">
        <v>0.14530000000000001</v>
      </c>
      <c r="K232" s="83">
        <v>51.152786999999996</v>
      </c>
      <c r="L232" s="10"/>
      <c r="M232" s="11"/>
      <c r="N232" s="34"/>
    </row>
    <row r="233" spans="1:14" ht="16.5" hidden="1" customHeight="1" outlineLevel="1">
      <c r="B233" s="688"/>
      <c r="C233" s="82">
        <v>4</v>
      </c>
      <c r="D233" s="32" t="s">
        <v>63</v>
      </c>
      <c r="E233" s="127">
        <v>4.1669999999999998</v>
      </c>
      <c r="F233" s="127">
        <v>7.4175000000000004</v>
      </c>
      <c r="G233" s="127">
        <v>5.5922109999999998</v>
      </c>
      <c r="H233" s="127">
        <v>7.0262409999999997</v>
      </c>
      <c r="I233" s="84">
        <v>0.13500000000000001</v>
      </c>
      <c r="J233" s="84">
        <v>0.1447</v>
      </c>
      <c r="K233" s="83">
        <v>51.261229999999998</v>
      </c>
      <c r="L233" s="10"/>
      <c r="M233" s="11"/>
      <c r="N233" s="34"/>
    </row>
    <row r="234" spans="1:14" ht="17.25" hidden="1" customHeight="1" outlineLevel="1" thickBot="1">
      <c r="B234" s="688"/>
      <c r="C234" s="85">
        <v>5</v>
      </c>
      <c r="D234" s="86" t="s">
        <v>64</v>
      </c>
      <c r="E234" s="128">
        <v>4.1619999999999999</v>
      </c>
      <c r="F234" s="128">
        <v>7.3875000000000002</v>
      </c>
      <c r="G234" s="128">
        <v>5.5762850000000004</v>
      </c>
      <c r="H234" s="128">
        <v>7.0139040000000001</v>
      </c>
      <c r="I234" s="89">
        <v>0.1351</v>
      </c>
      <c r="J234" s="89">
        <v>0.14410000000000001</v>
      </c>
      <c r="K234" s="88">
        <v>51.266482000000003</v>
      </c>
      <c r="L234" s="90"/>
      <c r="M234" s="14"/>
      <c r="N234" s="91"/>
    </row>
    <row r="235" spans="1:14" ht="16.5" hidden="1" customHeight="1" outlineLevel="1">
      <c r="B235" s="688"/>
      <c r="C235" s="74">
        <v>6</v>
      </c>
      <c r="D235" s="75" t="s">
        <v>20</v>
      </c>
      <c r="E235" s="129">
        <v>4.165</v>
      </c>
      <c r="F235" s="129">
        <v>7.5175000000000001</v>
      </c>
      <c r="G235" s="129">
        <v>5.6703250000000001</v>
      </c>
      <c r="H235" s="129">
        <v>7.1053129999999998</v>
      </c>
      <c r="I235" s="93">
        <v>0.1346</v>
      </c>
      <c r="J235" s="93">
        <v>0.14580000000000001</v>
      </c>
      <c r="K235" s="92">
        <v>51.560357000000003</v>
      </c>
      <c r="L235" s="94"/>
      <c r="M235" s="58"/>
      <c r="N235" s="34"/>
    </row>
    <row r="236" spans="1:14" ht="16.5" hidden="1" customHeight="1" outlineLevel="1">
      <c r="B236" s="688"/>
      <c r="C236" s="82">
        <v>7</v>
      </c>
      <c r="D236" s="32" t="s">
        <v>21</v>
      </c>
      <c r="E236" s="127">
        <v>4.1609999999999996</v>
      </c>
      <c r="F236" s="127">
        <v>7.4637500000000001</v>
      </c>
      <c r="G236" s="127">
        <v>5.6351940000000003</v>
      </c>
      <c r="H236" s="127">
        <v>7.0552999999999999</v>
      </c>
      <c r="I236" s="84">
        <v>0.1343</v>
      </c>
      <c r="J236" s="84">
        <v>0.1457</v>
      </c>
      <c r="K236" s="83">
        <v>51.226835999999999</v>
      </c>
      <c r="L236" s="10"/>
      <c r="M236" s="11"/>
      <c r="N236" s="34"/>
    </row>
    <row r="237" spans="1:14" ht="16.5" hidden="1" customHeight="1" outlineLevel="1">
      <c r="B237" s="688"/>
      <c r="C237" s="82">
        <v>8</v>
      </c>
      <c r="D237" s="32" t="s">
        <v>65</v>
      </c>
      <c r="E237" s="127">
        <v>4.1680000000000001</v>
      </c>
      <c r="F237" s="127">
        <v>7.4962499999999999</v>
      </c>
      <c r="G237" s="127">
        <v>5.650226</v>
      </c>
      <c r="H237" s="127">
        <v>7.0982399999999997</v>
      </c>
      <c r="I237" s="84">
        <v>0.1346</v>
      </c>
      <c r="J237" s="84">
        <v>0.14530000000000001</v>
      </c>
      <c r="K237" s="83">
        <v>51.591535</v>
      </c>
      <c r="L237" s="10"/>
      <c r="M237" s="11"/>
      <c r="N237" s="34"/>
    </row>
    <row r="238" spans="1:14" ht="16.5" hidden="1" customHeight="1" outlineLevel="1">
      <c r="B238" s="688"/>
      <c r="C238" s="82">
        <v>9</v>
      </c>
      <c r="D238" s="32" t="s">
        <v>22</v>
      </c>
      <c r="E238" s="83">
        <v>4.1719999999999997</v>
      </c>
      <c r="F238" s="83">
        <v>7.4087500000000004</v>
      </c>
      <c r="G238" s="83">
        <v>5.5789200000000001</v>
      </c>
      <c r="H238" s="83">
        <v>7.009366</v>
      </c>
      <c r="I238" s="84">
        <v>0.13489999999999999</v>
      </c>
      <c r="J238" s="84">
        <v>0.1444</v>
      </c>
      <c r="K238" s="83">
        <v>51.307133</v>
      </c>
      <c r="L238" s="10"/>
      <c r="M238" s="11"/>
      <c r="N238" s="34"/>
    </row>
    <row r="239" spans="1:14" ht="17.25" hidden="1" customHeight="1" outlineLevel="1" thickBot="1">
      <c r="B239" s="689"/>
      <c r="C239" s="97">
        <v>10</v>
      </c>
      <c r="D239" s="35" t="s">
        <v>23</v>
      </c>
      <c r="E239" s="130">
        <v>4.173</v>
      </c>
      <c r="F239" s="130">
        <v>7.45</v>
      </c>
      <c r="G239" s="130">
        <v>5.608638</v>
      </c>
      <c r="H239" s="130">
        <v>7.072584</v>
      </c>
      <c r="I239" s="131">
        <v>0.13519999999999999</v>
      </c>
      <c r="J239" s="131">
        <v>0.1439</v>
      </c>
      <c r="K239" s="130">
        <v>51.772064</v>
      </c>
      <c r="L239" s="36"/>
      <c r="M239" s="37"/>
      <c r="N239" s="38"/>
    </row>
    <row r="240" spans="1:14" s="5" customFormat="1" ht="17.25" hidden="1" collapsed="1" thickBot="1">
      <c r="A240" s="67"/>
      <c r="B240" s="687" t="s">
        <v>77</v>
      </c>
      <c r="C240" s="122" t="s">
        <v>67</v>
      </c>
      <c r="D240" s="99" t="s">
        <v>49</v>
      </c>
      <c r="E240" s="100">
        <f t="shared" ref="E240:K240" si="25">AVERAGE(E241:E255)</f>
        <v>4.1584666666666665</v>
      </c>
      <c r="F240" s="100">
        <f t="shared" si="25"/>
        <v>7.5011666666666663</v>
      </c>
      <c r="G240" s="100">
        <f t="shared" si="25"/>
        <v>5.666879933333334</v>
      </c>
      <c r="H240" s="100">
        <f t="shared" si="25"/>
        <v>7.0985735999999999</v>
      </c>
      <c r="I240" s="101">
        <f t="shared" si="25"/>
        <v>0.13476666666666667</v>
      </c>
      <c r="J240" s="101">
        <f t="shared" si="25"/>
        <v>0.14499999999999999</v>
      </c>
      <c r="K240" s="100">
        <f t="shared" si="25"/>
        <v>51.731713666666671</v>
      </c>
      <c r="L240" s="102" t="e">
        <f>AVERAGE(L242:L255)</f>
        <v>#DIV/0!</v>
      </c>
      <c r="M240" s="102"/>
      <c r="N240" s="103" t="str">
        <f>IF(N241="","",N241)</f>
        <v/>
      </c>
    </row>
    <row r="241" spans="2:14" ht="16.5" hidden="1" customHeight="1" outlineLevel="1">
      <c r="B241" s="688"/>
      <c r="C241" s="104">
        <v>11</v>
      </c>
      <c r="D241" s="105" t="s">
        <v>24</v>
      </c>
      <c r="E241" s="77">
        <v>4.157</v>
      </c>
      <c r="F241" s="77">
        <v>7.4987500000000002</v>
      </c>
      <c r="G241" s="77">
        <v>5.6670670000000003</v>
      </c>
      <c r="H241" s="77">
        <v>7.0825550000000002</v>
      </c>
      <c r="I241" s="78">
        <v>0.13469999999999999</v>
      </c>
      <c r="J241" s="78">
        <v>0.1457</v>
      </c>
      <c r="K241" s="77">
        <v>51.467055999999999</v>
      </c>
      <c r="L241" s="79"/>
      <c r="M241" s="80"/>
      <c r="N241" s="132"/>
    </row>
    <row r="242" spans="2:14" ht="16.5" hidden="1" customHeight="1" outlineLevel="1">
      <c r="B242" s="688"/>
      <c r="C242" s="106">
        <v>12</v>
      </c>
      <c r="D242" s="39" t="s">
        <v>25</v>
      </c>
      <c r="E242" s="83">
        <v>4.1520000000000001</v>
      </c>
      <c r="F242" s="83">
        <v>7.4637500000000001</v>
      </c>
      <c r="G242" s="83">
        <v>5.6474089999999997</v>
      </c>
      <c r="H242" s="83">
        <v>7.0449140000000003</v>
      </c>
      <c r="I242" s="84">
        <v>0.13439999999999999</v>
      </c>
      <c r="J242" s="84">
        <v>0.14560000000000001</v>
      </c>
      <c r="K242" s="83">
        <v>51.262019000000002</v>
      </c>
      <c r="L242" s="10"/>
      <c r="M242" s="11"/>
      <c r="N242" s="34"/>
    </row>
    <row r="243" spans="2:14" ht="16.5" hidden="1" customHeight="1" outlineLevel="1">
      <c r="B243" s="688"/>
      <c r="C243" s="106">
        <v>13</v>
      </c>
      <c r="D243" s="39" t="s">
        <v>26</v>
      </c>
      <c r="E243" s="83">
        <v>4.1589999999999998</v>
      </c>
      <c r="F243" s="83">
        <v>7.42</v>
      </c>
      <c r="G243" s="83">
        <v>5.6048559999999998</v>
      </c>
      <c r="H243" s="83">
        <v>7.0105019999999998</v>
      </c>
      <c r="I243" s="84">
        <v>0.13469999999999999</v>
      </c>
      <c r="J243" s="84">
        <v>0.14530000000000001</v>
      </c>
      <c r="K243" s="83">
        <v>51.066758</v>
      </c>
      <c r="L243" s="10"/>
      <c r="M243" s="11"/>
      <c r="N243" s="34"/>
    </row>
    <row r="244" spans="2:14" ht="16.5" hidden="1" customHeight="1" outlineLevel="1">
      <c r="B244" s="688"/>
      <c r="C244" s="106">
        <v>14</v>
      </c>
      <c r="D244" s="39" t="s">
        <v>27</v>
      </c>
      <c r="E244" s="83">
        <v>4.16</v>
      </c>
      <c r="F244" s="83">
        <v>7.4587500000000002</v>
      </c>
      <c r="G244" s="83">
        <v>5.6327730000000003</v>
      </c>
      <c r="H244" s="83">
        <v>7.0704219999999998</v>
      </c>
      <c r="I244" s="84">
        <v>0.13500000000000001</v>
      </c>
      <c r="J244" s="84">
        <v>0.1444</v>
      </c>
      <c r="K244" s="83">
        <v>51.653393000000001</v>
      </c>
      <c r="L244" s="10"/>
      <c r="M244" s="11"/>
      <c r="N244" s="34"/>
    </row>
    <row r="245" spans="2:14" ht="17.25" hidden="1" customHeight="1" outlineLevel="1" thickBot="1">
      <c r="B245" s="688"/>
      <c r="C245" s="107">
        <v>15</v>
      </c>
      <c r="D245" s="108" t="s">
        <v>28</v>
      </c>
      <c r="E245" s="88">
        <v>4.16</v>
      </c>
      <c r="F245" s="88">
        <v>7.42875</v>
      </c>
      <c r="G245" s="88">
        <v>5.6101169999999998</v>
      </c>
      <c r="H245" s="88">
        <v>7.0414130000000004</v>
      </c>
      <c r="I245" s="89">
        <v>0.13539999999999999</v>
      </c>
      <c r="J245" s="89">
        <v>0.1439</v>
      </c>
      <c r="K245" s="88">
        <v>51.624392</v>
      </c>
      <c r="L245" s="90"/>
      <c r="M245" s="14"/>
      <c r="N245" s="91"/>
    </row>
    <row r="246" spans="2:14" ht="16.5" hidden="1" customHeight="1" outlineLevel="1">
      <c r="B246" s="688"/>
      <c r="C246" s="109">
        <v>16</v>
      </c>
      <c r="D246" s="110" t="s">
        <v>29</v>
      </c>
      <c r="E246" s="92">
        <v>4.1509999999999998</v>
      </c>
      <c r="F246" s="92">
        <v>7.5662500000000001</v>
      </c>
      <c r="G246" s="92">
        <v>5.7263440000000001</v>
      </c>
      <c r="H246" s="92">
        <v>7.1452470000000003</v>
      </c>
      <c r="I246" s="93">
        <v>0.13469999999999999</v>
      </c>
      <c r="J246" s="93">
        <v>0.1457</v>
      </c>
      <c r="K246" s="92">
        <v>51.930335999999997</v>
      </c>
      <c r="L246" s="94"/>
      <c r="M246" s="58"/>
      <c r="N246" s="95"/>
    </row>
    <row r="247" spans="2:14" ht="16.5" hidden="1" customHeight="1" outlineLevel="1">
      <c r="B247" s="688"/>
      <c r="C247" s="106">
        <v>17</v>
      </c>
      <c r="D247" s="39" t="s">
        <v>30</v>
      </c>
      <c r="E247" s="83">
        <v>4.1630000000000003</v>
      </c>
      <c r="F247" s="83">
        <v>7.6187500000000004</v>
      </c>
      <c r="G247" s="83">
        <v>5.7494569999999996</v>
      </c>
      <c r="H247" s="83">
        <v>7.205381</v>
      </c>
      <c r="I247" s="84">
        <v>0.13439999999999999</v>
      </c>
      <c r="J247" s="84">
        <v>0.14560000000000001</v>
      </c>
      <c r="K247" s="83">
        <v>52.32658</v>
      </c>
      <c r="L247" s="10"/>
      <c r="M247" s="11"/>
      <c r="N247" s="34"/>
    </row>
    <row r="248" spans="2:14" ht="16.5" hidden="1" customHeight="1" outlineLevel="1">
      <c r="B248" s="688"/>
      <c r="C248" s="106">
        <v>18</v>
      </c>
      <c r="D248" s="39" t="s">
        <v>31</v>
      </c>
      <c r="E248" s="83">
        <v>4.1639999999999997</v>
      </c>
      <c r="F248" s="83">
        <v>7.5637499999999998</v>
      </c>
      <c r="G248" s="83">
        <v>5.7065809999999999</v>
      </c>
      <c r="H248" s="83">
        <v>7.1674259999999999</v>
      </c>
      <c r="I248" s="84">
        <v>0.1346</v>
      </c>
      <c r="J248" s="84">
        <v>0.1452</v>
      </c>
      <c r="K248" s="83">
        <v>52.091942000000003</v>
      </c>
      <c r="L248" s="10"/>
      <c r="M248" s="11"/>
      <c r="N248" s="34"/>
    </row>
    <row r="249" spans="2:14" ht="16.5" hidden="1" customHeight="1" outlineLevel="1">
      <c r="B249" s="688"/>
      <c r="C249" s="106">
        <v>19</v>
      </c>
      <c r="D249" s="39" t="s">
        <v>32</v>
      </c>
      <c r="E249" s="83">
        <v>4.1589999999999998</v>
      </c>
      <c r="F249" s="83">
        <v>7.4537500000000003</v>
      </c>
      <c r="G249" s="83">
        <v>5.63035</v>
      </c>
      <c r="H249" s="83">
        <v>7.0680680000000002</v>
      </c>
      <c r="I249" s="84">
        <v>0.13500000000000001</v>
      </c>
      <c r="J249" s="84">
        <v>0.14449999999999999</v>
      </c>
      <c r="K249" s="83">
        <v>51.583044999999998</v>
      </c>
      <c r="L249" s="10"/>
      <c r="M249" s="11"/>
      <c r="N249" s="34"/>
    </row>
    <row r="250" spans="2:14" ht="17.25" hidden="1" customHeight="1" outlineLevel="1" thickBot="1">
      <c r="B250" s="688"/>
      <c r="C250" s="107">
        <v>20</v>
      </c>
      <c r="D250" s="108" t="s">
        <v>33</v>
      </c>
      <c r="E250" s="88">
        <v>4.157</v>
      </c>
      <c r="F250" s="88">
        <v>7.4074999999999998</v>
      </c>
      <c r="G250" s="88">
        <v>5.5981059999999996</v>
      </c>
      <c r="H250" s="88">
        <v>7.0308650000000004</v>
      </c>
      <c r="I250" s="89">
        <v>0.1353</v>
      </c>
      <c r="J250" s="89">
        <v>0.1439</v>
      </c>
      <c r="K250" s="88">
        <v>51.47672</v>
      </c>
      <c r="L250" s="90"/>
      <c r="M250" s="14"/>
      <c r="N250" s="91"/>
    </row>
    <row r="251" spans="2:14" ht="16.5" hidden="1" customHeight="1" outlineLevel="1">
      <c r="B251" s="688"/>
      <c r="C251" s="109">
        <v>21</v>
      </c>
      <c r="D251" s="110" t="s">
        <v>34</v>
      </c>
      <c r="E251" s="92">
        <v>4.1580000000000004</v>
      </c>
      <c r="F251" s="92">
        <v>7.5512499999999996</v>
      </c>
      <c r="G251" s="92">
        <v>5.7053710000000004</v>
      </c>
      <c r="H251" s="92">
        <v>7.1256839999999997</v>
      </c>
      <c r="I251" s="93">
        <v>0.13450000000000001</v>
      </c>
      <c r="J251" s="93">
        <v>0.1457</v>
      </c>
      <c r="K251" s="92">
        <v>51.827385</v>
      </c>
      <c r="L251" s="94"/>
      <c r="M251" s="58"/>
      <c r="N251" s="95"/>
    </row>
    <row r="252" spans="2:14" ht="16.5" hidden="1" customHeight="1" outlineLevel="1">
      <c r="B252" s="688"/>
      <c r="C252" s="106">
        <v>22</v>
      </c>
      <c r="D252" s="39" t="s">
        <v>35</v>
      </c>
      <c r="E252" s="83">
        <v>4.1619999999999999</v>
      </c>
      <c r="F252" s="83">
        <v>7.6012500000000003</v>
      </c>
      <c r="G252" s="83">
        <v>5.7376290000000001</v>
      </c>
      <c r="H252" s="83">
        <v>7.1838480000000002</v>
      </c>
      <c r="I252" s="84">
        <v>0.1343</v>
      </c>
      <c r="J252" s="84">
        <v>0.14560000000000001</v>
      </c>
      <c r="K252" s="83">
        <v>52.206386999999999</v>
      </c>
      <c r="L252" s="10"/>
      <c r="M252" s="11"/>
      <c r="N252" s="34"/>
    </row>
    <row r="253" spans="2:14" ht="16.5" hidden="1" customHeight="1" outlineLevel="1">
      <c r="B253" s="688"/>
      <c r="C253" s="106">
        <v>23</v>
      </c>
      <c r="D253" s="39" t="s">
        <v>36</v>
      </c>
      <c r="E253" s="83">
        <v>4.1639999999999997</v>
      </c>
      <c r="F253" s="83">
        <v>7.5650000000000004</v>
      </c>
      <c r="G253" s="83">
        <v>5.7075240000000003</v>
      </c>
      <c r="H253" s="83">
        <v>7.1649630000000002</v>
      </c>
      <c r="I253" s="84">
        <v>0.13450000000000001</v>
      </c>
      <c r="J253" s="84">
        <v>0.14530000000000001</v>
      </c>
      <c r="K253" s="83">
        <v>52.064694000000003</v>
      </c>
      <c r="L253" s="10"/>
      <c r="M253" s="11"/>
      <c r="N253" s="34"/>
    </row>
    <row r="254" spans="2:14" ht="16.5" hidden="1" customHeight="1" outlineLevel="1">
      <c r="B254" s="688"/>
      <c r="C254" s="106">
        <v>24</v>
      </c>
      <c r="D254" s="39" t="s">
        <v>37</v>
      </c>
      <c r="E254" s="83">
        <v>4.157</v>
      </c>
      <c r="F254" s="83">
        <v>7.5</v>
      </c>
      <c r="G254" s="83">
        <v>5.6680120000000001</v>
      </c>
      <c r="H254" s="83">
        <v>7.0968629999999999</v>
      </c>
      <c r="I254" s="84">
        <v>0.13489999999999999</v>
      </c>
      <c r="J254" s="84">
        <v>0.14460000000000001</v>
      </c>
      <c r="K254" s="83">
        <v>51.867220000000003</v>
      </c>
      <c r="L254" s="10"/>
      <c r="M254" s="11"/>
      <c r="N254" s="34"/>
    </row>
    <row r="255" spans="2:14" ht="17.25" hidden="1" customHeight="1" outlineLevel="1" thickBot="1">
      <c r="B255" s="689"/>
      <c r="C255" s="107">
        <v>25</v>
      </c>
      <c r="D255" s="108" t="s">
        <v>38</v>
      </c>
      <c r="E255" s="88">
        <v>4.1539999999999999</v>
      </c>
      <c r="F255" s="88">
        <v>7.42</v>
      </c>
      <c r="G255" s="88">
        <v>5.6116029999999997</v>
      </c>
      <c r="H255" s="88">
        <v>7.0404530000000003</v>
      </c>
      <c r="I255" s="89">
        <v>0.1351</v>
      </c>
      <c r="J255" s="89">
        <v>0.14399999999999999</v>
      </c>
      <c r="K255" s="88">
        <v>51.527777999999998</v>
      </c>
      <c r="L255" s="90"/>
      <c r="M255" s="14"/>
      <c r="N255" s="91"/>
    </row>
    <row r="256" spans="2:14" s="41" customFormat="1" ht="17.25" hidden="1" collapsed="1" thickBot="1">
      <c r="B256" s="112"/>
      <c r="C256" s="690" t="s">
        <v>39</v>
      </c>
      <c r="D256" s="691"/>
      <c r="E256" s="113">
        <f t="shared" ref="E256:L256" si="26">1-(E229/E240)</f>
        <v>-1.6672812094202794E-3</v>
      </c>
      <c r="F256" s="113">
        <f t="shared" si="26"/>
        <v>6.1545981736174094E-3</v>
      </c>
      <c r="G256" s="113">
        <f t="shared" si="26"/>
        <v>7.804618035610944E-3</v>
      </c>
      <c r="H256" s="113">
        <f t="shared" si="26"/>
        <v>5.8994669013504586E-3</v>
      </c>
      <c r="I256" s="113">
        <f t="shared" si="26"/>
        <v>5.688844917141056E-4</v>
      </c>
      <c r="J256" s="113">
        <f t="shared" si="26"/>
        <v>-6.206896551723684E-4</v>
      </c>
      <c r="K256" s="113">
        <f t="shared" si="26"/>
        <v>6.7583082385291871E-3</v>
      </c>
      <c r="L256" s="114" t="e">
        <f t="shared" si="26"/>
        <v>#DIV/0!</v>
      </c>
      <c r="M256" s="113"/>
      <c r="N256" s="115"/>
    </row>
    <row r="257" spans="1:14" hidden="1"/>
    <row r="258" spans="1:14" s="5" customFormat="1" hidden="1">
      <c r="A258" s="1"/>
      <c r="B258" s="5" t="s">
        <v>182</v>
      </c>
      <c r="C258" s="64"/>
      <c r="E258" s="17"/>
      <c r="F258" s="17"/>
      <c r="G258" s="17"/>
      <c r="H258" s="17"/>
      <c r="I258" s="18"/>
      <c r="J258" s="18"/>
      <c r="K258" s="17"/>
      <c r="L258" s="21"/>
      <c r="M258" s="6"/>
    </row>
    <row r="259" spans="1:14" hidden="1">
      <c r="B259" s="65" t="s">
        <v>68</v>
      </c>
      <c r="L259" s="22"/>
      <c r="M259" s="3"/>
      <c r="N259" s="4"/>
    </row>
    <row r="260" spans="1:14" s="5" customFormat="1" ht="33.75" hidden="1" thickBot="1">
      <c r="A260" s="67"/>
      <c r="B260" s="7" t="s">
        <v>0</v>
      </c>
      <c r="C260" s="116" t="s">
        <v>11</v>
      </c>
      <c r="D260" s="8" t="s">
        <v>1</v>
      </c>
      <c r="E260" s="117" t="s">
        <v>2</v>
      </c>
      <c r="F260" s="117" t="s">
        <v>3</v>
      </c>
      <c r="G260" s="117" t="s">
        <v>4</v>
      </c>
      <c r="H260" s="117" t="s">
        <v>16</v>
      </c>
      <c r="I260" s="118" t="s">
        <v>6</v>
      </c>
      <c r="J260" s="119" t="s">
        <v>7</v>
      </c>
      <c r="K260" s="120" t="s">
        <v>8</v>
      </c>
      <c r="L260" s="30" t="s">
        <v>9</v>
      </c>
      <c r="M260" s="30" t="s">
        <v>18</v>
      </c>
      <c r="N260" s="121" t="s">
        <v>19</v>
      </c>
    </row>
    <row r="261" spans="1:14" s="5" customFormat="1" ht="17.25" hidden="1" thickBot="1">
      <c r="A261" s="67"/>
      <c r="B261" s="687" t="s">
        <v>52</v>
      </c>
      <c r="C261" s="133" t="s">
        <v>61</v>
      </c>
      <c r="D261" s="69" t="s">
        <v>49</v>
      </c>
      <c r="E261" s="70">
        <f t="shared" ref="E261:L261" si="27">AVERAGE(E262:E271)</f>
        <v>4.2553999999999998</v>
      </c>
      <c r="F261" s="70">
        <f t="shared" si="27"/>
        <v>6.8953750000000014</v>
      </c>
      <c r="G261" s="70">
        <f t="shared" si="27"/>
        <v>5.0906396000000003</v>
      </c>
      <c r="H261" s="70">
        <f t="shared" si="27"/>
        <v>6.4058149999999996</v>
      </c>
      <c r="I261" s="71">
        <f t="shared" si="27"/>
        <v>0.13568</v>
      </c>
      <c r="J261" s="71">
        <f t="shared" si="27"/>
        <v>0.14749999999999999</v>
      </c>
      <c r="K261" s="70">
        <f t="shared" si="27"/>
        <v>46.7485353</v>
      </c>
      <c r="L261" s="72" t="e">
        <f t="shared" si="27"/>
        <v>#DIV/0!</v>
      </c>
      <c r="M261" s="72"/>
      <c r="N261" s="73" t="str">
        <f>IF(N262="","",N262)</f>
        <v/>
      </c>
    </row>
    <row r="262" spans="1:14" ht="16.5" hidden="1" customHeight="1" outlineLevel="1">
      <c r="B262" s="688"/>
      <c r="C262" s="74">
        <v>1</v>
      </c>
      <c r="D262" s="75" t="s">
        <v>61</v>
      </c>
      <c r="E262" s="92">
        <v>4.2489999999999997</v>
      </c>
      <c r="F262" s="92">
        <v>6.8574999999999999</v>
      </c>
      <c r="G262" s="92">
        <v>5.0702410000000002</v>
      </c>
      <c r="H262" s="92">
        <v>6.3388850000000003</v>
      </c>
      <c r="I262" s="93">
        <v>0.13539999999999999</v>
      </c>
      <c r="J262" s="93">
        <v>0.1487</v>
      </c>
      <c r="K262" s="92">
        <v>46.116342000000003</v>
      </c>
      <c r="L262" s="94"/>
      <c r="M262" s="58"/>
      <c r="N262" s="61"/>
    </row>
    <row r="263" spans="1:14" ht="16.5" hidden="1" customHeight="1" outlineLevel="1">
      <c r="B263" s="688"/>
      <c r="C263" s="82">
        <v>2</v>
      </c>
      <c r="D263" s="32" t="s">
        <v>62</v>
      </c>
      <c r="E263" s="83">
        <v>4.2489999999999997</v>
      </c>
      <c r="F263" s="83">
        <v>6.9450000000000003</v>
      </c>
      <c r="G263" s="83">
        <v>5.1349359999999997</v>
      </c>
      <c r="H263" s="83">
        <v>6.4217890000000004</v>
      </c>
      <c r="I263" s="84">
        <v>0.1353</v>
      </c>
      <c r="J263" s="84">
        <v>0.1489</v>
      </c>
      <c r="K263" s="83">
        <v>46.642042000000004</v>
      </c>
      <c r="L263" s="10"/>
      <c r="M263" s="11"/>
      <c r="N263" s="33"/>
    </row>
    <row r="264" spans="1:14" ht="16.5" hidden="1" customHeight="1" outlineLevel="1">
      <c r="B264" s="688"/>
      <c r="C264" s="82">
        <v>3</v>
      </c>
      <c r="D264" s="32" t="s">
        <v>60</v>
      </c>
      <c r="E264" s="127">
        <v>4.2759999999999998</v>
      </c>
      <c r="F264" s="127">
        <v>6.9537500000000003</v>
      </c>
      <c r="G264" s="127">
        <v>5.1089409999999997</v>
      </c>
      <c r="H264" s="127">
        <v>6.4496779999999996</v>
      </c>
      <c r="I264" s="84">
        <v>0.13539999999999999</v>
      </c>
      <c r="J264" s="84">
        <v>0.14799999999999999</v>
      </c>
      <c r="K264" s="83">
        <v>46.984797</v>
      </c>
      <c r="L264" s="10"/>
      <c r="M264" s="11"/>
      <c r="N264" s="34"/>
    </row>
    <row r="265" spans="1:14" ht="16.5" hidden="1" customHeight="1" outlineLevel="1">
      <c r="B265" s="688"/>
      <c r="C265" s="82">
        <v>4</v>
      </c>
      <c r="D265" s="32" t="s">
        <v>63</v>
      </c>
      <c r="E265" s="127">
        <v>4.2560000000000002</v>
      </c>
      <c r="F265" s="127">
        <v>6.85</v>
      </c>
      <c r="G265" s="127">
        <v>5.0563650000000004</v>
      </c>
      <c r="H265" s="127">
        <v>6.3811749999999998</v>
      </c>
      <c r="I265" s="84">
        <v>0.1358</v>
      </c>
      <c r="J265" s="84">
        <v>0.14680000000000001</v>
      </c>
      <c r="K265" s="83">
        <v>46.662125000000003</v>
      </c>
      <c r="L265" s="10"/>
      <c r="M265" s="11"/>
      <c r="N265" s="34"/>
    </row>
    <row r="266" spans="1:14" ht="17.25" hidden="1" customHeight="1" outlineLevel="1" thickBot="1">
      <c r="B266" s="688"/>
      <c r="C266" s="85">
        <v>5</v>
      </c>
      <c r="D266" s="86" t="s">
        <v>64</v>
      </c>
      <c r="E266" s="128">
        <v>4.2649999999999997</v>
      </c>
      <c r="F266" s="128">
        <v>6.7462499999999999</v>
      </c>
      <c r="G266" s="128">
        <v>4.9692740000000004</v>
      </c>
      <c r="H266" s="128">
        <v>6.3190929999999996</v>
      </c>
      <c r="I266" s="89">
        <v>0.13619999999999999</v>
      </c>
      <c r="J266" s="89">
        <v>0.1457</v>
      </c>
      <c r="K266" s="88">
        <v>46.302334000000002</v>
      </c>
      <c r="L266" s="90"/>
      <c r="M266" s="14"/>
      <c r="N266" s="91"/>
    </row>
    <row r="267" spans="1:14" ht="16.5" hidden="1" customHeight="1" outlineLevel="1">
      <c r="B267" s="688"/>
      <c r="C267" s="74">
        <v>6</v>
      </c>
      <c r="D267" s="75" t="s">
        <v>20</v>
      </c>
      <c r="E267" s="129">
        <v>4.2409999999999997</v>
      </c>
      <c r="F267" s="129">
        <v>6.9112499999999999</v>
      </c>
      <c r="G267" s="129">
        <v>5.1196210000000004</v>
      </c>
      <c r="H267" s="129">
        <v>6.4058270000000004</v>
      </c>
      <c r="I267" s="93">
        <v>0.1356</v>
      </c>
      <c r="J267" s="93">
        <v>0.14829999999999999</v>
      </c>
      <c r="K267" s="92">
        <v>46.603169000000001</v>
      </c>
      <c r="L267" s="94"/>
      <c r="M267" s="58"/>
      <c r="N267" s="34"/>
    </row>
    <row r="268" spans="1:14" ht="16.5" hidden="1" customHeight="1" outlineLevel="1">
      <c r="B268" s="688"/>
      <c r="C268" s="82">
        <v>7</v>
      </c>
      <c r="D268" s="32" t="s">
        <v>21</v>
      </c>
      <c r="E268" s="127">
        <v>4.2469999999999999</v>
      </c>
      <c r="F268" s="127">
        <v>7.00875</v>
      </c>
      <c r="G268" s="127">
        <v>5.1845109999999996</v>
      </c>
      <c r="H268" s="127">
        <v>6.4827529999999998</v>
      </c>
      <c r="I268" s="84">
        <v>0.1353</v>
      </c>
      <c r="J268" s="84">
        <v>0.1487</v>
      </c>
      <c r="K268" s="83">
        <v>47.133490000000002</v>
      </c>
      <c r="L268" s="10"/>
      <c r="M268" s="11"/>
      <c r="N268" s="34"/>
    </row>
    <row r="269" spans="1:14" ht="16.5" hidden="1" customHeight="1" outlineLevel="1">
      <c r="B269" s="688"/>
      <c r="C269" s="82">
        <v>8</v>
      </c>
      <c r="D269" s="32" t="s">
        <v>65</v>
      </c>
      <c r="E269" s="127">
        <v>4.2549999999999999</v>
      </c>
      <c r="F269" s="127">
        <v>6.9387499999999998</v>
      </c>
      <c r="G269" s="127">
        <v>5.123081</v>
      </c>
      <c r="H269" s="127">
        <v>6.435829</v>
      </c>
      <c r="I269" s="84">
        <v>0.13550000000000001</v>
      </c>
      <c r="J269" s="84">
        <v>0.1479</v>
      </c>
      <c r="K269" s="83">
        <v>46.915145000000003</v>
      </c>
      <c r="L269" s="10"/>
      <c r="M269" s="11"/>
      <c r="N269" s="34"/>
    </row>
    <row r="270" spans="1:14" ht="16.5" hidden="1" customHeight="1" outlineLevel="1">
      <c r="B270" s="688"/>
      <c r="C270" s="82">
        <v>9</v>
      </c>
      <c r="D270" s="32" t="s">
        <v>22</v>
      </c>
      <c r="E270" s="83">
        <v>4.2530000000000001</v>
      </c>
      <c r="F270" s="83">
        <v>6.9137500000000003</v>
      </c>
      <c r="G270" s="83">
        <v>5.1070229999999999</v>
      </c>
      <c r="H270" s="83">
        <v>6.4400430000000002</v>
      </c>
      <c r="I270" s="84">
        <v>0.13600000000000001</v>
      </c>
      <c r="J270" s="84">
        <v>0.14660000000000001</v>
      </c>
      <c r="K270" s="83">
        <v>47.160640999999998</v>
      </c>
      <c r="L270" s="10"/>
      <c r="M270" s="11"/>
      <c r="N270" s="34"/>
    </row>
    <row r="271" spans="1:14" ht="17.25" hidden="1" customHeight="1" outlineLevel="1" thickBot="1">
      <c r="B271" s="689"/>
      <c r="C271" s="97">
        <v>10</v>
      </c>
      <c r="D271" s="35" t="s">
        <v>23</v>
      </c>
      <c r="E271" s="130">
        <v>4.2629999999999999</v>
      </c>
      <c r="F271" s="130">
        <v>6.8287500000000003</v>
      </c>
      <c r="G271" s="130">
        <v>5.0324030000000004</v>
      </c>
      <c r="H271" s="130">
        <v>6.3830780000000003</v>
      </c>
      <c r="I271" s="131">
        <v>0.1363</v>
      </c>
      <c r="J271" s="131">
        <v>0.1454</v>
      </c>
      <c r="K271" s="130">
        <v>46.965268000000002</v>
      </c>
      <c r="L271" s="36"/>
      <c r="M271" s="37"/>
      <c r="N271" s="38"/>
    </row>
    <row r="272" spans="1:14" s="5" customFormat="1" ht="17.25" hidden="1" collapsed="1" thickBot="1">
      <c r="A272" s="67"/>
      <c r="B272" s="687" t="s">
        <v>78</v>
      </c>
      <c r="C272" s="133" t="s">
        <v>67</v>
      </c>
      <c r="D272" s="99" t="s">
        <v>49</v>
      </c>
      <c r="E272" s="100">
        <f t="shared" ref="E272:K272" si="28">AVERAGE(E273:E287)</f>
        <v>4.2593333333333332</v>
      </c>
      <c r="F272" s="100">
        <f t="shared" si="28"/>
        <v>6.9008333333333329</v>
      </c>
      <c r="G272" s="100">
        <f t="shared" si="28"/>
        <v>5.089934333333332</v>
      </c>
      <c r="H272" s="100">
        <f t="shared" si="28"/>
        <v>6.4215729999999986</v>
      </c>
      <c r="I272" s="101">
        <f t="shared" si="28"/>
        <v>0.13601333333333329</v>
      </c>
      <c r="J272" s="101">
        <f t="shared" si="28"/>
        <v>0.14685999999999996</v>
      </c>
      <c r="K272" s="100">
        <f t="shared" si="28"/>
        <v>46.990756133333335</v>
      </c>
      <c r="L272" s="102" t="e">
        <f>AVERAGE(L274:L287)</f>
        <v>#DIV/0!</v>
      </c>
      <c r="M272" s="102"/>
      <c r="N272" s="103" t="str">
        <f>IF(N273="","",N273)</f>
        <v/>
      </c>
    </row>
    <row r="273" spans="2:14" ht="16.5" hidden="1" customHeight="1" outlineLevel="1">
      <c r="B273" s="688"/>
      <c r="C273" s="104">
        <v>11</v>
      </c>
      <c r="D273" s="105" t="s">
        <v>24</v>
      </c>
      <c r="E273" s="77">
        <v>4.242</v>
      </c>
      <c r="F273" s="77">
        <v>6.9137500000000003</v>
      </c>
      <c r="G273" s="77">
        <v>5.120266</v>
      </c>
      <c r="H273" s="77">
        <v>6.4051590000000003</v>
      </c>
      <c r="I273" s="78">
        <v>0.13589999999999999</v>
      </c>
      <c r="J273" s="78">
        <v>0.14779999999999999</v>
      </c>
      <c r="K273" s="77">
        <v>46.777740000000001</v>
      </c>
      <c r="L273" s="79"/>
      <c r="M273" s="80"/>
      <c r="N273" s="132"/>
    </row>
    <row r="274" spans="2:14" ht="16.5" hidden="1" customHeight="1" outlineLevel="1">
      <c r="B274" s="688"/>
      <c r="C274" s="106">
        <v>12</v>
      </c>
      <c r="D274" s="39" t="s">
        <v>25</v>
      </c>
      <c r="E274" s="83">
        <v>4.2539999999999996</v>
      </c>
      <c r="F274" s="83">
        <v>6.9824999999999999</v>
      </c>
      <c r="G274" s="83">
        <v>5.1565940000000001</v>
      </c>
      <c r="H274" s="83">
        <v>6.4704860000000002</v>
      </c>
      <c r="I274" s="84">
        <v>0.1356</v>
      </c>
      <c r="J274" s="84">
        <v>0.14829999999999999</v>
      </c>
      <c r="K274" s="83">
        <v>47.083613999999997</v>
      </c>
      <c r="L274" s="10"/>
      <c r="M274" s="11"/>
      <c r="N274" s="34"/>
    </row>
    <row r="275" spans="2:14" ht="16.5" hidden="1" customHeight="1" outlineLevel="1">
      <c r="B275" s="688"/>
      <c r="C275" s="106">
        <v>13</v>
      </c>
      <c r="D275" s="39" t="s">
        <v>26</v>
      </c>
      <c r="E275" s="83">
        <v>4.2560000000000002</v>
      </c>
      <c r="F275" s="83">
        <v>6.8762499999999998</v>
      </c>
      <c r="G275" s="83">
        <v>5.075742</v>
      </c>
      <c r="H275" s="83">
        <v>6.3837299999999999</v>
      </c>
      <c r="I275" s="84">
        <v>0.13589999999999999</v>
      </c>
      <c r="J275" s="84">
        <v>0.14749999999999999</v>
      </c>
      <c r="K275" s="83">
        <v>46.618644000000003</v>
      </c>
      <c r="L275" s="10"/>
      <c r="M275" s="11"/>
      <c r="N275" s="34"/>
    </row>
    <row r="276" spans="2:14" ht="16.5" hidden="1" customHeight="1" outlineLevel="1">
      <c r="B276" s="688"/>
      <c r="C276" s="106">
        <v>14</v>
      </c>
      <c r="D276" s="39" t="s">
        <v>27</v>
      </c>
      <c r="E276" s="83">
        <v>4.2610000000000001</v>
      </c>
      <c r="F276" s="83">
        <v>6.75875</v>
      </c>
      <c r="G276" s="83">
        <v>4.983155</v>
      </c>
      <c r="H276" s="83">
        <v>6.3034980000000003</v>
      </c>
      <c r="I276" s="84">
        <v>0.1363</v>
      </c>
      <c r="J276" s="84">
        <v>0.1459</v>
      </c>
      <c r="K276" s="83">
        <v>46.324536999999999</v>
      </c>
      <c r="L276" s="10"/>
      <c r="M276" s="11"/>
      <c r="N276" s="34"/>
    </row>
    <row r="277" spans="2:14" ht="17.25" hidden="1" customHeight="1" outlineLevel="1" thickBot="1">
      <c r="B277" s="688"/>
      <c r="C277" s="107">
        <v>15</v>
      </c>
      <c r="D277" s="108" t="s">
        <v>28</v>
      </c>
      <c r="E277" s="88">
        <v>4.26</v>
      </c>
      <c r="F277" s="88">
        <v>6.82125</v>
      </c>
      <c r="G277" s="88">
        <v>5.0304159999999998</v>
      </c>
      <c r="H277" s="88">
        <v>6.3993979999999997</v>
      </c>
      <c r="I277" s="89">
        <v>0.1366</v>
      </c>
      <c r="J277" s="89">
        <v>0.1447</v>
      </c>
      <c r="K277" s="88">
        <v>47.140636000000001</v>
      </c>
      <c r="L277" s="90"/>
      <c r="M277" s="14"/>
      <c r="N277" s="91"/>
    </row>
    <row r="278" spans="2:14" ht="16.5" hidden="1" customHeight="1" outlineLevel="1">
      <c r="B278" s="688"/>
      <c r="C278" s="109">
        <v>16</v>
      </c>
      <c r="D278" s="110" t="s">
        <v>29</v>
      </c>
      <c r="E278" s="92">
        <v>4.2619999999999996</v>
      </c>
      <c r="F278" s="92">
        <v>6.95</v>
      </c>
      <c r="G278" s="92">
        <v>5.1229589999999998</v>
      </c>
      <c r="H278" s="92">
        <v>6.4405000000000001</v>
      </c>
      <c r="I278" s="93">
        <v>0.13589999999999999</v>
      </c>
      <c r="J278" s="93">
        <v>0.1477</v>
      </c>
      <c r="K278" s="92">
        <v>47.054841000000003</v>
      </c>
      <c r="L278" s="94"/>
      <c r="M278" s="58"/>
      <c r="N278" s="95"/>
    </row>
    <row r="279" spans="2:14" ht="16.5" hidden="1" customHeight="1" outlineLevel="1">
      <c r="B279" s="688"/>
      <c r="C279" s="106">
        <v>17</v>
      </c>
      <c r="D279" s="39" t="s">
        <v>30</v>
      </c>
      <c r="E279" s="83">
        <v>4.2389999999999999</v>
      </c>
      <c r="F279" s="83">
        <v>6.9512499999999999</v>
      </c>
      <c r="G279" s="83">
        <v>5.151681</v>
      </c>
      <c r="H279" s="83">
        <v>6.4319119999999996</v>
      </c>
      <c r="I279" s="84">
        <v>0.1356</v>
      </c>
      <c r="J279" s="84">
        <v>0.14829999999999999</v>
      </c>
      <c r="K279" s="83">
        <v>46.872892999999998</v>
      </c>
      <c r="L279" s="10"/>
      <c r="M279" s="11"/>
      <c r="N279" s="34"/>
    </row>
    <row r="280" spans="2:14" ht="16.5" hidden="1" customHeight="1" outlineLevel="1">
      <c r="B280" s="688"/>
      <c r="C280" s="106">
        <v>18</v>
      </c>
      <c r="D280" s="39" t="s">
        <v>31</v>
      </c>
      <c r="E280" s="83">
        <v>4.2469999999999999</v>
      </c>
      <c r="F280" s="83">
        <v>6.9262499999999996</v>
      </c>
      <c r="G280" s="83">
        <v>5.1234840000000004</v>
      </c>
      <c r="H280" s="83">
        <v>6.4301870000000001</v>
      </c>
      <c r="I280" s="84">
        <v>0.1358</v>
      </c>
      <c r="J280" s="84">
        <v>0.14749999999999999</v>
      </c>
      <c r="K280" s="83">
        <v>46.957627000000002</v>
      </c>
      <c r="L280" s="10"/>
      <c r="M280" s="11"/>
      <c r="N280" s="34"/>
    </row>
    <row r="281" spans="2:14" ht="16.5" hidden="1" customHeight="1" outlineLevel="1">
      <c r="B281" s="688"/>
      <c r="C281" s="106">
        <v>19</v>
      </c>
      <c r="D281" s="39" t="s">
        <v>32</v>
      </c>
      <c r="E281" s="83">
        <v>4.2539999999999996</v>
      </c>
      <c r="F281" s="83">
        <v>6.8925000000000001</v>
      </c>
      <c r="G281" s="83">
        <v>5.0901290000000001</v>
      </c>
      <c r="H281" s="83">
        <v>6.4413749999999999</v>
      </c>
      <c r="I281" s="84">
        <v>0.13619999999999999</v>
      </c>
      <c r="J281" s="84">
        <v>0.14580000000000001</v>
      </c>
      <c r="K281" s="83">
        <v>47.273662999999999</v>
      </c>
      <c r="L281" s="10"/>
      <c r="M281" s="11"/>
      <c r="N281" s="34"/>
    </row>
    <row r="282" spans="2:14" ht="17.25" hidden="1" customHeight="1" outlineLevel="1" thickBot="1">
      <c r="B282" s="688"/>
      <c r="C282" s="107">
        <v>20</v>
      </c>
      <c r="D282" s="108" t="s">
        <v>33</v>
      </c>
      <c r="E282" s="88">
        <v>4.258</v>
      </c>
      <c r="F282" s="88">
        <v>6.9725000000000001</v>
      </c>
      <c r="G282" s="88">
        <v>5.1443719999999997</v>
      </c>
      <c r="H282" s="88">
        <v>6.5420550000000004</v>
      </c>
      <c r="I282" s="89">
        <v>0.1366</v>
      </c>
      <c r="J282" s="89">
        <v>0.1447</v>
      </c>
      <c r="K282" s="88">
        <v>48.185901999999999</v>
      </c>
      <c r="L282" s="90"/>
      <c r="M282" s="14"/>
      <c r="N282" s="91"/>
    </row>
    <row r="283" spans="2:14" ht="16.5" hidden="1" customHeight="1" outlineLevel="1">
      <c r="B283" s="688"/>
      <c r="C283" s="109">
        <v>21</v>
      </c>
      <c r="D283" s="110" t="s">
        <v>34</v>
      </c>
      <c r="E283" s="92">
        <v>4.335</v>
      </c>
      <c r="F283" s="92">
        <v>7.1574999999999998</v>
      </c>
      <c r="G283" s="92">
        <v>5.1870659999999997</v>
      </c>
      <c r="H283" s="92">
        <v>6.6317570000000003</v>
      </c>
      <c r="I283" s="93">
        <v>0.1358</v>
      </c>
      <c r="J283" s="93">
        <v>0.1479</v>
      </c>
      <c r="K283" s="92">
        <v>48.394185</v>
      </c>
      <c r="L283" s="94"/>
      <c r="M283" s="58"/>
      <c r="N283" s="95"/>
    </row>
    <row r="284" spans="2:14" ht="16.5" hidden="1" customHeight="1" outlineLevel="1">
      <c r="B284" s="688"/>
      <c r="C284" s="106">
        <v>22</v>
      </c>
      <c r="D284" s="39" t="s">
        <v>35</v>
      </c>
      <c r="E284" s="83">
        <v>4.2430000000000003</v>
      </c>
      <c r="F284" s="83">
        <v>6.9487500000000004</v>
      </c>
      <c r="G284" s="83">
        <v>5.1449740000000004</v>
      </c>
      <c r="H284" s="83">
        <v>6.4301180000000002</v>
      </c>
      <c r="I284" s="84">
        <v>0.13550000000000001</v>
      </c>
      <c r="J284" s="84">
        <v>0.14849999999999999</v>
      </c>
      <c r="K284" s="83">
        <v>46.792929000000001</v>
      </c>
      <c r="L284" s="10"/>
      <c r="M284" s="11"/>
      <c r="N284" s="34"/>
    </row>
    <row r="285" spans="2:14" ht="16.5" hidden="1" customHeight="1" outlineLevel="1">
      <c r="B285" s="688"/>
      <c r="C285" s="106">
        <v>23</v>
      </c>
      <c r="D285" s="39" t="s">
        <v>36</v>
      </c>
      <c r="E285" s="83">
        <v>4.2809999999999997</v>
      </c>
      <c r="F285" s="83">
        <v>6.6137499999999996</v>
      </c>
      <c r="G285" s="83">
        <v>4.8534670000000002</v>
      </c>
      <c r="H285" s="83">
        <v>6.1466409999999998</v>
      </c>
      <c r="I285" s="84">
        <v>0.1358</v>
      </c>
      <c r="J285" s="84">
        <v>0.1474</v>
      </c>
      <c r="K285" s="83">
        <v>44.869402999999998</v>
      </c>
      <c r="L285" s="10"/>
      <c r="M285" s="11"/>
      <c r="N285" s="34"/>
    </row>
    <row r="286" spans="2:14" ht="16.5" hidden="1" customHeight="1" outlineLevel="1">
      <c r="B286" s="688"/>
      <c r="C286" s="106">
        <v>24</v>
      </c>
      <c r="D286" s="39" t="s">
        <v>37</v>
      </c>
      <c r="E286" s="83">
        <v>4.242</v>
      </c>
      <c r="F286" s="83">
        <v>6.9437499999999996</v>
      </c>
      <c r="G286" s="83">
        <v>5.1424839999999996</v>
      </c>
      <c r="H286" s="83">
        <v>6.4833360000000004</v>
      </c>
      <c r="I286" s="84">
        <v>0.13619999999999999</v>
      </c>
      <c r="J286" s="84">
        <v>0.14599999999999999</v>
      </c>
      <c r="K286" s="83">
        <v>47.559932000000003</v>
      </c>
      <c r="L286" s="10"/>
      <c r="M286" s="11"/>
      <c r="N286" s="34"/>
    </row>
    <row r="287" spans="2:14" ht="17.25" hidden="1" customHeight="1" outlineLevel="1" thickBot="1">
      <c r="B287" s="689"/>
      <c r="C287" s="107">
        <v>25</v>
      </c>
      <c r="D287" s="108" t="s">
        <v>38</v>
      </c>
      <c r="E287" s="88">
        <v>4.2560000000000002</v>
      </c>
      <c r="F287" s="88">
        <v>6.80375</v>
      </c>
      <c r="G287" s="88">
        <v>5.0222259999999999</v>
      </c>
      <c r="H287" s="88">
        <v>6.3834429999999998</v>
      </c>
      <c r="I287" s="89">
        <v>0.13650000000000001</v>
      </c>
      <c r="J287" s="89">
        <v>0.1449</v>
      </c>
      <c r="K287" s="88">
        <v>46.954796000000002</v>
      </c>
      <c r="L287" s="90"/>
      <c r="M287" s="14"/>
      <c r="N287" s="91"/>
    </row>
    <row r="288" spans="2:14" s="41" customFormat="1" ht="17.25" hidden="1" collapsed="1" thickBot="1">
      <c r="B288" s="112"/>
      <c r="C288" s="690" t="s">
        <v>39</v>
      </c>
      <c r="D288" s="691"/>
      <c r="E288" s="113">
        <f t="shared" ref="E288:L288" si="29">1-(E261/E272)</f>
        <v>9.2346220065742113E-4</v>
      </c>
      <c r="F288" s="113">
        <f t="shared" si="29"/>
        <v>7.9096727448346726E-4</v>
      </c>
      <c r="G288" s="113">
        <f t="shared" si="29"/>
        <v>-1.3856105412779485E-4</v>
      </c>
      <c r="H288" s="113">
        <f t="shared" si="29"/>
        <v>2.4539158863411403E-3</v>
      </c>
      <c r="I288" s="113">
        <f t="shared" si="29"/>
        <v>2.4507401235169812E-3</v>
      </c>
      <c r="J288" s="113">
        <f t="shared" si="29"/>
        <v>-4.3578918698081726E-3</v>
      </c>
      <c r="K288" s="113">
        <f t="shared" si="29"/>
        <v>5.1546485578152224E-3</v>
      </c>
      <c r="L288" s="114" t="e">
        <f t="shared" si="29"/>
        <v>#DIV/0!</v>
      </c>
      <c r="M288" s="113"/>
      <c r="N288" s="115"/>
    </row>
    <row r="289" spans="1:14" hidden="1"/>
    <row r="290" spans="1:14" s="5" customFormat="1" hidden="1">
      <c r="A290" s="1"/>
      <c r="B290" s="5" t="s">
        <v>184</v>
      </c>
      <c r="C290" s="64"/>
      <c r="E290" s="17"/>
      <c r="F290" s="17"/>
      <c r="G290" s="17"/>
      <c r="H290" s="17"/>
      <c r="I290" s="18"/>
      <c r="J290" s="18"/>
      <c r="K290" s="17"/>
      <c r="L290" s="21"/>
      <c r="M290" s="6"/>
    </row>
    <row r="291" spans="1:14" hidden="1">
      <c r="B291" s="65" t="s">
        <v>68</v>
      </c>
      <c r="L291" s="22"/>
      <c r="M291" s="3"/>
      <c r="N291" s="4"/>
    </row>
    <row r="292" spans="1:14" s="5" customFormat="1" ht="33.75" hidden="1" thickBot="1">
      <c r="A292" s="67"/>
      <c r="B292" s="7" t="s">
        <v>0</v>
      </c>
      <c r="C292" s="116" t="s">
        <v>11</v>
      </c>
      <c r="D292" s="8" t="s">
        <v>1</v>
      </c>
      <c r="E292" s="117" t="s">
        <v>2</v>
      </c>
      <c r="F292" s="117" t="s">
        <v>3</v>
      </c>
      <c r="G292" s="117" t="s">
        <v>4</v>
      </c>
      <c r="H292" s="117" t="s">
        <v>16</v>
      </c>
      <c r="I292" s="118" t="s">
        <v>6</v>
      </c>
      <c r="J292" s="119" t="s">
        <v>7</v>
      </c>
      <c r="K292" s="120" t="s">
        <v>8</v>
      </c>
      <c r="L292" s="30" t="s">
        <v>9</v>
      </c>
      <c r="M292" s="30" t="s">
        <v>18</v>
      </c>
      <c r="N292" s="121" t="s">
        <v>19</v>
      </c>
    </row>
    <row r="293" spans="1:14" s="5" customFormat="1" ht="17.25" hidden="1" thickBot="1">
      <c r="A293" s="67"/>
      <c r="B293" s="687" t="s">
        <v>52</v>
      </c>
      <c r="C293" s="133" t="s">
        <v>61</v>
      </c>
      <c r="D293" s="69" t="s">
        <v>49</v>
      </c>
      <c r="E293" s="70">
        <f t="shared" ref="E293:L293" si="30">AVERAGE(E294:E303)</f>
        <v>4.1938999999999993</v>
      </c>
      <c r="F293" s="70">
        <f t="shared" si="30"/>
        <v>6.7061250000000001</v>
      </c>
      <c r="G293" s="70">
        <f t="shared" si="30"/>
        <v>5.0234898999999995</v>
      </c>
      <c r="H293" s="70">
        <f t="shared" si="30"/>
        <v>6.3515878000000008</v>
      </c>
      <c r="I293" s="71">
        <f t="shared" si="30"/>
        <v>0.13582999999999998</v>
      </c>
      <c r="J293" s="71">
        <f t="shared" si="30"/>
        <v>0.14382999999999999</v>
      </c>
      <c r="K293" s="70">
        <f t="shared" si="30"/>
        <v>46.625993100000002</v>
      </c>
      <c r="L293" s="72" t="e">
        <f t="shared" si="30"/>
        <v>#DIV/0!</v>
      </c>
      <c r="M293" s="72"/>
      <c r="N293" s="73" t="str">
        <f>IF(N294="","",N294)</f>
        <v/>
      </c>
    </row>
    <row r="294" spans="1:14" ht="16.5" hidden="1" customHeight="1" outlineLevel="1">
      <c r="B294" s="688"/>
      <c r="C294" s="74">
        <v>1</v>
      </c>
      <c r="D294" s="75" t="s">
        <v>61</v>
      </c>
      <c r="E294" s="92">
        <v>4.1920000000000002</v>
      </c>
      <c r="F294" s="92">
        <v>6.7362500000000001</v>
      </c>
      <c r="G294" s="92">
        <v>5.0483149999999997</v>
      </c>
      <c r="H294" s="92">
        <v>6.3577700000000004</v>
      </c>
      <c r="I294" s="93">
        <v>0.1356</v>
      </c>
      <c r="J294" s="93">
        <v>0.14480000000000001</v>
      </c>
      <c r="K294" s="92">
        <v>46.521064000000003</v>
      </c>
      <c r="L294" s="94"/>
      <c r="M294" s="58"/>
      <c r="N294" s="61"/>
    </row>
    <row r="295" spans="1:14" ht="16.5" hidden="1" customHeight="1" outlineLevel="1">
      <c r="B295" s="688"/>
      <c r="C295" s="82">
        <v>2</v>
      </c>
      <c r="D295" s="32" t="s">
        <v>62</v>
      </c>
      <c r="E295" s="83">
        <v>4.1959999999999997</v>
      </c>
      <c r="F295" s="83">
        <v>6.7925000000000004</v>
      </c>
      <c r="G295" s="83">
        <v>5.0856170000000001</v>
      </c>
      <c r="H295" s="83">
        <v>6.4092919999999998</v>
      </c>
      <c r="I295" s="84">
        <v>0.1353</v>
      </c>
      <c r="J295" s="84">
        <v>0.14510000000000001</v>
      </c>
      <c r="K295" s="83">
        <v>46.812542999999998</v>
      </c>
      <c r="L295" s="10"/>
      <c r="M295" s="11"/>
      <c r="N295" s="33"/>
    </row>
    <row r="296" spans="1:14" ht="16.5" hidden="1" customHeight="1" outlineLevel="1">
      <c r="B296" s="688"/>
      <c r="C296" s="82">
        <v>3</v>
      </c>
      <c r="D296" s="32" t="s">
        <v>60</v>
      </c>
      <c r="E296" s="127">
        <v>4.2039999999999997</v>
      </c>
      <c r="F296" s="127">
        <v>6.75</v>
      </c>
      <c r="G296" s="127">
        <v>5.0441799999999999</v>
      </c>
      <c r="H296" s="127">
        <v>6.3847269999999998</v>
      </c>
      <c r="I296" s="84">
        <v>0.1356</v>
      </c>
      <c r="J296" s="84">
        <v>0.14430000000000001</v>
      </c>
      <c r="K296" s="83">
        <v>46.777546999999998</v>
      </c>
      <c r="L296" s="10"/>
      <c r="M296" s="11"/>
      <c r="N296" s="34"/>
    </row>
    <row r="297" spans="1:14" ht="16.5" hidden="1" customHeight="1" outlineLevel="1">
      <c r="B297" s="688"/>
      <c r="C297" s="82">
        <v>4</v>
      </c>
      <c r="D297" s="32" t="s">
        <v>63</v>
      </c>
      <c r="E297" s="127">
        <v>4.1920000000000002</v>
      </c>
      <c r="F297" s="127">
        <v>6.6624999999999996</v>
      </c>
      <c r="G297" s="127">
        <v>4.9930450000000004</v>
      </c>
      <c r="H297" s="127">
        <v>6.3277720000000004</v>
      </c>
      <c r="I297" s="84">
        <v>0.13600000000000001</v>
      </c>
      <c r="J297" s="84">
        <v>0.1431</v>
      </c>
      <c r="K297" s="83">
        <v>46.558351000000002</v>
      </c>
      <c r="L297" s="10"/>
      <c r="M297" s="11"/>
      <c r="N297" s="34"/>
    </row>
    <row r="298" spans="1:14" ht="17.25" hidden="1" customHeight="1" outlineLevel="1" thickBot="1">
      <c r="B298" s="688"/>
      <c r="C298" s="85">
        <v>5</v>
      </c>
      <c r="D298" s="86" t="s">
        <v>64</v>
      </c>
      <c r="E298" s="128">
        <v>4.1909999999999998</v>
      </c>
      <c r="F298" s="128">
        <v>6.6287500000000001</v>
      </c>
      <c r="G298" s="128">
        <v>4.9689370000000004</v>
      </c>
      <c r="H298" s="128">
        <v>6.321847</v>
      </c>
      <c r="I298" s="89">
        <v>0.1363</v>
      </c>
      <c r="J298" s="89">
        <v>0.14199999999999999</v>
      </c>
      <c r="K298" s="88">
        <v>46.681337999999997</v>
      </c>
      <c r="L298" s="90"/>
      <c r="M298" s="14"/>
      <c r="N298" s="91"/>
    </row>
    <row r="299" spans="1:14" ht="16.5" hidden="1" customHeight="1" outlineLevel="1">
      <c r="B299" s="688"/>
      <c r="C299" s="74">
        <v>6</v>
      </c>
      <c r="D299" s="75" t="s">
        <v>20</v>
      </c>
      <c r="E299" s="129">
        <v>4.1900000000000004</v>
      </c>
      <c r="F299" s="129">
        <v>6.7437500000000004</v>
      </c>
      <c r="G299" s="129">
        <v>5.0563479999999998</v>
      </c>
      <c r="H299" s="129">
        <v>6.3531180000000003</v>
      </c>
      <c r="I299" s="93">
        <v>0.13569999999999999</v>
      </c>
      <c r="J299" s="93">
        <v>0.14480000000000001</v>
      </c>
      <c r="K299" s="92">
        <v>46.572859000000001</v>
      </c>
      <c r="L299" s="94"/>
      <c r="M299" s="58"/>
      <c r="N299" s="34"/>
    </row>
    <row r="300" spans="1:14" ht="16.5" hidden="1" customHeight="1" outlineLevel="1">
      <c r="B300" s="688"/>
      <c r="C300" s="82">
        <v>7</v>
      </c>
      <c r="D300" s="32" t="s">
        <v>21</v>
      </c>
      <c r="E300" s="127">
        <v>4.1829999999999998</v>
      </c>
      <c r="F300" s="127">
        <v>6.7387499999999996</v>
      </c>
      <c r="G300" s="127">
        <v>5.0610540000000004</v>
      </c>
      <c r="H300" s="127">
        <v>6.3576069999999998</v>
      </c>
      <c r="I300" s="84">
        <v>0.13550000000000001</v>
      </c>
      <c r="J300" s="84">
        <v>0.14510000000000001</v>
      </c>
      <c r="K300" s="83">
        <v>46.442109000000002</v>
      </c>
      <c r="L300" s="10"/>
      <c r="M300" s="11"/>
      <c r="N300" s="34"/>
    </row>
    <row r="301" spans="1:14" ht="16.5" hidden="1" customHeight="1" outlineLevel="1">
      <c r="B301" s="688"/>
      <c r="C301" s="82">
        <v>8</v>
      </c>
      <c r="D301" s="32" t="s">
        <v>65</v>
      </c>
      <c r="E301" s="127">
        <v>4.22</v>
      </c>
      <c r="F301" s="127">
        <v>6.6749999999999998</v>
      </c>
      <c r="G301" s="127">
        <v>4.9692210000000001</v>
      </c>
      <c r="H301" s="127">
        <v>6.3164309999999997</v>
      </c>
      <c r="I301" s="84">
        <v>0.13569999999999999</v>
      </c>
      <c r="J301" s="84">
        <v>0.14419999999999999</v>
      </c>
      <c r="K301" s="83">
        <v>46.289875000000002</v>
      </c>
      <c r="L301" s="10"/>
      <c r="M301" s="11"/>
      <c r="N301" s="34"/>
    </row>
    <row r="302" spans="1:14" ht="16.5" hidden="1" customHeight="1" outlineLevel="1">
      <c r="B302" s="688"/>
      <c r="C302" s="82">
        <v>9</v>
      </c>
      <c r="D302" s="32" t="s">
        <v>22</v>
      </c>
      <c r="E302" s="83">
        <v>4.181</v>
      </c>
      <c r="F302" s="83">
        <v>6.67</v>
      </c>
      <c r="G302" s="83">
        <v>5.0118169999999997</v>
      </c>
      <c r="H302" s="83">
        <v>6.3358869999999996</v>
      </c>
      <c r="I302" s="84">
        <v>0.13619999999999999</v>
      </c>
      <c r="J302" s="84">
        <v>0.14299999999999999</v>
      </c>
      <c r="K302" s="83">
        <v>46.643357000000002</v>
      </c>
      <c r="L302" s="10"/>
      <c r="M302" s="11"/>
      <c r="N302" s="34"/>
    </row>
    <row r="303" spans="1:14" ht="17.25" hidden="1" customHeight="1" outlineLevel="1" thickBot="1">
      <c r="B303" s="689"/>
      <c r="C303" s="97">
        <v>10</v>
      </c>
      <c r="D303" s="35" t="s">
        <v>23</v>
      </c>
      <c r="E303" s="130">
        <v>4.1900000000000004</v>
      </c>
      <c r="F303" s="130">
        <v>6.6637500000000003</v>
      </c>
      <c r="G303" s="130">
        <v>4.9963649999999999</v>
      </c>
      <c r="H303" s="130">
        <v>6.3514270000000002</v>
      </c>
      <c r="I303" s="131">
        <v>0.13639999999999999</v>
      </c>
      <c r="J303" s="131">
        <v>0.1419</v>
      </c>
      <c r="K303" s="130">
        <v>46.960887999999997</v>
      </c>
      <c r="L303" s="36"/>
      <c r="M303" s="37"/>
      <c r="N303" s="38"/>
    </row>
    <row r="304" spans="1:14" s="5" customFormat="1" ht="17.25" hidden="1" collapsed="1" thickBot="1">
      <c r="A304" s="67"/>
      <c r="B304" s="687" t="s">
        <v>79</v>
      </c>
      <c r="C304" s="133" t="s">
        <v>67</v>
      </c>
      <c r="D304" s="99" t="s">
        <v>49</v>
      </c>
      <c r="E304" s="100">
        <f t="shared" ref="E304:K304" si="31">AVERAGE(E305:E319)</f>
        <v>4.1909999999999998</v>
      </c>
      <c r="F304" s="100">
        <f t="shared" si="31"/>
        <v>6.6853333333333325</v>
      </c>
      <c r="G304" s="100">
        <f t="shared" si="31"/>
        <v>5.0113756666666651</v>
      </c>
      <c r="H304" s="100">
        <f t="shared" si="31"/>
        <v>6.3391294666666678</v>
      </c>
      <c r="I304" s="101">
        <f t="shared" si="31"/>
        <v>0.13601999999999997</v>
      </c>
      <c r="J304" s="101">
        <f t="shared" si="31"/>
        <v>0.14349333333333333</v>
      </c>
      <c r="K304" s="100">
        <f t="shared" si="31"/>
        <v>46.59149253333333</v>
      </c>
      <c r="L304" s="102" t="e">
        <f>AVERAGE(L306:L319)</f>
        <v>#DIV/0!</v>
      </c>
      <c r="M304" s="102"/>
      <c r="N304" s="103" t="str">
        <f>IF(N305="","",N305)</f>
        <v/>
      </c>
    </row>
    <row r="305" spans="2:14" ht="16.5" hidden="1" customHeight="1" outlineLevel="1">
      <c r="B305" s="688"/>
      <c r="C305" s="104">
        <v>11</v>
      </c>
      <c r="D305" s="105" t="s">
        <v>24</v>
      </c>
      <c r="E305" s="77">
        <v>4.1790000000000003</v>
      </c>
      <c r="F305" s="77">
        <v>6.69</v>
      </c>
      <c r="G305" s="77">
        <v>5.0292500000000002</v>
      </c>
      <c r="H305" s="77">
        <v>6.3292000000000002</v>
      </c>
      <c r="I305" s="78">
        <v>0.13589999999999999</v>
      </c>
      <c r="J305" s="78">
        <v>0.14430000000000001</v>
      </c>
      <c r="K305" s="77">
        <v>46.361745999999997</v>
      </c>
      <c r="L305" s="79"/>
      <c r="M305" s="80"/>
      <c r="N305" s="132"/>
    </row>
    <row r="306" spans="2:14" ht="16.5" hidden="1" customHeight="1" outlineLevel="1">
      <c r="B306" s="688"/>
      <c r="C306" s="106">
        <v>12</v>
      </c>
      <c r="D306" s="39" t="s">
        <v>25</v>
      </c>
      <c r="E306" s="83">
        <v>4.1920000000000002</v>
      </c>
      <c r="F306" s="83">
        <v>6.7612500000000004</v>
      </c>
      <c r="G306" s="83">
        <v>5.0670500000000001</v>
      </c>
      <c r="H306" s="83">
        <v>6.3816369999999996</v>
      </c>
      <c r="I306" s="84">
        <v>0.13569999999999999</v>
      </c>
      <c r="J306" s="84">
        <v>0.1449</v>
      </c>
      <c r="K306" s="83">
        <v>46.661490999999998</v>
      </c>
      <c r="L306" s="10"/>
      <c r="M306" s="11"/>
      <c r="N306" s="34"/>
    </row>
    <row r="307" spans="2:14" ht="16.5" hidden="1" customHeight="1" outlineLevel="1">
      <c r="B307" s="688"/>
      <c r="C307" s="106">
        <v>13</v>
      </c>
      <c r="D307" s="39" t="s">
        <v>26</v>
      </c>
      <c r="E307" s="83">
        <v>4.1870000000000003</v>
      </c>
      <c r="F307" s="83">
        <v>6.7162499999999996</v>
      </c>
      <c r="G307" s="83">
        <v>5.0393369999999997</v>
      </c>
      <c r="H307" s="83">
        <v>6.351661</v>
      </c>
      <c r="I307" s="84">
        <v>0.13600000000000001</v>
      </c>
      <c r="J307" s="84">
        <v>0.14410000000000001</v>
      </c>
      <c r="K307" s="83">
        <v>46.608257999999999</v>
      </c>
      <c r="L307" s="10"/>
      <c r="M307" s="11"/>
      <c r="N307" s="34"/>
    </row>
    <row r="308" spans="2:14" ht="16.5" hidden="1" customHeight="1" outlineLevel="1">
      <c r="B308" s="688"/>
      <c r="C308" s="106">
        <v>14</v>
      </c>
      <c r="D308" s="39" t="s">
        <v>27</v>
      </c>
      <c r="E308" s="83">
        <v>4.2110000000000003</v>
      </c>
      <c r="F308" s="83">
        <v>6.7525000000000004</v>
      </c>
      <c r="G308" s="83">
        <v>5.0376599999999998</v>
      </c>
      <c r="H308" s="83">
        <v>6.4062190000000001</v>
      </c>
      <c r="I308" s="84">
        <v>0.1363</v>
      </c>
      <c r="J308" s="84">
        <v>0.14280000000000001</v>
      </c>
      <c r="K308" s="83">
        <v>47.286414999999998</v>
      </c>
      <c r="L308" s="10"/>
      <c r="M308" s="11"/>
      <c r="N308" s="34"/>
    </row>
    <row r="309" spans="2:14" ht="17.25" hidden="1" customHeight="1" outlineLevel="1" thickBot="1">
      <c r="B309" s="688"/>
      <c r="C309" s="107">
        <v>15</v>
      </c>
      <c r="D309" s="108" t="s">
        <v>28</v>
      </c>
      <c r="E309" s="88">
        <v>4.1970000000000001</v>
      </c>
      <c r="F309" s="88">
        <v>6.57125</v>
      </c>
      <c r="G309" s="88">
        <v>4.918793</v>
      </c>
      <c r="H309" s="88">
        <v>6.2742240000000002</v>
      </c>
      <c r="I309" s="89">
        <v>0.1366</v>
      </c>
      <c r="J309" s="89">
        <v>0.14149999999999999</v>
      </c>
      <c r="K309" s="88">
        <v>46.439928999999999</v>
      </c>
      <c r="L309" s="90"/>
      <c r="M309" s="14"/>
      <c r="N309" s="91"/>
    </row>
    <row r="310" spans="2:14" ht="16.5" hidden="1" customHeight="1" outlineLevel="1">
      <c r="B310" s="688"/>
      <c r="C310" s="109">
        <v>16</v>
      </c>
      <c r="D310" s="110" t="s">
        <v>29</v>
      </c>
      <c r="E310" s="92">
        <v>4.1840000000000002</v>
      </c>
      <c r="F310" s="92">
        <v>6.6887499999999998</v>
      </c>
      <c r="G310" s="92">
        <v>5.0223019999999998</v>
      </c>
      <c r="H310" s="92">
        <v>6.3128469999999997</v>
      </c>
      <c r="I310" s="93">
        <v>0.13589999999999999</v>
      </c>
      <c r="J310" s="93">
        <v>0.14430000000000001</v>
      </c>
      <c r="K310" s="92">
        <v>46.353084000000003</v>
      </c>
      <c r="L310" s="94"/>
      <c r="M310" s="58"/>
      <c r="N310" s="95"/>
    </row>
    <row r="311" spans="2:14" ht="16.5" hidden="1" customHeight="1" outlineLevel="1">
      <c r="B311" s="688"/>
      <c r="C311" s="106">
        <v>17</v>
      </c>
      <c r="D311" s="39" t="s">
        <v>30</v>
      </c>
      <c r="E311" s="83">
        <v>4.2069999999999999</v>
      </c>
      <c r="F311" s="83">
        <v>6.6462500000000002</v>
      </c>
      <c r="G311" s="83">
        <v>4.9631069999999999</v>
      </c>
      <c r="H311" s="83">
        <v>6.2708760000000003</v>
      </c>
      <c r="I311" s="84">
        <v>0.1356</v>
      </c>
      <c r="J311" s="84">
        <v>0.1447</v>
      </c>
      <c r="K311" s="83">
        <v>45.931237000000003</v>
      </c>
      <c r="L311" s="10"/>
      <c r="M311" s="11"/>
      <c r="N311" s="34"/>
    </row>
    <row r="312" spans="2:14" ht="16.5" hidden="1" customHeight="1" outlineLevel="1">
      <c r="B312" s="688"/>
      <c r="C312" s="106">
        <v>18</v>
      </c>
      <c r="D312" s="39" t="s">
        <v>31</v>
      </c>
      <c r="E312" s="83">
        <v>4.1859999999999999</v>
      </c>
      <c r="F312" s="83">
        <v>6.7262500000000003</v>
      </c>
      <c r="G312" s="83">
        <v>5.0480460000000003</v>
      </c>
      <c r="H312" s="83">
        <v>6.3645870000000002</v>
      </c>
      <c r="I312" s="84">
        <v>0.13589999999999999</v>
      </c>
      <c r="J312" s="84">
        <v>0.14399999999999999</v>
      </c>
      <c r="K312" s="83">
        <v>46.710068999999997</v>
      </c>
      <c r="L312" s="10"/>
      <c r="M312" s="11"/>
      <c r="N312" s="34"/>
    </row>
    <row r="313" spans="2:14" ht="16.5" hidden="1" customHeight="1" outlineLevel="1">
      <c r="B313" s="688"/>
      <c r="C313" s="106">
        <v>19</v>
      </c>
      <c r="D313" s="39" t="s">
        <v>32</v>
      </c>
      <c r="E313" s="83">
        <v>4.1849999999999996</v>
      </c>
      <c r="F313" s="83">
        <v>6.6887499999999998</v>
      </c>
      <c r="G313" s="83">
        <v>5.021102</v>
      </c>
      <c r="H313" s="83">
        <v>6.3619779999999997</v>
      </c>
      <c r="I313" s="84">
        <v>0.1363</v>
      </c>
      <c r="J313" s="84">
        <v>0.14269999999999999</v>
      </c>
      <c r="K313" s="83">
        <v>46.872810000000001</v>
      </c>
      <c r="L313" s="10"/>
      <c r="M313" s="11"/>
      <c r="N313" s="34"/>
    </row>
    <row r="314" spans="2:14" ht="17.25" hidden="1" customHeight="1" outlineLevel="1" thickBot="1">
      <c r="B314" s="688"/>
      <c r="C314" s="107">
        <v>20</v>
      </c>
      <c r="D314" s="108" t="s">
        <v>33</v>
      </c>
      <c r="E314" s="88">
        <v>4.1859999999999999</v>
      </c>
      <c r="F314" s="88">
        <v>6.6475</v>
      </c>
      <c r="G314" s="88">
        <v>4.988944</v>
      </c>
      <c r="H314" s="88">
        <v>6.3540530000000004</v>
      </c>
      <c r="I314" s="89">
        <v>0.13650000000000001</v>
      </c>
      <c r="J314" s="89">
        <v>0.1416</v>
      </c>
      <c r="K314" s="88">
        <v>46.945621000000003</v>
      </c>
      <c r="L314" s="90"/>
      <c r="M314" s="14"/>
      <c r="N314" s="91"/>
    </row>
    <row r="315" spans="2:14" ht="16.5" hidden="1" customHeight="1" outlineLevel="1">
      <c r="B315" s="688"/>
      <c r="C315" s="109">
        <v>21</v>
      </c>
      <c r="D315" s="110" t="s">
        <v>34</v>
      </c>
      <c r="E315" s="92">
        <v>4.1870000000000003</v>
      </c>
      <c r="F315" s="92">
        <v>6.7112499999999997</v>
      </c>
      <c r="G315" s="92">
        <v>5.0355850000000002</v>
      </c>
      <c r="H315" s="92">
        <v>6.3501890000000003</v>
      </c>
      <c r="I315" s="93">
        <v>0.1358</v>
      </c>
      <c r="J315" s="93">
        <v>0.1444</v>
      </c>
      <c r="K315" s="92">
        <v>46.476801000000002</v>
      </c>
      <c r="L315" s="94"/>
      <c r="M315" s="58"/>
      <c r="N315" s="95"/>
    </row>
    <row r="316" spans="2:14" ht="16.5" hidden="1" customHeight="1" outlineLevel="1">
      <c r="B316" s="688"/>
      <c r="C316" s="106">
        <v>22</v>
      </c>
      <c r="D316" s="39" t="s">
        <v>35</v>
      </c>
      <c r="E316" s="83">
        <v>4.2009999999999996</v>
      </c>
      <c r="F316" s="83">
        <v>6.7074999999999996</v>
      </c>
      <c r="G316" s="83">
        <v>5.016</v>
      </c>
      <c r="H316" s="83">
        <v>6.3292770000000003</v>
      </c>
      <c r="I316" s="84">
        <v>0.13539999999999999</v>
      </c>
      <c r="J316" s="84">
        <v>0.14480000000000001</v>
      </c>
      <c r="K316" s="83">
        <v>46.322513999999998</v>
      </c>
      <c r="L316" s="10"/>
      <c r="M316" s="11"/>
      <c r="N316" s="34"/>
    </row>
    <row r="317" spans="2:14" ht="16.5" hidden="1" customHeight="1" outlineLevel="1">
      <c r="B317" s="688"/>
      <c r="C317" s="106">
        <v>23</v>
      </c>
      <c r="D317" s="39" t="s">
        <v>36</v>
      </c>
      <c r="E317" s="83">
        <v>4.1970000000000001</v>
      </c>
      <c r="F317" s="83">
        <v>6.6412500000000003</v>
      </c>
      <c r="G317" s="83">
        <v>4.97119</v>
      </c>
      <c r="H317" s="83">
        <v>6.2953679999999999</v>
      </c>
      <c r="I317" s="84">
        <v>0.1358</v>
      </c>
      <c r="J317" s="84">
        <v>0.1439</v>
      </c>
      <c r="K317" s="83">
        <v>46.151842000000002</v>
      </c>
      <c r="L317" s="10"/>
      <c r="M317" s="11"/>
      <c r="N317" s="34"/>
    </row>
    <row r="318" spans="2:14" ht="16.5" hidden="1" customHeight="1" outlineLevel="1">
      <c r="B318" s="688"/>
      <c r="C318" s="106">
        <v>24</v>
      </c>
      <c r="D318" s="39" t="s">
        <v>37</v>
      </c>
      <c r="E318" s="83">
        <v>4.1829999999999998</v>
      </c>
      <c r="F318" s="83">
        <v>6.6775000000000002</v>
      </c>
      <c r="G318" s="83">
        <v>5.015053</v>
      </c>
      <c r="H318" s="83">
        <v>6.3458639999999997</v>
      </c>
      <c r="I318" s="84">
        <v>0.1361</v>
      </c>
      <c r="J318" s="84">
        <v>0.14269999999999999</v>
      </c>
      <c r="K318" s="83">
        <v>46.793973000000001</v>
      </c>
      <c r="L318" s="10"/>
      <c r="M318" s="11"/>
      <c r="N318" s="34"/>
    </row>
    <row r="319" spans="2:14" ht="17.25" hidden="1" customHeight="1" outlineLevel="1" thickBot="1">
      <c r="B319" s="689"/>
      <c r="C319" s="107">
        <v>25</v>
      </c>
      <c r="D319" s="108" t="s">
        <v>38</v>
      </c>
      <c r="E319" s="88">
        <v>4.1829999999999998</v>
      </c>
      <c r="F319" s="88">
        <v>6.6537499999999996</v>
      </c>
      <c r="G319" s="88">
        <v>4.9972159999999999</v>
      </c>
      <c r="H319" s="88">
        <v>6.358962</v>
      </c>
      <c r="I319" s="89">
        <v>0.13650000000000001</v>
      </c>
      <c r="J319" s="89">
        <v>0.14169999999999999</v>
      </c>
      <c r="K319" s="88">
        <v>46.956598</v>
      </c>
      <c r="L319" s="90"/>
      <c r="M319" s="14"/>
      <c r="N319" s="91"/>
    </row>
    <row r="320" spans="2:14" s="41" customFormat="1" ht="17.25" hidden="1" collapsed="1" thickBot="1">
      <c r="B320" s="112"/>
      <c r="C320" s="690" t="s">
        <v>39</v>
      </c>
      <c r="D320" s="691"/>
      <c r="E320" s="113">
        <f t="shared" ref="E320:L320" si="32">1-(E293/E304)</f>
        <v>-6.9195895967544274E-4</v>
      </c>
      <c r="F320" s="113">
        <f t="shared" si="32"/>
        <v>-3.1100418827285647E-3</v>
      </c>
      <c r="G320" s="113">
        <f t="shared" si="32"/>
        <v>-2.4173468802015652E-3</v>
      </c>
      <c r="H320" s="113">
        <f t="shared" si="32"/>
        <v>-1.9653066558813492E-3</v>
      </c>
      <c r="I320" s="113">
        <f t="shared" si="32"/>
        <v>1.396853403911158E-3</v>
      </c>
      <c r="J320" s="113">
        <f t="shared" si="32"/>
        <v>-2.3462181750601996E-3</v>
      </c>
      <c r="K320" s="113">
        <f t="shared" si="32"/>
        <v>-7.4049069456161298E-4</v>
      </c>
      <c r="L320" s="114" t="e">
        <f t="shared" si="32"/>
        <v>#DIV/0!</v>
      </c>
      <c r="M320" s="113"/>
      <c r="N320" s="115"/>
    </row>
    <row r="321" spans="1:14" hidden="1"/>
    <row r="322" spans="1:14" s="5" customFormat="1" hidden="1">
      <c r="A322" s="1"/>
      <c r="B322" s="5" t="s">
        <v>186</v>
      </c>
      <c r="C322" s="64"/>
      <c r="E322" s="17"/>
      <c r="F322" s="17"/>
      <c r="G322" s="17"/>
      <c r="H322" s="17"/>
      <c r="I322" s="18"/>
      <c r="J322" s="18"/>
      <c r="K322" s="17"/>
      <c r="L322" s="21"/>
      <c r="M322" s="6"/>
    </row>
    <row r="323" spans="1:14" hidden="1">
      <c r="B323" s="65" t="s">
        <v>68</v>
      </c>
      <c r="L323" s="22"/>
      <c r="M323" s="3"/>
      <c r="N323" s="4"/>
    </row>
    <row r="324" spans="1:14" s="5" customFormat="1" ht="33.75" hidden="1" thickBot="1">
      <c r="A324" s="67"/>
      <c r="B324" s="7" t="s">
        <v>0</v>
      </c>
      <c r="C324" s="116" t="s">
        <v>11</v>
      </c>
      <c r="D324" s="8" t="s">
        <v>1</v>
      </c>
      <c r="E324" s="117" t="s">
        <v>2</v>
      </c>
      <c r="F324" s="117" t="s">
        <v>3</v>
      </c>
      <c r="G324" s="117" t="s">
        <v>4</v>
      </c>
      <c r="H324" s="117" t="s">
        <v>16</v>
      </c>
      <c r="I324" s="118" t="s">
        <v>6</v>
      </c>
      <c r="J324" s="119" t="s">
        <v>7</v>
      </c>
      <c r="K324" s="120" t="s">
        <v>8</v>
      </c>
      <c r="L324" s="30" t="s">
        <v>9</v>
      </c>
      <c r="M324" s="30" t="s">
        <v>18</v>
      </c>
      <c r="N324" s="121" t="s">
        <v>19</v>
      </c>
    </row>
    <row r="325" spans="1:14" s="5" customFormat="1" ht="17.25" hidden="1" thickBot="1">
      <c r="A325" s="67"/>
      <c r="B325" s="687" t="s">
        <v>52</v>
      </c>
      <c r="C325" s="133" t="s">
        <v>61</v>
      </c>
      <c r="D325" s="69" t="s">
        <v>49</v>
      </c>
      <c r="E325" s="70">
        <f t="shared" ref="E325:L325" si="33">AVERAGE(E326:E335)</f>
        <v>4.2325999999999997</v>
      </c>
      <c r="F325" s="70">
        <f t="shared" si="33"/>
        <v>6.953125</v>
      </c>
      <c r="G325" s="70">
        <f t="shared" si="33"/>
        <v>5.1608765000000005</v>
      </c>
      <c r="H325" s="70">
        <f t="shared" si="33"/>
        <v>6.6501745000000003</v>
      </c>
      <c r="I325" s="71">
        <f t="shared" si="33"/>
        <v>0.13671000000000003</v>
      </c>
      <c r="J325" s="71">
        <f t="shared" si="33"/>
        <v>0.14108000000000001</v>
      </c>
      <c r="K325" s="70">
        <f t="shared" si="33"/>
        <v>49.285453599999997</v>
      </c>
      <c r="L325" s="72" t="e">
        <f t="shared" si="33"/>
        <v>#DIV/0!</v>
      </c>
      <c r="M325" s="72"/>
      <c r="N325" s="73" t="str">
        <f>IF(N326="","",N326)</f>
        <v/>
      </c>
    </row>
    <row r="326" spans="1:14" ht="16.5" hidden="1" customHeight="1" outlineLevel="1">
      <c r="B326" s="688"/>
      <c r="C326" s="74">
        <v>1</v>
      </c>
      <c r="D326" s="75" t="s">
        <v>61</v>
      </c>
      <c r="E326" s="92">
        <v>4.2300000000000004</v>
      </c>
      <c r="F326" s="92">
        <v>6.9850000000000003</v>
      </c>
      <c r="G326" s="92">
        <v>5.1877079999999998</v>
      </c>
      <c r="H326" s="92">
        <v>6.6851640000000003</v>
      </c>
      <c r="I326" s="93">
        <v>0.1366</v>
      </c>
      <c r="J326" s="93">
        <v>0.14119999999999999</v>
      </c>
      <c r="K326" s="92">
        <v>49.468839000000003</v>
      </c>
      <c r="L326" s="94"/>
      <c r="M326" s="58"/>
      <c r="N326" s="61"/>
    </row>
    <row r="327" spans="1:14" ht="16.5" hidden="1" customHeight="1" outlineLevel="1">
      <c r="B327" s="688"/>
      <c r="C327" s="82">
        <v>2</v>
      </c>
      <c r="D327" s="32" t="s">
        <v>62</v>
      </c>
      <c r="E327" s="83">
        <v>4.2270000000000003</v>
      </c>
      <c r="F327" s="83">
        <v>6.99125</v>
      </c>
      <c r="G327" s="83">
        <v>5.1960350000000002</v>
      </c>
      <c r="H327" s="83">
        <v>6.6877610000000001</v>
      </c>
      <c r="I327" s="84">
        <v>0.1368</v>
      </c>
      <c r="J327" s="84">
        <v>0.14069999999999999</v>
      </c>
      <c r="K327" s="83">
        <v>49.689055000000003</v>
      </c>
      <c r="L327" s="10"/>
      <c r="M327" s="11"/>
      <c r="N327" s="33"/>
    </row>
    <row r="328" spans="1:14" ht="16.5" hidden="1" customHeight="1" outlineLevel="1">
      <c r="B328" s="688"/>
      <c r="C328" s="82">
        <v>3</v>
      </c>
      <c r="D328" s="32" t="s">
        <v>60</v>
      </c>
      <c r="E328" s="127">
        <v>4.24</v>
      </c>
      <c r="F328" s="127">
        <v>6.9662499999999996</v>
      </c>
      <c r="G328" s="127">
        <v>5.161581</v>
      </c>
      <c r="H328" s="127">
        <v>6.6708069999999999</v>
      </c>
      <c r="I328" s="84">
        <v>0.1368</v>
      </c>
      <c r="J328" s="84">
        <v>0.14080000000000001</v>
      </c>
      <c r="K328" s="83">
        <v>49.476207000000002</v>
      </c>
      <c r="L328" s="10"/>
      <c r="M328" s="11"/>
      <c r="N328" s="34"/>
    </row>
    <row r="329" spans="1:14" ht="16.5" hidden="1" customHeight="1" outlineLevel="1">
      <c r="B329" s="688"/>
      <c r="C329" s="82">
        <v>4</v>
      </c>
      <c r="D329" s="32" t="s">
        <v>63</v>
      </c>
      <c r="E329" s="127">
        <v>4.2389999999999999</v>
      </c>
      <c r="F329" s="127">
        <v>6.9437499999999996</v>
      </c>
      <c r="G329" s="127">
        <v>5.1461230000000002</v>
      </c>
      <c r="H329" s="127">
        <v>6.6430749999999996</v>
      </c>
      <c r="I329" s="84">
        <v>0.1366</v>
      </c>
      <c r="J329" s="84">
        <v>0.1411</v>
      </c>
      <c r="K329" s="83">
        <v>49.211551999999998</v>
      </c>
      <c r="L329" s="10"/>
      <c r="M329" s="11"/>
      <c r="N329" s="34"/>
    </row>
    <row r="330" spans="1:14" ht="17.25" hidden="1" customHeight="1" outlineLevel="1" thickBot="1">
      <c r="B330" s="688"/>
      <c r="C330" s="85">
        <v>5</v>
      </c>
      <c r="D330" s="86" t="s">
        <v>64</v>
      </c>
      <c r="E330" s="128">
        <v>4.2320000000000002</v>
      </c>
      <c r="F330" s="128">
        <v>6.9225000000000003</v>
      </c>
      <c r="G330" s="128">
        <v>5.1388600000000002</v>
      </c>
      <c r="H330" s="128">
        <v>6.6064420000000004</v>
      </c>
      <c r="I330" s="89">
        <v>0.13650000000000001</v>
      </c>
      <c r="J330" s="89">
        <v>0.14169999999999999</v>
      </c>
      <c r="K330" s="88">
        <v>48.853211000000002</v>
      </c>
      <c r="L330" s="90"/>
      <c r="M330" s="14"/>
      <c r="N330" s="91"/>
    </row>
    <row r="331" spans="1:14" ht="16.5" hidden="1" customHeight="1" outlineLevel="1">
      <c r="B331" s="688"/>
      <c r="C331" s="74">
        <v>6</v>
      </c>
      <c r="D331" s="75" t="s">
        <v>20</v>
      </c>
      <c r="E331" s="129">
        <v>4.2279999999999998</v>
      </c>
      <c r="F331" s="129">
        <v>6.9962499999999999</v>
      </c>
      <c r="G331" s="129">
        <v>5.1985219999999996</v>
      </c>
      <c r="H331" s="129">
        <v>6.6840409999999997</v>
      </c>
      <c r="I331" s="93">
        <v>0.13669999999999999</v>
      </c>
      <c r="J331" s="93">
        <v>0.1411</v>
      </c>
      <c r="K331" s="92">
        <v>49.583629000000002</v>
      </c>
      <c r="L331" s="94"/>
      <c r="M331" s="58"/>
      <c r="N331" s="34"/>
    </row>
    <row r="332" spans="1:14" ht="16.5" hidden="1" customHeight="1" outlineLevel="1">
      <c r="B332" s="688"/>
      <c r="C332" s="82">
        <v>7</v>
      </c>
      <c r="D332" s="32" t="s">
        <v>21</v>
      </c>
      <c r="E332" s="127">
        <v>4.2309999999999999</v>
      </c>
      <c r="F332" s="127">
        <v>6.9775</v>
      </c>
      <c r="G332" s="127">
        <v>5.1809130000000003</v>
      </c>
      <c r="H332" s="127">
        <v>6.683948</v>
      </c>
      <c r="I332" s="84">
        <v>0.13689999999999999</v>
      </c>
      <c r="J332" s="84">
        <v>0.14069999999999999</v>
      </c>
      <c r="K332" s="83">
        <v>49.591329000000002</v>
      </c>
      <c r="L332" s="10"/>
      <c r="M332" s="11"/>
      <c r="N332" s="34"/>
    </row>
    <row r="333" spans="1:14" ht="16.5" hidden="1" customHeight="1" outlineLevel="1">
      <c r="B333" s="688"/>
      <c r="C333" s="82">
        <v>8</v>
      </c>
      <c r="D333" s="32" t="s">
        <v>65</v>
      </c>
      <c r="E333" s="127">
        <v>4.2359999999999998</v>
      </c>
      <c r="F333" s="127">
        <v>6.9050000000000002</v>
      </c>
      <c r="G333" s="127">
        <v>5.1210290000000001</v>
      </c>
      <c r="H333" s="127">
        <v>6.6094049999999998</v>
      </c>
      <c r="I333" s="84">
        <v>0.1368</v>
      </c>
      <c r="J333" s="84">
        <v>0.14080000000000001</v>
      </c>
      <c r="K333" s="83">
        <v>49.041193</v>
      </c>
      <c r="L333" s="10"/>
      <c r="M333" s="11"/>
      <c r="N333" s="34"/>
    </row>
    <row r="334" spans="1:14" ht="16.5" hidden="1" customHeight="1" outlineLevel="1">
      <c r="B334" s="688"/>
      <c r="C334" s="82">
        <v>9</v>
      </c>
      <c r="D334" s="32" t="s">
        <v>22</v>
      </c>
      <c r="E334" s="83">
        <v>4.2279999999999998</v>
      </c>
      <c r="F334" s="83">
        <v>6.9050000000000002</v>
      </c>
      <c r="G334" s="83">
        <v>5.130719</v>
      </c>
      <c r="H334" s="83">
        <v>6.6109819999999999</v>
      </c>
      <c r="I334" s="84">
        <v>0.1368</v>
      </c>
      <c r="J334" s="84">
        <v>0.14099999999999999</v>
      </c>
      <c r="K334" s="83">
        <v>48.971631000000002</v>
      </c>
      <c r="L334" s="10"/>
      <c r="M334" s="11"/>
      <c r="N334" s="34"/>
    </row>
    <row r="335" spans="1:14" ht="17.25" hidden="1" customHeight="1" outlineLevel="1" thickBot="1">
      <c r="B335" s="689"/>
      <c r="C335" s="97">
        <v>10</v>
      </c>
      <c r="D335" s="35" t="s">
        <v>23</v>
      </c>
      <c r="E335" s="130">
        <v>4.2350000000000003</v>
      </c>
      <c r="F335" s="130">
        <v>6.9387499999999998</v>
      </c>
      <c r="G335" s="130">
        <v>5.1472749999999996</v>
      </c>
      <c r="H335" s="130">
        <v>6.62012</v>
      </c>
      <c r="I335" s="131">
        <v>0.1366</v>
      </c>
      <c r="J335" s="131">
        <v>0.14169999999999999</v>
      </c>
      <c r="K335" s="130">
        <v>48.967889999999997</v>
      </c>
      <c r="L335" s="36"/>
      <c r="M335" s="37"/>
      <c r="N335" s="38"/>
    </row>
    <row r="336" spans="1:14" s="5" customFormat="1" ht="17.25" hidden="1" collapsed="1" thickBot="1">
      <c r="A336" s="67"/>
      <c r="B336" s="687" t="s">
        <v>80</v>
      </c>
      <c r="C336" s="133" t="s">
        <v>67</v>
      </c>
      <c r="D336" s="99" t="s">
        <v>49</v>
      </c>
      <c r="E336" s="100">
        <f t="shared" ref="E336:K336" si="34">AVERAGE(E337:E351)</f>
        <v>4.2238666666666669</v>
      </c>
      <c r="F336" s="100">
        <f t="shared" si="34"/>
        <v>6.8655833333333334</v>
      </c>
      <c r="G336" s="100">
        <f t="shared" si="34"/>
        <v>5.1064546666666661</v>
      </c>
      <c r="H336" s="100">
        <f t="shared" si="34"/>
        <v>6.5573374666666657</v>
      </c>
      <c r="I336" s="101">
        <f t="shared" si="34"/>
        <v>0.13676000000000005</v>
      </c>
      <c r="J336" s="101">
        <f t="shared" si="34"/>
        <v>0.14119999999999999</v>
      </c>
      <c r="K336" s="100">
        <f t="shared" si="34"/>
        <v>48.623709133333335</v>
      </c>
      <c r="L336" s="102" t="e">
        <f>AVERAGE(L338:L351)</f>
        <v>#DIV/0!</v>
      </c>
      <c r="M336" s="102"/>
      <c r="N336" s="103" t="str">
        <f>IF(N337="","",N337)</f>
        <v/>
      </c>
    </row>
    <row r="337" spans="2:14" ht="16.5" hidden="1" customHeight="1" outlineLevel="1">
      <c r="B337" s="688"/>
      <c r="C337" s="104">
        <v>11</v>
      </c>
      <c r="D337" s="105" t="s">
        <v>24</v>
      </c>
      <c r="E337" s="77">
        <v>4.226</v>
      </c>
      <c r="F337" s="77">
        <v>6.9375</v>
      </c>
      <c r="G337" s="77">
        <v>5.1573070000000003</v>
      </c>
      <c r="H337" s="77">
        <v>6.6300739999999996</v>
      </c>
      <c r="I337" s="78">
        <v>0.1368</v>
      </c>
      <c r="J337" s="78">
        <v>0.1409</v>
      </c>
      <c r="K337" s="77">
        <v>49.237048000000001</v>
      </c>
      <c r="L337" s="79"/>
      <c r="M337" s="80"/>
      <c r="N337" s="132"/>
    </row>
    <row r="338" spans="2:14" ht="16.5" hidden="1" customHeight="1" outlineLevel="1">
      <c r="B338" s="688"/>
      <c r="C338" s="106">
        <v>12</v>
      </c>
      <c r="D338" s="39" t="s">
        <v>25</v>
      </c>
      <c r="E338" s="83">
        <v>4.218</v>
      </c>
      <c r="F338" s="83">
        <v>6.915</v>
      </c>
      <c r="G338" s="83">
        <v>5.1503310000000004</v>
      </c>
      <c r="H338" s="83">
        <v>6.6244360000000002</v>
      </c>
      <c r="I338" s="84">
        <v>0.13700000000000001</v>
      </c>
      <c r="J338" s="84">
        <v>0.14050000000000001</v>
      </c>
      <c r="K338" s="83">
        <v>49.217081999999998</v>
      </c>
      <c r="L338" s="10"/>
      <c r="M338" s="11"/>
      <c r="N338" s="34"/>
    </row>
    <row r="339" spans="2:14" ht="16.5" hidden="1" customHeight="1" outlineLevel="1">
      <c r="B339" s="688"/>
      <c r="C339" s="106">
        <v>13</v>
      </c>
      <c r="D339" s="39" t="s">
        <v>26</v>
      </c>
      <c r="E339" s="83">
        <v>4.2430000000000003</v>
      </c>
      <c r="F339" s="83">
        <v>6.7112499999999997</v>
      </c>
      <c r="G339" s="83">
        <v>4.969125</v>
      </c>
      <c r="H339" s="83">
        <v>6.4271580000000004</v>
      </c>
      <c r="I339" s="84">
        <v>0.1371</v>
      </c>
      <c r="J339" s="84">
        <v>0.14069999999999999</v>
      </c>
      <c r="K339" s="83">
        <v>47.699005</v>
      </c>
      <c r="L339" s="10"/>
      <c r="M339" s="11"/>
      <c r="N339" s="34"/>
    </row>
    <row r="340" spans="2:14" ht="16.5" hidden="1" customHeight="1" outlineLevel="1">
      <c r="B340" s="688"/>
      <c r="C340" s="106">
        <v>14</v>
      </c>
      <c r="D340" s="39" t="s">
        <v>27</v>
      </c>
      <c r="E340" s="83">
        <v>4.226</v>
      </c>
      <c r="F340" s="83">
        <v>6.82125</v>
      </c>
      <c r="G340" s="83">
        <v>5.0708880000000001</v>
      </c>
      <c r="H340" s="83">
        <v>6.5271809999999997</v>
      </c>
      <c r="I340" s="84">
        <v>0.13689999999999999</v>
      </c>
      <c r="J340" s="84">
        <v>0.14080000000000001</v>
      </c>
      <c r="K340" s="83">
        <v>48.446378000000003</v>
      </c>
      <c r="L340" s="10"/>
      <c r="M340" s="11"/>
      <c r="N340" s="34"/>
    </row>
    <row r="341" spans="2:14" ht="17.25" hidden="1" customHeight="1" outlineLevel="1" thickBot="1">
      <c r="B341" s="688"/>
      <c r="C341" s="107">
        <v>15</v>
      </c>
      <c r="D341" s="108" t="s">
        <v>28</v>
      </c>
      <c r="E341" s="88">
        <v>4.2370000000000001</v>
      </c>
      <c r="F341" s="88">
        <v>6.8787500000000001</v>
      </c>
      <c r="G341" s="88">
        <v>5.1003569999999998</v>
      </c>
      <c r="H341" s="88">
        <v>6.5570779999999997</v>
      </c>
      <c r="I341" s="89">
        <v>0.13669999999999999</v>
      </c>
      <c r="J341" s="89">
        <v>0.14149999999999999</v>
      </c>
      <c r="K341" s="88">
        <v>48.613073999999997</v>
      </c>
      <c r="L341" s="90"/>
      <c r="M341" s="14"/>
      <c r="N341" s="91"/>
    </row>
    <row r="342" spans="2:14" ht="16.5" hidden="1" customHeight="1" outlineLevel="1">
      <c r="B342" s="688"/>
      <c r="C342" s="109">
        <v>16</v>
      </c>
      <c r="D342" s="110" t="s">
        <v>29</v>
      </c>
      <c r="E342" s="92">
        <v>4.2279999999999998</v>
      </c>
      <c r="F342" s="92">
        <v>6.9237500000000001</v>
      </c>
      <c r="G342" s="92">
        <v>5.1446509999999996</v>
      </c>
      <c r="H342" s="92">
        <v>6.6141430000000003</v>
      </c>
      <c r="I342" s="93">
        <v>0.13669999999999999</v>
      </c>
      <c r="J342" s="93">
        <v>0.14119999999999999</v>
      </c>
      <c r="K342" s="92">
        <v>49.035057000000002</v>
      </c>
      <c r="L342" s="94"/>
      <c r="M342" s="58"/>
      <c r="N342" s="95"/>
    </row>
    <row r="343" spans="2:14" ht="16.5" hidden="1" customHeight="1" outlineLevel="1">
      <c r="B343" s="688"/>
      <c r="C343" s="106">
        <v>17</v>
      </c>
      <c r="D343" s="39" t="s">
        <v>30</v>
      </c>
      <c r="E343" s="83">
        <v>4.2160000000000002</v>
      </c>
      <c r="F343" s="83">
        <v>6.8912500000000003</v>
      </c>
      <c r="G343" s="83">
        <v>5.1350759999999998</v>
      </c>
      <c r="H343" s="83">
        <v>6.5945869999999998</v>
      </c>
      <c r="I343" s="84">
        <v>0.13689999999999999</v>
      </c>
      <c r="J343" s="84">
        <v>0.14080000000000001</v>
      </c>
      <c r="K343" s="83">
        <v>48.943536999999999</v>
      </c>
      <c r="L343" s="10"/>
      <c r="M343" s="11"/>
      <c r="N343" s="34"/>
    </row>
    <row r="344" spans="2:14" ht="16.5" hidden="1" customHeight="1" outlineLevel="1">
      <c r="B344" s="688"/>
      <c r="C344" s="106">
        <v>18</v>
      </c>
      <c r="D344" s="39" t="s">
        <v>31</v>
      </c>
      <c r="E344" s="83">
        <v>4.2430000000000003</v>
      </c>
      <c r="F344" s="83">
        <v>6.9487500000000004</v>
      </c>
      <c r="G344" s="83">
        <v>5.1449740000000004</v>
      </c>
      <c r="H344" s="83">
        <v>6.64541</v>
      </c>
      <c r="I344" s="84">
        <v>0.1368</v>
      </c>
      <c r="J344" s="84">
        <v>0.14080000000000001</v>
      </c>
      <c r="K344" s="83">
        <v>49.351917999999998</v>
      </c>
      <c r="L344" s="10"/>
      <c r="M344" s="11"/>
      <c r="N344" s="34"/>
    </row>
    <row r="345" spans="2:14" ht="16.5" hidden="1" customHeight="1" outlineLevel="1">
      <c r="B345" s="688"/>
      <c r="C345" s="106">
        <v>19</v>
      </c>
      <c r="D345" s="39" t="s">
        <v>32</v>
      </c>
      <c r="E345" s="83">
        <v>4.2220000000000004</v>
      </c>
      <c r="F345" s="83">
        <v>6.8574999999999999</v>
      </c>
      <c r="G345" s="83">
        <v>5.102665</v>
      </c>
      <c r="H345" s="83">
        <v>6.5392739999999998</v>
      </c>
      <c r="I345" s="84">
        <v>0.1368</v>
      </c>
      <c r="J345" s="84">
        <v>0.14119999999999999</v>
      </c>
      <c r="K345" s="83">
        <v>48.565863999999998</v>
      </c>
      <c r="L345" s="10"/>
      <c r="M345" s="11"/>
      <c r="N345" s="34"/>
    </row>
    <row r="346" spans="2:14" ht="17.25" hidden="1" customHeight="1" outlineLevel="1" thickBot="1">
      <c r="B346" s="688"/>
      <c r="C346" s="107">
        <v>20</v>
      </c>
      <c r="D346" s="108" t="s">
        <v>33</v>
      </c>
      <c r="E346" s="88">
        <v>4.2290000000000001</v>
      </c>
      <c r="F346" s="88">
        <v>6.8849999999999998</v>
      </c>
      <c r="G346" s="88">
        <v>5.1146479999999999</v>
      </c>
      <c r="H346" s="88">
        <v>6.5660189999999998</v>
      </c>
      <c r="I346" s="89">
        <v>0.1366</v>
      </c>
      <c r="J346" s="89">
        <v>0.14169999999999999</v>
      </c>
      <c r="K346" s="88">
        <v>48.588566999999998</v>
      </c>
      <c r="L346" s="90"/>
      <c r="M346" s="14"/>
      <c r="N346" s="91"/>
    </row>
    <row r="347" spans="2:14" ht="16.5" hidden="1" customHeight="1" outlineLevel="1">
      <c r="B347" s="688"/>
      <c r="C347" s="109">
        <v>21</v>
      </c>
      <c r="D347" s="110" t="s">
        <v>34</v>
      </c>
      <c r="E347" s="92">
        <v>4.2160000000000002</v>
      </c>
      <c r="F347" s="92">
        <v>6.8712499999999999</v>
      </c>
      <c r="G347" s="92">
        <v>5.1201730000000003</v>
      </c>
      <c r="H347" s="92">
        <v>6.546284</v>
      </c>
      <c r="I347" s="93">
        <v>0.1366</v>
      </c>
      <c r="J347" s="93">
        <v>0.14180000000000001</v>
      </c>
      <c r="K347" s="92">
        <v>48.457334000000003</v>
      </c>
      <c r="L347" s="94"/>
      <c r="M347" s="58"/>
      <c r="N347" s="95"/>
    </row>
    <row r="348" spans="2:14" ht="16.5" hidden="1" customHeight="1" outlineLevel="1">
      <c r="B348" s="688"/>
      <c r="C348" s="106">
        <v>22</v>
      </c>
      <c r="D348" s="39" t="s">
        <v>35</v>
      </c>
      <c r="E348" s="83">
        <v>4.2140000000000004</v>
      </c>
      <c r="F348" s="83">
        <v>6.835</v>
      </c>
      <c r="G348" s="83">
        <v>5.0955779999999997</v>
      </c>
      <c r="H348" s="83">
        <v>6.5378319999999999</v>
      </c>
      <c r="I348" s="84">
        <v>0.13669999999999999</v>
      </c>
      <c r="J348" s="84">
        <v>0.14119999999999999</v>
      </c>
      <c r="K348" s="83">
        <v>48.406516000000003</v>
      </c>
      <c r="L348" s="10"/>
      <c r="M348" s="11"/>
      <c r="N348" s="34"/>
    </row>
    <row r="349" spans="2:14" ht="16.5" hidden="1" customHeight="1" outlineLevel="1">
      <c r="B349" s="688"/>
      <c r="C349" s="106">
        <v>23</v>
      </c>
      <c r="D349" s="39" t="s">
        <v>36</v>
      </c>
      <c r="E349" s="83">
        <v>4.2119999999999997</v>
      </c>
      <c r="F349" s="83">
        <v>6.8612500000000001</v>
      </c>
      <c r="G349" s="83">
        <v>5.1175769999999998</v>
      </c>
      <c r="H349" s="83">
        <v>6.5536690000000002</v>
      </c>
      <c r="I349" s="84">
        <v>0.1368</v>
      </c>
      <c r="J349" s="84">
        <v>0.14130000000000001</v>
      </c>
      <c r="K349" s="83">
        <v>48.558033000000002</v>
      </c>
      <c r="L349" s="10"/>
      <c r="M349" s="11"/>
      <c r="N349" s="34"/>
    </row>
    <row r="350" spans="2:14" ht="16.5" hidden="1" customHeight="1" outlineLevel="1">
      <c r="B350" s="688"/>
      <c r="C350" s="106">
        <v>24</v>
      </c>
      <c r="D350" s="39" t="s">
        <v>37</v>
      </c>
      <c r="E350" s="83">
        <v>4.21</v>
      </c>
      <c r="F350" s="83">
        <v>6.83</v>
      </c>
      <c r="G350" s="83">
        <v>5.0966889999999996</v>
      </c>
      <c r="H350" s="83">
        <v>6.5108350000000002</v>
      </c>
      <c r="I350" s="84">
        <v>0.1366</v>
      </c>
      <c r="J350" s="84">
        <v>0.1416</v>
      </c>
      <c r="K350" s="83">
        <v>48.234462999999998</v>
      </c>
      <c r="L350" s="10"/>
      <c r="M350" s="11"/>
      <c r="N350" s="34"/>
    </row>
    <row r="351" spans="2:14" ht="17.25" hidden="1" customHeight="1" outlineLevel="1" thickBot="1">
      <c r="B351" s="689"/>
      <c r="C351" s="107">
        <v>25</v>
      </c>
      <c r="D351" s="108" t="s">
        <v>38</v>
      </c>
      <c r="E351" s="88">
        <v>4.218</v>
      </c>
      <c r="F351" s="88">
        <v>6.8162500000000001</v>
      </c>
      <c r="G351" s="88">
        <v>5.0767810000000004</v>
      </c>
      <c r="H351" s="88">
        <v>6.4860819999999997</v>
      </c>
      <c r="I351" s="89">
        <v>0.13639999999999999</v>
      </c>
      <c r="J351" s="89">
        <v>0.14199999999999999</v>
      </c>
      <c r="K351" s="88">
        <v>48.001761000000002</v>
      </c>
      <c r="L351" s="90"/>
      <c r="M351" s="14"/>
      <c r="N351" s="91"/>
    </row>
    <row r="352" spans="2:14" s="41" customFormat="1" ht="17.25" hidden="1" collapsed="1" thickBot="1">
      <c r="B352" s="112"/>
      <c r="C352" s="690" t="s">
        <v>39</v>
      </c>
      <c r="D352" s="691"/>
      <c r="E352" s="113">
        <f t="shared" ref="E352:L352" si="35">1-(E325/E336)</f>
        <v>-2.0676157706998044E-3</v>
      </c>
      <c r="F352" s="113">
        <f t="shared" si="35"/>
        <v>-1.2750798062801216E-2</v>
      </c>
      <c r="G352" s="113">
        <f t="shared" si="35"/>
        <v>-1.0657459408889514E-2</v>
      </c>
      <c r="H352" s="113">
        <f t="shared" si="35"/>
        <v>-1.4157733044129373E-2</v>
      </c>
      <c r="I352" s="113">
        <f t="shared" si="35"/>
        <v>3.6560397777141151E-4</v>
      </c>
      <c r="J352" s="113">
        <f t="shared" si="35"/>
        <v>8.4985835694040279E-4</v>
      </c>
      <c r="K352" s="113">
        <f t="shared" si="35"/>
        <v>-1.3609501999365392E-2</v>
      </c>
      <c r="L352" s="114" t="e">
        <f t="shared" si="35"/>
        <v>#DIV/0!</v>
      </c>
      <c r="M352" s="113"/>
      <c r="N352" s="115"/>
    </row>
    <row r="353" spans="1:14" hidden="1"/>
    <row r="354" spans="1:14" s="5" customFormat="1" hidden="1">
      <c r="A354" s="1"/>
      <c r="B354" s="5" t="s">
        <v>188</v>
      </c>
      <c r="C354" s="64"/>
      <c r="E354" s="17"/>
      <c r="F354" s="17"/>
      <c r="G354" s="17"/>
      <c r="H354" s="17"/>
      <c r="I354" s="18"/>
      <c r="J354" s="18"/>
      <c r="K354" s="17"/>
      <c r="L354" s="21"/>
      <c r="M354" s="6"/>
    </row>
    <row r="355" spans="1:14" hidden="1">
      <c r="B355" s="65" t="s">
        <v>68</v>
      </c>
      <c r="L355" s="22"/>
      <c r="M355" s="3"/>
      <c r="N355" s="4"/>
    </row>
    <row r="356" spans="1:14" s="5" customFormat="1" ht="33.75" hidden="1" thickBot="1">
      <c r="A356" s="67"/>
      <c r="B356" s="7" t="s">
        <v>0</v>
      </c>
      <c r="C356" s="116" t="s">
        <v>11</v>
      </c>
      <c r="D356" s="8" t="s">
        <v>1</v>
      </c>
      <c r="E356" s="117" t="s">
        <v>2</v>
      </c>
      <c r="F356" s="117" t="s">
        <v>3</v>
      </c>
      <c r="G356" s="117" t="s">
        <v>4</v>
      </c>
      <c r="H356" s="117" t="s">
        <v>16</v>
      </c>
      <c r="I356" s="118" t="s">
        <v>6</v>
      </c>
      <c r="J356" s="119" t="s">
        <v>7</v>
      </c>
      <c r="K356" s="120" t="s">
        <v>8</v>
      </c>
      <c r="L356" s="30" t="s">
        <v>9</v>
      </c>
      <c r="M356" s="30" t="s">
        <v>18</v>
      </c>
      <c r="N356" s="121" t="s">
        <v>19</v>
      </c>
    </row>
    <row r="357" spans="1:14" s="5" customFormat="1" ht="17.25" hidden="1" thickBot="1">
      <c r="A357" s="67"/>
      <c r="B357" s="687" t="s">
        <v>52</v>
      </c>
      <c r="C357" s="133" t="s">
        <v>61</v>
      </c>
      <c r="D357" s="69" t="s">
        <v>49</v>
      </c>
      <c r="E357" s="70">
        <f t="shared" ref="E357:L357" si="36">AVERAGE(E358:E367)</f>
        <v>4.2144999999999992</v>
      </c>
      <c r="F357" s="70">
        <f t="shared" si="36"/>
        <v>6.8120000000000003</v>
      </c>
      <c r="G357" s="70">
        <f t="shared" si="36"/>
        <v>5.0778440000000007</v>
      </c>
      <c r="H357" s="70">
        <f t="shared" si="36"/>
        <v>6.4577458000000005</v>
      </c>
      <c r="I357" s="71">
        <f t="shared" si="36"/>
        <v>0.13526999999999997</v>
      </c>
      <c r="J357" s="71">
        <f t="shared" si="36"/>
        <v>0.14408000000000001</v>
      </c>
      <c r="K357" s="70">
        <f t="shared" si="36"/>
        <v>47.279791400000008</v>
      </c>
      <c r="L357" s="72" t="e">
        <f t="shared" si="36"/>
        <v>#DIV/0!</v>
      </c>
      <c r="M357" s="72"/>
      <c r="N357" s="73" t="str">
        <f>IF(N358="","",N358)</f>
        <v/>
      </c>
    </row>
    <row r="358" spans="1:14" ht="16.5" hidden="1" customHeight="1" outlineLevel="1">
      <c r="B358" s="688"/>
      <c r="C358" s="74">
        <v>1</v>
      </c>
      <c r="D358" s="75" t="s">
        <v>61</v>
      </c>
      <c r="E358" s="92">
        <v>4.2089999999999996</v>
      </c>
      <c r="F358" s="92">
        <v>6.8375000000000004</v>
      </c>
      <c r="G358" s="92">
        <v>5.1034980000000001</v>
      </c>
      <c r="H358" s="92">
        <v>6.4640959999999996</v>
      </c>
      <c r="I358" s="93">
        <v>0.1351</v>
      </c>
      <c r="J358" s="93">
        <v>0.1449</v>
      </c>
      <c r="K358" s="92">
        <v>47.187716000000002</v>
      </c>
      <c r="L358" s="94"/>
      <c r="M358" s="58"/>
      <c r="N358" s="61"/>
    </row>
    <row r="359" spans="1:14" ht="16.5" hidden="1" customHeight="1" outlineLevel="1">
      <c r="B359" s="688"/>
      <c r="C359" s="82">
        <v>2</v>
      </c>
      <c r="D359" s="32" t="s">
        <v>62</v>
      </c>
      <c r="E359" s="83">
        <v>4.2140000000000004</v>
      </c>
      <c r="F359" s="83">
        <v>6.8562500000000002</v>
      </c>
      <c r="G359" s="83">
        <v>5.111421</v>
      </c>
      <c r="H359" s="83">
        <v>6.4791049999999997</v>
      </c>
      <c r="I359" s="84">
        <v>0.1348</v>
      </c>
      <c r="J359" s="84">
        <v>0.14510000000000001</v>
      </c>
      <c r="K359" s="83">
        <v>47.251894999999998</v>
      </c>
      <c r="L359" s="10"/>
      <c r="M359" s="11"/>
      <c r="N359" s="33"/>
    </row>
    <row r="360" spans="1:14" ht="16.5" hidden="1" customHeight="1" outlineLevel="1">
      <c r="B360" s="688"/>
      <c r="C360" s="82">
        <v>3</v>
      </c>
      <c r="D360" s="32" t="s">
        <v>60</v>
      </c>
      <c r="E360" s="127">
        <v>4.2240000000000002</v>
      </c>
      <c r="F360" s="127">
        <v>6.8087499999999999</v>
      </c>
      <c r="G360" s="127">
        <v>5.0639919999999998</v>
      </c>
      <c r="H360" s="127">
        <v>6.4449160000000001</v>
      </c>
      <c r="I360" s="84">
        <v>0.1351</v>
      </c>
      <c r="J360" s="84">
        <v>0.14449999999999999</v>
      </c>
      <c r="K360" s="83">
        <v>47.119377</v>
      </c>
      <c r="L360" s="10"/>
      <c r="M360" s="11"/>
      <c r="N360" s="34"/>
    </row>
    <row r="361" spans="1:14" ht="16.5" hidden="1" customHeight="1" outlineLevel="1">
      <c r="B361" s="688"/>
      <c r="C361" s="82">
        <v>4</v>
      </c>
      <c r="D361" s="32" t="s">
        <v>63</v>
      </c>
      <c r="E361" s="127">
        <v>4.2080000000000002</v>
      </c>
      <c r="F361" s="127">
        <v>6.7750000000000004</v>
      </c>
      <c r="G361" s="127">
        <v>5.0580489999999996</v>
      </c>
      <c r="H361" s="127">
        <v>6.4306450000000002</v>
      </c>
      <c r="I361" s="84">
        <v>0.13550000000000001</v>
      </c>
      <c r="J361" s="84">
        <v>0.14349999999999999</v>
      </c>
      <c r="K361" s="83">
        <v>47.212544000000001</v>
      </c>
      <c r="L361" s="10"/>
      <c r="M361" s="11"/>
      <c r="N361" s="34"/>
    </row>
    <row r="362" spans="1:14" ht="17.25" hidden="1" customHeight="1" outlineLevel="1" thickBot="1">
      <c r="B362" s="688"/>
      <c r="C362" s="85">
        <v>5</v>
      </c>
      <c r="D362" s="86" t="s">
        <v>64</v>
      </c>
      <c r="E362" s="128">
        <v>4.2169999999999996</v>
      </c>
      <c r="F362" s="128">
        <v>6.7762500000000001</v>
      </c>
      <c r="G362" s="128">
        <v>5.0481860000000003</v>
      </c>
      <c r="H362" s="128">
        <v>6.4627920000000003</v>
      </c>
      <c r="I362" s="89">
        <v>0.13569999999999999</v>
      </c>
      <c r="J362" s="89">
        <v>0.1426</v>
      </c>
      <c r="K362" s="88">
        <v>47.519285000000004</v>
      </c>
      <c r="L362" s="90"/>
      <c r="M362" s="14"/>
      <c r="N362" s="91"/>
    </row>
    <row r="363" spans="1:14" ht="16.5" hidden="1" customHeight="1" outlineLevel="1">
      <c r="B363" s="688"/>
      <c r="C363" s="74">
        <v>6</v>
      </c>
      <c r="D363" s="75" t="s">
        <v>20</v>
      </c>
      <c r="E363" s="129">
        <v>4.2030000000000003</v>
      </c>
      <c r="F363" s="129">
        <v>6.8312499999999998</v>
      </c>
      <c r="G363" s="129">
        <v>5.1061120000000004</v>
      </c>
      <c r="H363" s="129">
        <v>6.4526009999999996</v>
      </c>
      <c r="I363" s="93">
        <v>0.1351</v>
      </c>
      <c r="J363" s="93">
        <v>0.1449</v>
      </c>
      <c r="K363" s="92">
        <v>47.144582</v>
      </c>
      <c r="L363" s="94"/>
      <c r="M363" s="58"/>
      <c r="N363" s="34"/>
    </row>
    <row r="364" spans="1:14" ht="16.5" hidden="1" customHeight="1" outlineLevel="1">
      <c r="B364" s="688"/>
      <c r="C364" s="82">
        <v>7</v>
      </c>
      <c r="D364" s="32" t="s">
        <v>21</v>
      </c>
      <c r="E364" s="127">
        <v>4.2119999999999997</v>
      </c>
      <c r="F364" s="127">
        <v>6.8525</v>
      </c>
      <c r="G364" s="127">
        <v>5.1110509999999998</v>
      </c>
      <c r="H364" s="127">
        <v>6.4786809999999999</v>
      </c>
      <c r="I364" s="84">
        <v>0.13489999999999999</v>
      </c>
      <c r="J364" s="84">
        <v>0.14499999999999999</v>
      </c>
      <c r="K364" s="83">
        <v>47.258620999999998</v>
      </c>
      <c r="L364" s="10"/>
      <c r="M364" s="11"/>
      <c r="N364" s="34"/>
    </row>
    <row r="365" spans="1:14" ht="16.5" hidden="1" customHeight="1" outlineLevel="1">
      <c r="B365" s="688"/>
      <c r="C365" s="82">
        <v>8</v>
      </c>
      <c r="D365" s="32" t="s">
        <v>65</v>
      </c>
      <c r="E365" s="127">
        <v>4.2249999999999996</v>
      </c>
      <c r="F365" s="127">
        <v>6.8425000000000002</v>
      </c>
      <c r="G365" s="127">
        <v>5.0878889999999997</v>
      </c>
      <c r="H365" s="127">
        <v>6.4773759999999996</v>
      </c>
      <c r="I365" s="84">
        <v>0.1351</v>
      </c>
      <c r="J365" s="84">
        <v>0.1444</v>
      </c>
      <c r="K365" s="83">
        <v>47.385733999999999</v>
      </c>
      <c r="L365" s="10"/>
      <c r="M365" s="11"/>
      <c r="N365" s="34"/>
    </row>
    <row r="366" spans="1:14" ht="16.5" hidden="1" customHeight="1" outlineLevel="1">
      <c r="B366" s="688"/>
      <c r="C366" s="82">
        <v>9</v>
      </c>
      <c r="D366" s="32" t="s">
        <v>22</v>
      </c>
      <c r="E366" s="83">
        <v>4.218</v>
      </c>
      <c r="F366" s="83">
        <v>6.7975000000000003</v>
      </c>
      <c r="G366" s="83">
        <v>5.0628159999999998</v>
      </c>
      <c r="H366" s="83">
        <v>6.4600030000000004</v>
      </c>
      <c r="I366" s="84">
        <v>0.1356</v>
      </c>
      <c r="J366" s="84">
        <v>0.1434</v>
      </c>
      <c r="K366" s="83">
        <v>47.402371000000002</v>
      </c>
      <c r="L366" s="10"/>
      <c r="M366" s="11"/>
      <c r="N366" s="34"/>
    </row>
    <row r="367" spans="1:14" ht="17.25" hidden="1" customHeight="1" outlineLevel="1" thickBot="1">
      <c r="B367" s="689"/>
      <c r="C367" s="97">
        <v>10</v>
      </c>
      <c r="D367" s="35" t="s">
        <v>23</v>
      </c>
      <c r="E367" s="130">
        <v>4.2149999999999999</v>
      </c>
      <c r="F367" s="130">
        <v>6.7424999999999997</v>
      </c>
      <c r="G367" s="130">
        <v>5.0254260000000004</v>
      </c>
      <c r="H367" s="130">
        <v>6.4272429999999998</v>
      </c>
      <c r="I367" s="131">
        <v>0.1358</v>
      </c>
      <c r="J367" s="131">
        <v>0.14249999999999999</v>
      </c>
      <c r="K367" s="130">
        <v>47.315789000000002</v>
      </c>
      <c r="L367" s="36"/>
      <c r="M367" s="37"/>
      <c r="N367" s="38"/>
    </row>
    <row r="368" spans="1:14" s="5" customFormat="1" ht="17.25" hidden="1" collapsed="1" thickBot="1">
      <c r="A368" s="67"/>
      <c r="B368" s="687" t="s">
        <v>81</v>
      </c>
      <c r="C368" s="133" t="s">
        <v>67</v>
      </c>
      <c r="D368" s="99" t="s">
        <v>49</v>
      </c>
      <c r="E368" s="100">
        <f t="shared" ref="E368:K368" si="37">AVERAGE(E369:E383)</f>
        <v>4.21</v>
      </c>
      <c r="F368" s="100">
        <f t="shared" si="37"/>
        <v>6.7925000000000004</v>
      </c>
      <c r="G368" s="100">
        <f t="shared" si="37"/>
        <v>5.0687382666666672</v>
      </c>
      <c r="H368" s="100">
        <f t="shared" si="37"/>
        <v>6.4532221333333357</v>
      </c>
      <c r="I368" s="101">
        <f t="shared" si="37"/>
        <v>0.13538666666666666</v>
      </c>
      <c r="J368" s="101">
        <f t="shared" si="37"/>
        <v>0.14366666666666669</v>
      </c>
      <c r="K368" s="100">
        <f t="shared" si="37"/>
        <v>47.280469133333334</v>
      </c>
      <c r="L368" s="102" t="e">
        <f>AVERAGE(L370:L383)</f>
        <v>#DIV/0!</v>
      </c>
      <c r="M368" s="102"/>
      <c r="N368" s="103" t="str">
        <f>IF(N369="","",N369)</f>
        <v/>
      </c>
    </row>
    <row r="369" spans="2:14" ht="16.5" hidden="1" customHeight="1" outlineLevel="1">
      <c r="B369" s="688"/>
      <c r="C369" s="104">
        <v>11</v>
      </c>
      <c r="D369" s="105" t="s">
        <v>24</v>
      </c>
      <c r="E369" s="77">
        <v>4.2009999999999996</v>
      </c>
      <c r="F369" s="77">
        <v>6.8025000000000002</v>
      </c>
      <c r="G369" s="77">
        <v>5.0870430000000004</v>
      </c>
      <c r="H369" s="77">
        <v>6.4357490000000004</v>
      </c>
      <c r="I369" s="78">
        <v>0.1353</v>
      </c>
      <c r="J369" s="78">
        <v>0.14460000000000001</v>
      </c>
      <c r="K369" s="77">
        <v>47.043568</v>
      </c>
      <c r="L369" s="79"/>
      <c r="M369" s="80"/>
      <c r="N369" s="132"/>
    </row>
    <row r="370" spans="2:14" ht="16.5" hidden="1" customHeight="1" outlineLevel="1">
      <c r="B370" s="688"/>
      <c r="C370" s="106">
        <v>12</v>
      </c>
      <c r="D370" s="39" t="s">
        <v>25</v>
      </c>
      <c r="E370" s="83">
        <v>4.2140000000000004</v>
      </c>
      <c r="F370" s="83">
        <v>6.7750000000000004</v>
      </c>
      <c r="G370" s="83">
        <v>5.0508480000000002</v>
      </c>
      <c r="H370" s="83">
        <v>6.405875</v>
      </c>
      <c r="I370" s="84">
        <v>0.13500000000000001</v>
      </c>
      <c r="J370" s="84">
        <v>0.14480000000000001</v>
      </c>
      <c r="K370" s="83">
        <v>46.788674</v>
      </c>
      <c r="L370" s="10"/>
      <c r="M370" s="11"/>
      <c r="N370" s="34"/>
    </row>
    <row r="371" spans="2:14" ht="16.5" hidden="1" customHeight="1" outlineLevel="1">
      <c r="B371" s="688"/>
      <c r="C371" s="106">
        <v>13</v>
      </c>
      <c r="D371" s="39" t="s">
        <v>26</v>
      </c>
      <c r="E371" s="83">
        <v>4.226</v>
      </c>
      <c r="F371" s="83">
        <v>6.74125</v>
      </c>
      <c r="G371" s="83">
        <v>5.0114159999999996</v>
      </c>
      <c r="H371" s="83">
        <v>6.3820300000000003</v>
      </c>
      <c r="I371" s="84">
        <v>0.13539999999999999</v>
      </c>
      <c r="J371" s="84">
        <v>0.14430000000000001</v>
      </c>
      <c r="K371" s="83">
        <v>46.716909000000001</v>
      </c>
      <c r="L371" s="10"/>
      <c r="M371" s="11"/>
      <c r="N371" s="34"/>
    </row>
    <row r="372" spans="2:14" ht="16.5" hidden="1" customHeight="1" outlineLevel="1">
      <c r="B372" s="688"/>
      <c r="C372" s="106">
        <v>14</v>
      </c>
      <c r="D372" s="39" t="s">
        <v>27</v>
      </c>
      <c r="E372" s="83">
        <v>4.218</v>
      </c>
      <c r="F372" s="83">
        <v>6.7850000000000001</v>
      </c>
      <c r="G372" s="83">
        <v>5.0535059999999996</v>
      </c>
      <c r="H372" s="83">
        <v>6.4521269999999999</v>
      </c>
      <c r="I372" s="84">
        <v>0.13569999999999999</v>
      </c>
      <c r="J372" s="84">
        <v>0.1431</v>
      </c>
      <c r="K372" s="83">
        <v>47.414396000000004</v>
      </c>
      <c r="L372" s="10"/>
      <c r="M372" s="11"/>
      <c r="N372" s="34"/>
    </row>
    <row r="373" spans="2:14" ht="17.25" hidden="1" customHeight="1" outlineLevel="1" thickBot="1">
      <c r="B373" s="688"/>
      <c r="C373" s="107">
        <v>15</v>
      </c>
      <c r="D373" s="108" t="s">
        <v>28</v>
      </c>
      <c r="E373" s="88">
        <v>4.22</v>
      </c>
      <c r="F373" s="88">
        <v>6.7575000000000003</v>
      </c>
      <c r="G373" s="88">
        <v>5.0306379999999997</v>
      </c>
      <c r="H373" s="88">
        <v>6.4579769999999996</v>
      </c>
      <c r="I373" s="89">
        <v>0.13589999999999999</v>
      </c>
      <c r="J373" s="89">
        <v>0.14219999999999999</v>
      </c>
      <c r="K373" s="88">
        <v>47.521096999999997</v>
      </c>
      <c r="L373" s="90"/>
      <c r="M373" s="14"/>
      <c r="N373" s="91"/>
    </row>
    <row r="374" spans="2:14" ht="16.5" hidden="1" customHeight="1" outlineLevel="1">
      <c r="B374" s="688"/>
      <c r="C374" s="109">
        <v>16</v>
      </c>
      <c r="D374" s="110" t="s">
        <v>29</v>
      </c>
      <c r="E374" s="92">
        <v>4.2009999999999996</v>
      </c>
      <c r="F374" s="92">
        <v>6.8224999999999998</v>
      </c>
      <c r="G374" s="92">
        <v>5.1019990000000002</v>
      </c>
      <c r="H374" s="92">
        <v>6.4530599999999998</v>
      </c>
      <c r="I374" s="93">
        <v>0.1353</v>
      </c>
      <c r="J374" s="93">
        <v>0.14449999999999999</v>
      </c>
      <c r="K374" s="92">
        <v>47.214533000000003</v>
      </c>
      <c r="L374" s="94"/>
      <c r="M374" s="58"/>
      <c r="N374" s="95"/>
    </row>
    <row r="375" spans="2:14" ht="16.5" hidden="1" customHeight="1" outlineLevel="1">
      <c r="B375" s="688"/>
      <c r="C375" s="106">
        <v>17</v>
      </c>
      <c r="D375" s="39" t="s">
        <v>30</v>
      </c>
      <c r="E375" s="83">
        <v>4.2149999999999999</v>
      </c>
      <c r="F375" s="83">
        <v>6.8512500000000003</v>
      </c>
      <c r="G375" s="83">
        <v>5.1064809999999996</v>
      </c>
      <c r="H375" s="83">
        <v>6.489751</v>
      </c>
      <c r="I375" s="84">
        <v>0.13500000000000001</v>
      </c>
      <c r="J375" s="84">
        <v>0.14460000000000001</v>
      </c>
      <c r="K375" s="83">
        <v>47.380704999999999</v>
      </c>
      <c r="L375" s="10"/>
      <c r="M375" s="11"/>
      <c r="N375" s="34"/>
    </row>
    <row r="376" spans="2:14" ht="16.5" hidden="1" customHeight="1" outlineLevel="1">
      <c r="B376" s="688"/>
      <c r="C376" s="106">
        <v>18</v>
      </c>
      <c r="D376" s="39" t="s">
        <v>31</v>
      </c>
      <c r="E376" s="83">
        <v>4.22</v>
      </c>
      <c r="F376" s="83">
        <v>6.82125</v>
      </c>
      <c r="G376" s="83">
        <v>5.0780969999999996</v>
      </c>
      <c r="H376" s="83">
        <v>6.475098</v>
      </c>
      <c r="I376" s="84">
        <v>0.13519999999999999</v>
      </c>
      <c r="J376" s="84">
        <v>0.1439</v>
      </c>
      <c r="K376" s="83">
        <v>47.402709999999999</v>
      </c>
      <c r="L376" s="10"/>
      <c r="M376" s="11"/>
      <c r="N376" s="34"/>
    </row>
    <row r="377" spans="2:14" ht="16.5" hidden="1" customHeight="1" outlineLevel="1">
      <c r="B377" s="688"/>
      <c r="C377" s="106">
        <v>19</v>
      </c>
      <c r="D377" s="39" t="s">
        <v>32</v>
      </c>
      <c r="E377" s="83">
        <v>4.2</v>
      </c>
      <c r="F377" s="83">
        <v>6.77</v>
      </c>
      <c r="G377" s="83">
        <v>5.0639440000000002</v>
      </c>
      <c r="H377" s="83">
        <v>6.4434100000000001</v>
      </c>
      <c r="I377" s="84">
        <v>0.13569999999999999</v>
      </c>
      <c r="J377" s="84">
        <v>0.14299999999999999</v>
      </c>
      <c r="K377" s="83">
        <v>47.342657000000003</v>
      </c>
      <c r="L377" s="10"/>
      <c r="M377" s="11"/>
      <c r="N377" s="34"/>
    </row>
    <row r="378" spans="2:14" ht="17.25" hidden="1" customHeight="1" outlineLevel="1" thickBot="1">
      <c r="B378" s="688"/>
      <c r="C378" s="107">
        <v>20</v>
      </c>
      <c r="D378" s="108" t="s">
        <v>33</v>
      </c>
      <c r="E378" s="88">
        <v>4.2119999999999997</v>
      </c>
      <c r="F378" s="88">
        <v>6.7637499999999999</v>
      </c>
      <c r="G378" s="88">
        <v>5.0448550000000001</v>
      </c>
      <c r="H378" s="88">
        <v>6.4648219999999998</v>
      </c>
      <c r="I378" s="89">
        <v>0.13589999999999999</v>
      </c>
      <c r="J378" s="89">
        <v>0.1421</v>
      </c>
      <c r="K378" s="88">
        <v>47.598522000000003</v>
      </c>
      <c r="L378" s="90"/>
      <c r="M378" s="14"/>
      <c r="N378" s="91"/>
    </row>
    <row r="379" spans="2:14" ht="16.5" hidden="1" customHeight="1" outlineLevel="1">
      <c r="B379" s="688"/>
      <c r="C379" s="109">
        <v>21</v>
      </c>
      <c r="D379" s="110" t="s">
        <v>34</v>
      </c>
      <c r="E379" s="92">
        <v>4.2</v>
      </c>
      <c r="F379" s="92">
        <v>6.8425000000000002</v>
      </c>
      <c r="G379" s="92">
        <v>5.1181739999999998</v>
      </c>
      <c r="H379" s="92">
        <v>6.4821949999999999</v>
      </c>
      <c r="I379" s="93">
        <v>0.1351</v>
      </c>
      <c r="J379" s="93">
        <v>0.14430000000000001</v>
      </c>
      <c r="K379" s="92">
        <v>47.418571999999998</v>
      </c>
      <c r="L379" s="94"/>
      <c r="M379" s="58"/>
      <c r="N379" s="95"/>
    </row>
    <row r="380" spans="2:14" ht="16.5" hidden="1" customHeight="1" outlineLevel="1">
      <c r="B380" s="688"/>
      <c r="C380" s="106">
        <v>22</v>
      </c>
      <c r="D380" s="39" t="s">
        <v>35</v>
      </c>
      <c r="E380" s="83">
        <v>4.2069999999999999</v>
      </c>
      <c r="F380" s="83">
        <v>6.8537499999999998</v>
      </c>
      <c r="G380" s="83">
        <v>5.1180589999999997</v>
      </c>
      <c r="H380" s="83">
        <v>6.5128820000000003</v>
      </c>
      <c r="I380" s="84">
        <v>0.1348</v>
      </c>
      <c r="J380" s="84">
        <v>0.14449999999999999</v>
      </c>
      <c r="K380" s="83">
        <v>47.430796000000001</v>
      </c>
      <c r="L380" s="10"/>
      <c r="M380" s="11"/>
      <c r="N380" s="34"/>
    </row>
    <row r="381" spans="2:14" ht="16.5" hidden="1" customHeight="1" outlineLevel="1">
      <c r="B381" s="688"/>
      <c r="C381" s="106">
        <v>23</v>
      </c>
      <c r="D381" s="39" t="s">
        <v>36</v>
      </c>
      <c r="E381" s="83">
        <v>4.2030000000000003</v>
      </c>
      <c r="F381" s="83">
        <v>6.80375</v>
      </c>
      <c r="G381" s="83">
        <v>5.0855560000000004</v>
      </c>
      <c r="H381" s="83">
        <v>6.4604850000000003</v>
      </c>
      <c r="I381" s="84">
        <v>0.1351</v>
      </c>
      <c r="J381" s="84">
        <v>0.14399999999999999</v>
      </c>
      <c r="K381" s="83">
        <v>47.248263999999999</v>
      </c>
      <c r="L381" s="10"/>
      <c r="M381" s="11"/>
      <c r="N381" s="34"/>
    </row>
    <row r="382" spans="2:14" ht="16.5" hidden="1" customHeight="1" outlineLevel="1">
      <c r="B382" s="688"/>
      <c r="C382" s="106">
        <v>24</v>
      </c>
      <c r="D382" s="39" t="s">
        <v>37</v>
      </c>
      <c r="E382" s="83">
        <v>4.2110000000000003</v>
      </c>
      <c r="F382" s="83">
        <v>6.78</v>
      </c>
      <c r="G382" s="83">
        <v>5.0581759999999996</v>
      </c>
      <c r="H382" s="83">
        <v>6.4573679999999998</v>
      </c>
      <c r="I382" s="84">
        <v>0.1356</v>
      </c>
      <c r="J382" s="84">
        <v>0.14299999999999999</v>
      </c>
      <c r="K382" s="83">
        <v>47.412587000000002</v>
      </c>
      <c r="L382" s="10"/>
      <c r="M382" s="11"/>
      <c r="N382" s="34"/>
    </row>
    <row r="383" spans="2:14" ht="17.25" hidden="1" customHeight="1" outlineLevel="1" thickBot="1">
      <c r="B383" s="689"/>
      <c r="C383" s="107">
        <v>25</v>
      </c>
      <c r="D383" s="108" t="s">
        <v>38</v>
      </c>
      <c r="E383" s="88">
        <v>4.202</v>
      </c>
      <c r="F383" s="88">
        <v>6.7175000000000002</v>
      </c>
      <c r="G383" s="88">
        <v>5.0222819999999997</v>
      </c>
      <c r="H383" s="88">
        <v>6.425503</v>
      </c>
      <c r="I383" s="89">
        <v>0.1358</v>
      </c>
      <c r="J383" s="89">
        <v>0.1421</v>
      </c>
      <c r="K383" s="88">
        <v>47.273046999999998</v>
      </c>
      <c r="L383" s="90"/>
      <c r="M383" s="14"/>
      <c r="N383" s="91"/>
    </row>
    <row r="384" spans="2:14" s="41" customFormat="1" ht="17.25" hidden="1" collapsed="1" thickBot="1">
      <c r="B384" s="112"/>
      <c r="C384" s="690" t="s">
        <v>39</v>
      </c>
      <c r="D384" s="691"/>
      <c r="E384" s="113">
        <f t="shared" ref="E384:L384" si="38">1-(E357/E368)</f>
        <v>-1.068883610451099E-3</v>
      </c>
      <c r="F384" s="113">
        <f t="shared" si="38"/>
        <v>-2.870813397129135E-3</v>
      </c>
      <c r="G384" s="113">
        <f t="shared" si="38"/>
        <v>-1.7964496989744116E-3</v>
      </c>
      <c r="H384" s="113">
        <f t="shared" si="38"/>
        <v>-7.0099348406094109E-4</v>
      </c>
      <c r="I384" s="113">
        <f t="shared" si="38"/>
        <v>8.6172936773698527E-4</v>
      </c>
      <c r="J384" s="113">
        <f t="shared" si="38"/>
        <v>-2.8770301624128081E-3</v>
      </c>
      <c r="K384" s="113">
        <f t="shared" si="38"/>
        <v>1.4334319133224582E-5</v>
      </c>
      <c r="L384" s="114" t="e">
        <f t="shared" si="38"/>
        <v>#DIV/0!</v>
      </c>
      <c r="M384" s="113"/>
      <c r="N384" s="115"/>
    </row>
    <row r="385" spans="1:14" s="41" customFormat="1" hidden="1">
      <c r="B385" s="183"/>
      <c r="C385" s="182"/>
      <c r="D385" s="182"/>
      <c r="E385" s="182"/>
      <c r="F385" s="182"/>
      <c r="G385" s="182"/>
      <c r="H385" s="182"/>
      <c r="I385" s="182"/>
      <c r="J385" s="182"/>
      <c r="K385" s="182"/>
      <c r="L385" s="184"/>
      <c r="M385" s="182"/>
      <c r="N385" s="182"/>
    </row>
    <row r="386" spans="1:14" s="5" customFormat="1" hidden="1">
      <c r="A386" s="1"/>
      <c r="B386" s="5" t="s">
        <v>190</v>
      </c>
      <c r="C386" s="64"/>
      <c r="E386" s="17"/>
      <c r="F386" s="17"/>
      <c r="G386" s="17"/>
      <c r="H386" s="17"/>
      <c r="I386" s="18"/>
      <c r="J386" s="18"/>
      <c r="K386" s="17"/>
      <c r="L386" s="21"/>
      <c r="M386" s="6"/>
    </row>
    <row r="387" spans="1:14" hidden="1">
      <c r="B387" s="65" t="s">
        <v>68</v>
      </c>
      <c r="L387" s="22"/>
      <c r="M387" s="3"/>
      <c r="N387" s="4"/>
    </row>
    <row r="388" spans="1:14" s="5" customFormat="1" ht="33.75" hidden="1" thickBot="1">
      <c r="A388" s="67"/>
      <c r="B388" s="7" t="s">
        <v>0</v>
      </c>
      <c r="C388" s="116" t="s">
        <v>11</v>
      </c>
      <c r="D388" s="8" t="s">
        <v>1</v>
      </c>
      <c r="E388" s="117" t="s">
        <v>2</v>
      </c>
      <c r="F388" s="117" t="s">
        <v>3</v>
      </c>
      <c r="G388" s="117" t="s">
        <v>4</v>
      </c>
      <c r="H388" s="117" t="s">
        <v>16</v>
      </c>
      <c r="I388" s="118" t="s">
        <v>6</v>
      </c>
      <c r="J388" s="119" t="s">
        <v>7</v>
      </c>
      <c r="K388" s="120" t="s">
        <v>8</v>
      </c>
      <c r="L388" s="30" t="s">
        <v>9</v>
      </c>
      <c r="M388" s="30" t="s">
        <v>18</v>
      </c>
      <c r="N388" s="121" t="s">
        <v>19</v>
      </c>
    </row>
    <row r="389" spans="1:14" s="5" customFormat="1" ht="17.25" hidden="1" thickBot="1">
      <c r="A389" s="67"/>
      <c r="B389" s="687" t="s">
        <v>52</v>
      </c>
      <c r="C389" s="133" t="s">
        <v>61</v>
      </c>
      <c r="D389" s="69" t="s">
        <v>49</v>
      </c>
      <c r="E389" s="70">
        <f t="shared" ref="E389:L389" si="39">AVERAGE(E390:E399)</f>
        <v>4.1951000000000009</v>
      </c>
      <c r="F389" s="70">
        <f t="shared" si="39"/>
        <v>6.5352500000000004</v>
      </c>
      <c r="G389" s="70">
        <f t="shared" si="39"/>
        <v>4.8940773000000002</v>
      </c>
      <c r="H389" s="70">
        <f t="shared" si="39"/>
        <v>6.3574980999999999</v>
      </c>
      <c r="I389" s="71">
        <f t="shared" si="39"/>
        <v>0.13644000000000003</v>
      </c>
      <c r="J389" s="71">
        <f t="shared" si="39"/>
        <v>0.13831000000000002</v>
      </c>
      <c r="K389" s="70">
        <f t="shared" si="39"/>
        <v>47.250801300000006</v>
      </c>
      <c r="L389" s="72" t="e">
        <f t="shared" si="39"/>
        <v>#DIV/0!</v>
      </c>
      <c r="M389" s="72"/>
      <c r="N389" s="73" t="str">
        <f>IF(N390="","",N390)</f>
        <v/>
      </c>
    </row>
    <row r="390" spans="1:14" ht="16.5" hidden="1" customHeight="1" outlineLevel="1">
      <c r="B390" s="688"/>
      <c r="C390" s="74">
        <v>1</v>
      </c>
      <c r="D390" s="75" t="s">
        <v>61</v>
      </c>
      <c r="E390" s="92">
        <v>4.1879999999999997</v>
      </c>
      <c r="F390" s="92">
        <v>6.55375</v>
      </c>
      <c r="G390" s="92">
        <v>4.9162359999999996</v>
      </c>
      <c r="H390" s="92">
        <v>6.3712730000000004</v>
      </c>
      <c r="I390" s="93">
        <v>0.1363</v>
      </c>
      <c r="J390" s="93">
        <v>0.13850000000000001</v>
      </c>
      <c r="K390" s="92">
        <v>47.319495000000003</v>
      </c>
      <c r="L390" s="94"/>
      <c r="M390" s="58"/>
      <c r="N390" s="61"/>
    </row>
    <row r="391" spans="1:14" ht="16.5" hidden="1" customHeight="1" outlineLevel="1">
      <c r="B391" s="688"/>
      <c r="C391" s="82">
        <v>2</v>
      </c>
      <c r="D391" s="32" t="s">
        <v>62</v>
      </c>
      <c r="E391" s="83">
        <v>4.194</v>
      </c>
      <c r="F391" s="83">
        <v>6.5162500000000003</v>
      </c>
      <c r="G391" s="83">
        <v>4.881113</v>
      </c>
      <c r="H391" s="83">
        <v>6.3441270000000003</v>
      </c>
      <c r="I391" s="84">
        <v>0.13650000000000001</v>
      </c>
      <c r="J391" s="84">
        <v>0.13800000000000001</v>
      </c>
      <c r="K391" s="83">
        <v>47.219203</v>
      </c>
      <c r="L391" s="10"/>
      <c r="M391" s="11"/>
      <c r="N391" s="33"/>
    </row>
    <row r="392" spans="1:14" ht="16.5" hidden="1" customHeight="1" outlineLevel="1">
      <c r="B392" s="688"/>
      <c r="C392" s="82">
        <v>3</v>
      </c>
      <c r="D392" s="32" t="s">
        <v>60</v>
      </c>
      <c r="E392" s="127">
        <v>4.1970000000000001</v>
      </c>
      <c r="F392" s="127">
        <v>6.5187499999999998</v>
      </c>
      <c r="G392" s="127">
        <v>4.8794950000000004</v>
      </c>
      <c r="H392" s="127">
        <v>6.3541949999999998</v>
      </c>
      <c r="I392" s="84">
        <v>0.13650000000000001</v>
      </c>
      <c r="J392" s="84">
        <v>0.1381</v>
      </c>
      <c r="K392" s="83">
        <v>47.203113999999999</v>
      </c>
      <c r="L392" s="10"/>
      <c r="M392" s="11"/>
      <c r="N392" s="34"/>
    </row>
    <row r="393" spans="1:14" ht="16.5" hidden="1" customHeight="1" outlineLevel="1">
      <c r="B393" s="688"/>
      <c r="C393" s="82">
        <v>4</v>
      </c>
      <c r="D393" s="32" t="s">
        <v>63</v>
      </c>
      <c r="E393" s="127">
        <v>4.1950000000000003</v>
      </c>
      <c r="F393" s="127">
        <v>6.5262500000000001</v>
      </c>
      <c r="G393" s="127">
        <v>4.8874380000000004</v>
      </c>
      <c r="H393" s="127">
        <v>6.3563590000000003</v>
      </c>
      <c r="I393" s="84">
        <v>0.13639999999999999</v>
      </c>
      <c r="J393" s="84">
        <v>0.13830000000000001</v>
      </c>
      <c r="K393" s="83">
        <v>47.189081999999999</v>
      </c>
      <c r="L393" s="10"/>
      <c r="M393" s="11"/>
      <c r="N393" s="34"/>
    </row>
    <row r="394" spans="1:14" ht="17.25" hidden="1" customHeight="1" outlineLevel="1" thickBot="1">
      <c r="B394" s="688"/>
      <c r="C394" s="85">
        <v>5</v>
      </c>
      <c r="D394" s="86" t="s">
        <v>64</v>
      </c>
      <c r="E394" s="128">
        <v>4.2069999999999999</v>
      </c>
      <c r="F394" s="128">
        <v>6.4987500000000002</v>
      </c>
      <c r="G394" s="128">
        <v>4.8529609999999996</v>
      </c>
      <c r="H394" s="128">
        <v>6.3176629999999996</v>
      </c>
      <c r="I394" s="89">
        <v>0.1363</v>
      </c>
      <c r="J394" s="89">
        <v>0.13869999999999999</v>
      </c>
      <c r="K394" s="88">
        <v>46.854722000000002</v>
      </c>
      <c r="L394" s="90"/>
      <c r="M394" s="14"/>
      <c r="N394" s="91"/>
    </row>
    <row r="395" spans="1:14" ht="16.5" hidden="1" customHeight="1" outlineLevel="1">
      <c r="B395" s="688"/>
      <c r="C395" s="74">
        <v>6</v>
      </c>
      <c r="D395" s="75" t="s">
        <v>20</v>
      </c>
      <c r="E395" s="129">
        <v>4.1900000000000004</v>
      </c>
      <c r="F395" s="129">
        <v>6.5487500000000001</v>
      </c>
      <c r="G395" s="129">
        <v>4.9101400000000002</v>
      </c>
      <c r="H395" s="129">
        <v>6.3661620000000001</v>
      </c>
      <c r="I395" s="93">
        <v>0.13639999999999999</v>
      </c>
      <c r="J395" s="93">
        <v>0.13830000000000001</v>
      </c>
      <c r="K395" s="92">
        <v>47.351771999999997</v>
      </c>
      <c r="L395" s="94"/>
      <c r="M395" s="58"/>
      <c r="N395" s="34"/>
    </row>
    <row r="396" spans="1:14" ht="16.5" hidden="1" customHeight="1" outlineLevel="1">
      <c r="B396" s="688"/>
      <c r="C396" s="82">
        <v>7</v>
      </c>
      <c r="D396" s="32" t="s">
        <v>21</v>
      </c>
      <c r="E396" s="127">
        <v>4.1920000000000002</v>
      </c>
      <c r="F396" s="127">
        <v>6.5350000000000001</v>
      </c>
      <c r="G396" s="127">
        <v>4.8974929999999999</v>
      </c>
      <c r="H396" s="127">
        <v>6.3609349999999996</v>
      </c>
      <c r="I396" s="84">
        <v>0.1366</v>
      </c>
      <c r="J396" s="84">
        <v>0.1381</v>
      </c>
      <c r="K396" s="83">
        <v>47.320782000000001</v>
      </c>
      <c r="L396" s="10"/>
      <c r="M396" s="11"/>
      <c r="N396" s="34"/>
    </row>
    <row r="397" spans="1:14" ht="16.5" hidden="1" customHeight="1" outlineLevel="1">
      <c r="B397" s="688"/>
      <c r="C397" s="82">
        <v>8</v>
      </c>
      <c r="D397" s="32" t="s">
        <v>65</v>
      </c>
      <c r="E397" s="127">
        <v>4.1959999999999997</v>
      </c>
      <c r="F397" s="127">
        <v>6.53125</v>
      </c>
      <c r="G397" s="127">
        <v>4.8900170000000003</v>
      </c>
      <c r="H397" s="127">
        <v>6.3485529999999999</v>
      </c>
      <c r="I397" s="84">
        <v>0.1366</v>
      </c>
      <c r="J397" s="84">
        <v>0.1381</v>
      </c>
      <c r="K397" s="83">
        <v>47.293627999999998</v>
      </c>
      <c r="L397" s="10"/>
      <c r="M397" s="11"/>
      <c r="N397" s="34"/>
    </row>
    <row r="398" spans="1:14" ht="16.5" hidden="1" customHeight="1" outlineLevel="1">
      <c r="B398" s="688"/>
      <c r="C398" s="82">
        <v>9</v>
      </c>
      <c r="D398" s="32" t="s">
        <v>22</v>
      </c>
      <c r="E398" s="83">
        <v>4.1909999999999998</v>
      </c>
      <c r="F398" s="83">
        <v>6.5475000000000003</v>
      </c>
      <c r="G398" s="83">
        <v>4.9080320000000004</v>
      </c>
      <c r="H398" s="83">
        <v>6.373399</v>
      </c>
      <c r="I398" s="84">
        <v>0.13650000000000001</v>
      </c>
      <c r="J398" s="84">
        <v>0.13830000000000001</v>
      </c>
      <c r="K398" s="83">
        <v>47.342733000000003</v>
      </c>
      <c r="L398" s="10"/>
      <c r="M398" s="11"/>
      <c r="N398" s="34"/>
    </row>
    <row r="399" spans="1:14" ht="17.25" hidden="1" customHeight="1" outlineLevel="1" thickBot="1">
      <c r="B399" s="689"/>
      <c r="C399" s="97">
        <v>10</v>
      </c>
      <c r="D399" s="35" t="s">
        <v>23</v>
      </c>
      <c r="E399" s="130">
        <v>4.2009999999999996</v>
      </c>
      <c r="F399" s="130">
        <v>6.5762499999999999</v>
      </c>
      <c r="G399" s="130">
        <v>4.9178480000000002</v>
      </c>
      <c r="H399" s="130">
        <v>6.3823150000000002</v>
      </c>
      <c r="I399" s="131">
        <v>0.1363</v>
      </c>
      <c r="J399" s="131">
        <v>0.13869999999999999</v>
      </c>
      <c r="K399" s="130">
        <v>47.413482000000002</v>
      </c>
      <c r="L399" s="36"/>
      <c r="M399" s="37"/>
      <c r="N399" s="38"/>
    </row>
    <row r="400" spans="1:14" s="5" customFormat="1" ht="17.25" hidden="1" collapsed="1" thickBot="1">
      <c r="A400" s="67"/>
      <c r="B400" s="687" t="s">
        <v>58</v>
      </c>
      <c r="C400" s="133" t="s">
        <v>67</v>
      </c>
      <c r="D400" s="99" t="s">
        <v>49</v>
      </c>
      <c r="E400" s="100">
        <f t="shared" ref="E400:K400" si="40">AVERAGE(E401:E415)</f>
        <v>4.1943333333333337</v>
      </c>
      <c r="F400" s="100">
        <f t="shared" si="40"/>
        <v>6.5182500000000001</v>
      </c>
      <c r="G400" s="100">
        <f t="shared" si="40"/>
        <v>4.8823144666666671</v>
      </c>
      <c r="H400" s="100">
        <f t="shared" si="40"/>
        <v>6.3458508666666669</v>
      </c>
      <c r="I400" s="101">
        <f t="shared" si="40"/>
        <v>0.13655333333333336</v>
      </c>
      <c r="J400" s="101">
        <f t="shared" si="40"/>
        <v>0.13810666666666666</v>
      </c>
      <c r="K400" s="100">
        <f t="shared" si="40"/>
        <v>47.197490999999999</v>
      </c>
      <c r="L400" s="102" t="e">
        <f>AVERAGE(L402:L415)</f>
        <v>#DIV/0!</v>
      </c>
      <c r="M400" s="102"/>
      <c r="N400" s="103" t="str">
        <f>IF(N401="","",N401)</f>
        <v/>
      </c>
    </row>
    <row r="401" spans="2:14" ht="16.5" hidden="1" customHeight="1" outlineLevel="1">
      <c r="B401" s="688"/>
      <c r="C401" s="104">
        <v>11</v>
      </c>
      <c r="D401" s="105" t="s">
        <v>24</v>
      </c>
      <c r="E401" s="77">
        <v>4.1909999999999998</v>
      </c>
      <c r="F401" s="77">
        <v>6.5437500000000002</v>
      </c>
      <c r="G401" s="77">
        <v>4.9052210000000001</v>
      </c>
      <c r="H401" s="77">
        <v>6.3634490000000001</v>
      </c>
      <c r="I401" s="78">
        <v>0.13650000000000001</v>
      </c>
      <c r="J401" s="78">
        <v>0.13819999999999999</v>
      </c>
      <c r="K401" s="77">
        <v>47.349854999999998</v>
      </c>
      <c r="L401" s="79"/>
      <c r="M401" s="80"/>
      <c r="N401" s="132"/>
    </row>
    <row r="402" spans="2:14" ht="16.5" hidden="1" customHeight="1" outlineLevel="1">
      <c r="B402" s="688"/>
      <c r="C402" s="106">
        <v>12</v>
      </c>
      <c r="D402" s="39" t="s">
        <v>25</v>
      </c>
      <c r="E402" s="83">
        <v>4.1929999999999996</v>
      </c>
      <c r="F402" s="83">
        <v>6.5162500000000003</v>
      </c>
      <c r="G402" s="83">
        <v>4.8822770000000002</v>
      </c>
      <c r="H402" s="83">
        <v>6.3528149999999997</v>
      </c>
      <c r="I402" s="84">
        <v>0.13669999999999999</v>
      </c>
      <c r="J402" s="84">
        <v>0.13780000000000001</v>
      </c>
      <c r="K402" s="83">
        <v>47.287736000000002</v>
      </c>
      <c r="L402" s="10"/>
      <c r="M402" s="11"/>
      <c r="N402" s="34"/>
    </row>
    <row r="403" spans="2:14" ht="16.5" hidden="1" customHeight="1" outlineLevel="1">
      <c r="B403" s="688"/>
      <c r="C403" s="106">
        <v>13</v>
      </c>
      <c r="D403" s="39" t="s">
        <v>26</v>
      </c>
      <c r="E403" s="83">
        <v>4.2240000000000002</v>
      </c>
      <c r="F403" s="83">
        <v>6.3312499999999998</v>
      </c>
      <c r="G403" s="83">
        <v>4.7088520000000003</v>
      </c>
      <c r="H403" s="83">
        <v>6.1586220000000003</v>
      </c>
      <c r="I403" s="84">
        <v>0.13700000000000001</v>
      </c>
      <c r="J403" s="84">
        <v>0.13830000000000001</v>
      </c>
      <c r="K403" s="83">
        <v>45.779102999999999</v>
      </c>
      <c r="L403" s="10"/>
      <c r="M403" s="11"/>
      <c r="N403" s="34"/>
    </row>
    <row r="404" spans="2:14" ht="16.5" hidden="1" customHeight="1" outlineLevel="1">
      <c r="B404" s="688"/>
      <c r="C404" s="106">
        <v>14</v>
      </c>
      <c r="D404" s="39" t="s">
        <v>27</v>
      </c>
      <c r="E404" s="83">
        <v>4.1909999999999998</v>
      </c>
      <c r="F404" s="83">
        <v>6.5387500000000003</v>
      </c>
      <c r="G404" s="83">
        <v>4.9014730000000002</v>
      </c>
      <c r="H404" s="83">
        <v>6.3602090000000002</v>
      </c>
      <c r="I404" s="84">
        <v>0.13669999999999999</v>
      </c>
      <c r="J404" s="84">
        <v>0.1381</v>
      </c>
      <c r="K404" s="83">
        <v>47.347935999999997</v>
      </c>
      <c r="L404" s="10"/>
      <c r="M404" s="11"/>
      <c r="N404" s="34"/>
    </row>
    <row r="405" spans="2:14" ht="17.25" hidden="1" customHeight="1" outlineLevel="1" thickBot="1">
      <c r="B405" s="688"/>
      <c r="C405" s="107">
        <v>15</v>
      </c>
      <c r="D405" s="108" t="s">
        <v>28</v>
      </c>
      <c r="E405" s="88">
        <v>4.1909999999999998</v>
      </c>
      <c r="F405" s="88">
        <v>6.5162500000000003</v>
      </c>
      <c r="G405" s="88">
        <v>4.8846059999999998</v>
      </c>
      <c r="H405" s="88">
        <v>6.3264269999999998</v>
      </c>
      <c r="I405" s="89">
        <v>0.13639999999999999</v>
      </c>
      <c r="J405" s="89">
        <v>0.13850000000000001</v>
      </c>
      <c r="K405" s="88">
        <v>47.048735999999998</v>
      </c>
      <c r="L405" s="90"/>
      <c r="M405" s="14"/>
      <c r="N405" s="91"/>
    </row>
    <row r="406" spans="2:14" ht="16.5" hidden="1" customHeight="1" outlineLevel="1">
      <c r="B406" s="688"/>
      <c r="C406" s="109">
        <v>16</v>
      </c>
      <c r="D406" s="110" t="s">
        <v>29</v>
      </c>
      <c r="E406" s="92">
        <v>4.1849999999999996</v>
      </c>
      <c r="F406" s="92">
        <v>6.5512499999999996</v>
      </c>
      <c r="G406" s="92">
        <v>4.9178829999999998</v>
      </c>
      <c r="H406" s="92">
        <v>6.3813380000000004</v>
      </c>
      <c r="I406" s="93">
        <v>0.13650000000000001</v>
      </c>
      <c r="J406" s="93">
        <v>0.13819999999999999</v>
      </c>
      <c r="K406" s="92">
        <v>47.404124000000003</v>
      </c>
      <c r="L406" s="94"/>
      <c r="M406" s="58"/>
      <c r="N406" s="95"/>
    </row>
    <row r="407" spans="2:14" ht="16.5" hidden="1" customHeight="1" outlineLevel="1">
      <c r="B407" s="688"/>
      <c r="C407" s="106">
        <v>17</v>
      </c>
      <c r="D407" s="39" t="s">
        <v>30</v>
      </c>
      <c r="E407" s="83">
        <v>4.1900000000000004</v>
      </c>
      <c r="F407" s="83">
        <v>6.5350000000000001</v>
      </c>
      <c r="G407" s="83">
        <v>4.8998309999999998</v>
      </c>
      <c r="H407" s="83">
        <v>6.370323</v>
      </c>
      <c r="I407" s="84">
        <v>0.1366</v>
      </c>
      <c r="J407" s="84">
        <v>0.13780000000000001</v>
      </c>
      <c r="K407" s="83">
        <v>47.423802999999999</v>
      </c>
      <c r="L407" s="10"/>
      <c r="M407" s="11"/>
      <c r="N407" s="34"/>
    </row>
    <row r="408" spans="2:14" ht="16.5" hidden="1" customHeight="1" outlineLevel="1">
      <c r="B408" s="688"/>
      <c r="C408" s="106">
        <v>18</v>
      </c>
      <c r="D408" s="39" t="s">
        <v>31</v>
      </c>
      <c r="E408" s="83">
        <v>4.194</v>
      </c>
      <c r="F408" s="83">
        <v>6.5237499999999997</v>
      </c>
      <c r="G408" s="83">
        <v>4.8867310000000002</v>
      </c>
      <c r="H408" s="83">
        <v>6.3574400000000004</v>
      </c>
      <c r="I408" s="84">
        <v>0.13669999999999999</v>
      </c>
      <c r="J408" s="84">
        <v>0.13780000000000001</v>
      </c>
      <c r="K408" s="83">
        <v>47.342162999999999</v>
      </c>
      <c r="L408" s="10"/>
      <c r="M408" s="11"/>
      <c r="N408" s="34"/>
    </row>
    <row r="409" spans="2:14" ht="16.5" hidden="1" customHeight="1" outlineLevel="1">
      <c r="B409" s="688"/>
      <c r="C409" s="106">
        <v>19</v>
      </c>
      <c r="D409" s="39" t="s">
        <v>32</v>
      </c>
      <c r="E409" s="83">
        <v>4.194</v>
      </c>
      <c r="F409" s="83">
        <v>6.5237499999999997</v>
      </c>
      <c r="G409" s="83">
        <v>4.8867310000000002</v>
      </c>
      <c r="H409" s="83">
        <v>6.3569190000000004</v>
      </c>
      <c r="I409" s="84">
        <v>0.13650000000000001</v>
      </c>
      <c r="J409" s="84">
        <v>0.1381</v>
      </c>
      <c r="K409" s="83">
        <v>47.239319000000002</v>
      </c>
      <c r="L409" s="10"/>
      <c r="M409" s="11"/>
      <c r="N409" s="34"/>
    </row>
    <row r="410" spans="2:14" ht="17.25" hidden="1" customHeight="1" outlineLevel="1" thickBot="1">
      <c r="B410" s="688"/>
      <c r="C410" s="107">
        <v>20</v>
      </c>
      <c r="D410" s="108" t="s">
        <v>33</v>
      </c>
      <c r="E410" s="88">
        <v>4.1900000000000004</v>
      </c>
      <c r="F410" s="88">
        <v>6.5324999999999998</v>
      </c>
      <c r="G410" s="88">
        <v>4.8979559999999998</v>
      </c>
      <c r="H410" s="88">
        <v>6.3486750000000001</v>
      </c>
      <c r="I410" s="89">
        <v>0.13639999999999999</v>
      </c>
      <c r="J410" s="89">
        <v>0.13850000000000001</v>
      </c>
      <c r="K410" s="88">
        <v>47.166065000000003</v>
      </c>
      <c r="L410" s="90"/>
      <c r="M410" s="14"/>
      <c r="N410" s="91"/>
    </row>
    <row r="411" spans="2:14" ht="16.5" hidden="1" customHeight="1" outlineLevel="1">
      <c r="B411" s="688"/>
      <c r="C411" s="109">
        <v>21</v>
      </c>
      <c r="D411" s="110" t="s">
        <v>34</v>
      </c>
      <c r="E411" s="92">
        <v>4.1890000000000001</v>
      </c>
      <c r="F411" s="92">
        <v>6.53</v>
      </c>
      <c r="G411" s="92">
        <v>4.8972509999999998</v>
      </c>
      <c r="H411" s="92">
        <v>6.3628720000000003</v>
      </c>
      <c r="I411" s="93">
        <v>0.13639999999999999</v>
      </c>
      <c r="J411" s="93">
        <v>0.1381</v>
      </c>
      <c r="K411" s="92">
        <v>47.284576000000001</v>
      </c>
      <c r="L411" s="94"/>
      <c r="M411" s="58"/>
      <c r="N411" s="95"/>
    </row>
    <row r="412" spans="2:14" ht="16.5" hidden="1" customHeight="1" outlineLevel="1">
      <c r="B412" s="688"/>
      <c r="C412" s="106">
        <v>22</v>
      </c>
      <c r="D412" s="39" t="s">
        <v>35</v>
      </c>
      <c r="E412" s="83">
        <v>4.194</v>
      </c>
      <c r="F412" s="83">
        <v>6.5175000000000001</v>
      </c>
      <c r="G412" s="83">
        <v>4.8820490000000003</v>
      </c>
      <c r="H412" s="83">
        <v>6.3469939999999996</v>
      </c>
      <c r="I412" s="84">
        <v>0.13650000000000001</v>
      </c>
      <c r="J412" s="84">
        <v>0.13769999999999999</v>
      </c>
      <c r="K412" s="83">
        <v>47.331155000000003</v>
      </c>
      <c r="L412" s="10"/>
      <c r="M412" s="11"/>
      <c r="N412" s="34"/>
    </row>
    <row r="413" spans="2:14" ht="16.5" hidden="1" customHeight="1" outlineLevel="1">
      <c r="B413" s="688"/>
      <c r="C413" s="106">
        <v>23</v>
      </c>
      <c r="D413" s="39" t="s">
        <v>36</v>
      </c>
      <c r="E413" s="83">
        <v>4.1950000000000003</v>
      </c>
      <c r="F413" s="83">
        <v>6.53125</v>
      </c>
      <c r="G413" s="83">
        <v>4.8911819999999997</v>
      </c>
      <c r="H413" s="83">
        <v>6.3715159999999997</v>
      </c>
      <c r="I413" s="84">
        <v>0.1366</v>
      </c>
      <c r="J413" s="84">
        <v>0.13780000000000001</v>
      </c>
      <c r="K413" s="83">
        <v>47.396588999999999</v>
      </c>
      <c r="L413" s="10"/>
      <c r="M413" s="11"/>
      <c r="N413" s="34"/>
    </row>
    <row r="414" spans="2:14" ht="16.5" hidden="1" customHeight="1" outlineLevel="1">
      <c r="B414" s="688"/>
      <c r="C414" s="106">
        <v>24</v>
      </c>
      <c r="D414" s="39" t="s">
        <v>37</v>
      </c>
      <c r="E414" s="83">
        <v>4.1970000000000001</v>
      </c>
      <c r="F414" s="83">
        <v>6.5412499999999998</v>
      </c>
      <c r="G414" s="83">
        <v>4.8963369999999999</v>
      </c>
      <c r="H414" s="83">
        <v>6.3720610000000004</v>
      </c>
      <c r="I414" s="84">
        <v>0.13650000000000001</v>
      </c>
      <c r="J414" s="84">
        <v>0.1381</v>
      </c>
      <c r="K414" s="83">
        <v>47.366039000000001</v>
      </c>
      <c r="L414" s="10"/>
      <c r="M414" s="11"/>
      <c r="N414" s="34"/>
    </row>
    <row r="415" spans="2:14" ht="17.25" hidden="1" customHeight="1" outlineLevel="1" thickBot="1">
      <c r="B415" s="689"/>
      <c r="C415" s="107">
        <v>25</v>
      </c>
      <c r="D415" s="108" t="s">
        <v>38</v>
      </c>
      <c r="E415" s="88">
        <v>4.1970000000000001</v>
      </c>
      <c r="F415" s="88">
        <v>6.5412499999999998</v>
      </c>
      <c r="G415" s="88">
        <v>4.8963369999999999</v>
      </c>
      <c r="H415" s="88">
        <v>6.3581029999999998</v>
      </c>
      <c r="I415" s="89">
        <v>0.1363</v>
      </c>
      <c r="J415" s="89">
        <v>0.1386</v>
      </c>
      <c r="K415" s="88">
        <v>47.195166</v>
      </c>
      <c r="L415" s="90"/>
      <c r="M415" s="14"/>
      <c r="N415" s="91"/>
    </row>
    <row r="416" spans="2:14" s="41" customFormat="1" ht="17.25" hidden="1" collapsed="1" thickBot="1">
      <c r="B416" s="112"/>
      <c r="C416" s="690" t="s">
        <v>39</v>
      </c>
      <c r="D416" s="691"/>
      <c r="E416" s="113">
        <f t="shared" ref="E416:L416" si="41">1-(E389/E400)</f>
        <v>-1.8278629897494625E-4</v>
      </c>
      <c r="F416" s="113">
        <f t="shared" si="41"/>
        <v>-2.6080619798258819E-3</v>
      </c>
      <c r="G416" s="113">
        <f t="shared" si="41"/>
        <v>-2.4092740059336037E-3</v>
      </c>
      <c r="H416" s="113">
        <f t="shared" si="41"/>
        <v>-1.8354092426775548E-3</v>
      </c>
      <c r="I416" s="113">
        <f t="shared" si="41"/>
        <v>8.2995654933348817E-4</v>
      </c>
      <c r="J416" s="113">
        <f t="shared" si="41"/>
        <v>-1.4722919482528241E-3</v>
      </c>
      <c r="K416" s="113">
        <f t="shared" si="41"/>
        <v>-1.1295155498838305E-3</v>
      </c>
      <c r="L416" s="114" t="e">
        <f t="shared" si="41"/>
        <v>#DIV/0!</v>
      </c>
      <c r="M416" s="113"/>
      <c r="N416" s="115"/>
    </row>
    <row r="418" spans="2:13">
      <c r="B418" s="4" t="s">
        <v>204</v>
      </c>
      <c r="C418" s="4"/>
      <c r="E418" s="4"/>
      <c r="F418" s="4"/>
      <c r="G418" s="4"/>
      <c r="H418" s="4"/>
      <c r="I418" s="4"/>
      <c r="J418" s="4"/>
      <c r="K418" s="4"/>
      <c r="L418" s="4"/>
    </row>
    <row r="419" spans="2:13" ht="17.25" thickBot="1">
      <c r="B419" s="4" t="s">
        <v>68</v>
      </c>
      <c r="C419" s="4"/>
      <c r="E419" s="4"/>
      <c r="F419" s="4"/>
      <c r="G419" s="4"/>
      <c r="H419" s="4"/>
      <c r="I419" s="4"/>
      <c r="J419" s="4"/>
      <c r="K419" s="4"/>
      <c r="L419" s="4"/>
    </row>
    <row r="420" spans="2:13" ht="17.25" thickBot="1">
      <c r="B420" s="185" t="s">
        <v>11</v>
      </c>
      <c r="C420" s="51" t="s">
        <v>0</v>
      </c>
      <c r="D420" s="51" t="s">
        <v>1</v>
      </c>
      <c r="E420" s="51" t="s">
        <v>2</v>
      </c>
      <c r="F420" s="51" t="s">
        <v>3</v>
      </c>
      <c r="G420" s="51" t="s">
        <v>192</v>
      </c>
      <c r="H420" s="51" t="s">
        <v>16</v>
      </c>
      <c r="I420" s="51" t="s">
        <v>6</v>
      </c>
      <c r="J420" s="52" t="s">
        <v>7</v>
      </c>
      <c r="K420" s="53" t="s">
        <v>8</v>
      </c>
      <c r="L420" s="48" t="s">
        <v>45</v>
      </c>
      <c r="M420" s="55" t="s">
        <v>10</v>
      </c>
    </row>
    <row r="421" spans="2:13">
      <c r="B421" s="186">
        <v>1</v>
      </c>
      <c r="C421" s="57" t="s">
        <v>206</v>
      </c>
      <c r="D421" s="187" t="s">
        <v>193</v>
      </c>
      <c r="E421" s="188">
        <v>3.9420000000000002</v>
      </c>
      <c r="F421" s="188">
        <v>6.6180000000000003</v>
      </c>
      <c r="G421" s="58">
        <v>5.2742370000000003</v>
      </c>
      <c r="H421" s="188">
        <v>7.0200329999999997</v>
      </c>
      <c r="I421" s="59">
        <v>0.1321</v>
      </c>
      <c r="J421" s="59">
        <v>0.12759999999999999</v>
      </c>
      <c r="K421" s="58">
        <v>51.865203999999999</v>
      </c>
      <c r="L421" s="60"/>
      <c r="M421" s="61"/>
    </row>
    <row r="422" spans="2:13">
      <c r="B422" s="189">
        <v>2</v>
      </c>
      <c r="C422" s="190"/>
      <c r="D422" s="191" t="s">
        <v>194</v>
      </c>
      <c r="E422" s="192">
        <v>3.94</v>
      </c>
      <c r="F422" s="192">
        <v>6.57</v>
      </c>
      <c r="G422" s="11">
        <v>5.2386410000000003</v>
      </c>
      <c r="H422" s="192">
        <v>6.9547869999999996</v>
      </c>
      <c r="I422" s="193">
        <v>0.1321</v>
      </c>
      <c r="J422" s="193">
        <v>0.12790000000000001</v>
      </c>
      <c r="K422" s="11">
        <v>51.368256000000002</v>
      </c>
      <c r="L422" s="194"/>
      <c r="M422" s="195"/>
    </row>
    <row r="423" spans="2:13">
      <c r="B423" s="189">
        <v>3</v>
      </c>
      <c r="C423" s="196"/>
      <c r="D423" s="191" t="s">
        <v>195</v>
      </c>
      <c r="E423" s="192">
        <v>3.944</v>
      </c>
      <c r="F423" s="192">
        <v>6.48</v>
      </c>
      <c r="G423" s="11">
        <v>5.1616390000000001</v>
      </c>
      <c r="H423" s="192">
        <v>6.8574020000000004</v>
      </c>
      <c r="I423" s="193">
        <v>0.13200000000000001</v>
      </c>
      <c r="J423" s="193">
        <v>0.12820000000000001</v>
      </c>
      <c r="K423" s="11">
        <v>50.546022000000001</v>
      </c>
      <c r="L423" s="194"/>
      <c r="M423" s="197"/>
    </row>
    <row r="424" spans="2:13">
      <c r="B424" s="189">
        <v>4</v>
      </c>
      <c r="C424" s="196"/>
      <c r="D424" s="191" t="s">
        <v>196</v>
      </c>
      <c r="E424" s="192">
        <v>3.9279999999999999</v>
      </c>
      <c r="F424" s="192">
        <v>6.4690000000000003</v>
      </c>
      <c r="G424" s="11">
        <v>5.1738660000000003</v>
      </c>
      <c r="H424" s="192">
        <v>6.7940319999999996</v>
      </c>
      <c r="I424" s="193">
        <v>0.13189999999999999</v>
      </c>
      <c r="J424" s="193">
        <v>0.12939999999999999</v>
      </c>
      <c r="K424" s="11">
        <v>49.992272</v>
      </c>
      <c r="L424" s="194"/>
      <c r="M424" s="197"/>
    </row>
    <row r="425" spans="2:13" ht="17.25" thickBot="1">
      <c r="B425" s="198">
        <v>5</v>
      </c>
      <c r="C425" s="199"/>
      <c r="D425" s="200" t="s">
        <v>197</v>
      </c>
      <c r="E425" s="201">
        <v>3.9359999999999999</v>
      </c>
      <c r="F425" s="201">
        <v>6.4349999999999996</v>
      </c>
      <c r="G425" s="14">
        <v>5.1362120000000004</v>
      </c>
      <c r="H425" s="201">
        <v>6.6750730000000003</v>
      </c>
      <c r="I425" s="15">
        <v>0.13170000000000001</v>
      </c>
      <c r="J425" s="15">
        <v>0.13139999999999999</v>
      </c>
      <c r="K425" s="14">
        <v>48.972602999999999</v>
      </c>
      <c r="L425" s="62"/>
      <c r="M425" s="202"/>
    </row>
    <row r="426" spans="2:13" ht="17.25" thickBot="1">
      <c r="B426" s="203"/>
      <c r="C426" s="204"/>
      <c r="D426" s="205" t="s">
        <v>49</v>
      </c>
      <c r="E426" s="206">
        <f>AVERAGE(E421:E425)</f>
        <v>3.9380000000000002</v>
      </c>
      <c r="F426" s="206">
        <f t="shared" ref="F426:K426" si="42">AVERAGE(F421:F425)</f>
        <v>6.5144000000000002</v>
      </c>
      <c r="G426" s="206">
        <f t="shared" si="42"/>
        <v>5.1969190000000003</v>
      </c>
      <c r="H426" s="206">
        <f t="shared" si="42"/>
        <v>6.8602654000000003</v>
      </c>
      <c r="I426" s="207">
        <f t="shared" si="42"/>
        <v>0.13196000000000002</v>
      </c>
      <c r="J426" s="207">
        <f t="shared" si="42"/>
        <v>0.12889999999999999</v>
      </c>
      <c r="K426" s="208">
        <f t="shared" si="42"/>
        <v>50.548871399999996</v>
      </c>
      <c r="L426" s="209"/>
      <c r="M426" s="210"/>
    </row>
    <row r="427" spans="2:13">
      <c r="B427" s="186">
        <v>6</v>
      </c>
      <c r="C427" s="57" t="s">
        <v>205</v>
      </c>
      <c r="D427" s="187" t="s">
        <v>20</v>
      </c>
      <c r="E427" s="188">
        <v>3.931</v>
      </c>
      <c r="F427" s="188">
        <v>6.6529999999999996</v>
      </c>
      <c r="G427" s="58">
        <v>5.316967</v>
      </c>
      <c r="H427" s="58">
        <v>7.0383430000000002</v>
      </c>
      <c r="I427" s="59">
        <v>0.1321</v>
      </c>
      <c r="J427" s="59">
        <v>0.12790000000000001</v>
      </c>
      <c r="K427" s="58">
        <v>52.017201</v>
      </c>
      <c r="L427" s="60"/>
      <c r="M427" s="211"/>
    </row>
    <row r="428" spans="2:13">
      <c r="B428" s="189">
        <v>7</v>
      </c>
      <c r="C428" s="196"/>
      <c r="D428" s="191" t="s">
        <v>21</v>
      </c>
      <c r="E428" s="192">
        <v>3.9409999999999998</v>
      </c>
      <c r="F428" s="192">
        <v>6.61</v>
      </c>
      <c r="G428" s="11">
        <v>5.2691980000000003</v>
      </c>
      <c r="H428" s="11">
        <v>6.9885979999999996</v>
      </c>
      <c r="I428" s="193">
        <v>0.1321</v>
      </c>
      <c r="J428" s="193">
        <v>0.12820000000000001</v>
      </c>
      <c r="K428" s="11">
        <v>51.560062000000002</v>
      </c>
      <c r="L428" s="194"/>
      <c r="M428" s="197"/>
    </row>
    <row r="429" spans="2:13">
      <c r="B429" s="189">
        <v>8</v>
      </c>
      <c r="C429" s="196"/>
      <c r="D429" s="191" t="s">
        <v>65</v>
      </c>
      <c r="E429" s="192">
        <v>3.93</v>
      </c>
      <c r="F429" s="192">
        <v>6.57</v>
      </c>
      <c r="G429" s="11">
        <v>5.2519710000000002</v>
      </c>
      <c r="H429" s="11">
        <v>6.9356030000000004</v>
      </c>
      <c r="I429" s="193">
        <v>0.13189999999999999</v>
      </c>
      <c r="J429" s="193">
        <v>0.12839999999999999</v>
      </c>
      <c r="K429" s="11">
        <v>51.168224000000002</v>
      </c>
      <c r="L429" s="194"/>
      <c r="M429" s="197"/>
    </row>
    <row r="430" spans="2:13">
      <c r="B430" s="189">
        <v>9</v>
      </c>
      <c r="C430" s="196"/>
      <c r="D430" s="191" t="s">
        <v>22</v>
      </c>
      <c r="E430" s="192">
        <v>3.9249999999999998</v>
      </c>
      <c r="F430" s="192">
        <v>6.5309999999999997</v>
      </c>
      <c r="G430" s="11">
        <v>5.2274459999999996</v>
      </c>
      <c r="H430" s="11">
        <v>6.8581110000000001</v>
      </c>
      <c r="I430" s="193">
        <v>0.13189999999999999</v>
      </c>
      <c r="J430" s="193">
        <v>0.12959999999999999</v>
      </c>
      <c r="K430" s="11">
        <v>50.393518999999998</v>
      </c>
      <c r="L430" s="194"/>
      <c r="M430" s="197"/>
    </row>
    <row r="431" spans="2:13" ht="17.25" thickBot="1">
      <c r="B431" s="198">
        <v>10</v>
      </c>
      <c r="C431" s="199"/>
      <c r="D431" s="200" t="s">
        <v>23</v>
      </c>
      <c r="E431" s="201">
        <v>3.9249999999999998</v>
      </c>
      <c r="F431" s="201">
        <v>6.5540000000000003</v>
      </c>
      <c r="G431" s="14">
        <v>5.2458549999999997</v>
      </c>
      <c r="H431" s="14">
        <v>6.8036760000000003</v>
      </c>
      <c r="I431" s="15">
        <v>0.13170000000000001</v>
      </c>
      <c r="J431" s="15">
        <v>0.13150000000000001</v>
      </c>
      <c r="K431" s="14">
        <v>49.840304000000003</v>
      </c>
      <c r="L431" s="62"/>
      <c r="M431" s="202"/>
    </row>
    <row r="432" spans="2:13" ht="17.25" thickBot="1">
      <c r="B432" s="203" t="s">
        <v>49</v>
      </c>
      <c r="C432" s="204"/>
      <c r="D432" s="205" t="s">
        <v>49</v>
      </c>
      <c r="E432" s="206">
        <f>AVERAGE(E427:E431)</f>
        <v>3.9304000000000001</v>
      </c>
      <c r="F432" s="206">
        <f t="shared" ref="F432:K432" si="43">AVERAGE(F427:F431)</f>
        <v>6.5835999999999997</v>
      </c>
      <c r="G432" s="206">
        <f t="shared" si="43"/>
        <v>5.2622873999999999</v>
      </c>
      <c r="H432" s="206">
        <f t="shared" si="43"/>
        <v>6.9248662000000012</v>
      </c>
      <c r="I432" s="207">
        <f t="shared" si="43"/>
        <v>0.13194</v>
      </c>
      <c r="J432" s="207">
        <f t="shared" si="43"/>
        <v>0.12911999999999998</v>
      </c>
      <c r="K432" s="208">
        <f t="shared" si="43"/>
        <v>50.995862000000002</v>
      </c>
      <c r="L432" s="212"/>
      <c r="M432" s="210"/>
    </row>
    <row r="433" spans="2:13">
      <c r="B433" s="213">
        <v>11</v>
      </c>
      <c r="C433" s="214" t="s">
        <v>205</v>
      </c>
      <c r="D433" s="187" t="s">
        <v>24</v>
      </c>
      <c r="E433" s="188">
        <v>3.93</v>
      </c>
      <c r="F433" s="188">
        <v>6.65</v>
      </c>
      <c r="G433" s="58">
        <v>5.3159219999999996</v>
      </c>
      <c r="H433" s="58">
        <v>7.0472260000000002</v>
      </c>
      <c r="I433" s="59">
        <v>0.13220000000000001</v>
      </c>
      <c r="J433" s="59">
        <v>0.12770000000000001</v>
      </c>
      <c r="K433" s="58">
        <v>52.075175999999999</v>
      </c>
      <c r="L433" s="60"/>
      <c r="M433" s="211"/>
    </row>
    <row r="434" spans="2:13">
      <c r="B434" s="215">
        <v>12</v>
      </c>
      <c r="C434" s="196"/>
      <c r="D434" s="191" t="s">
        <v>25</v>
      </c>
      <c r="E434" s="192">
        <v>3.9380000000000002</v>
      </c>
      <c r="F434" s="192">
        <v>6.577</v>
      </c>
      <c r="G434" s="11">
        <v>5.2468859999999999</v>
      </c>
      <c r="H434" s="11">
        <v>6.9615559999999999</v>
      </c>
      <c r="I434" s="193">
        <v>0.1321</v>
      </c>
      <c r="J434" s="193">
        <v>0.128</v>
      </c>
      <c r="K434" s="11">
        <v>51.382812999999999</v>
      </c>
      <c r="L434" s="194"/>
      <c r="M434" s="197"/>
    </row>
    <row r="435" spans="2:13">
      <c r="B435" s="215">
        <v>13</v>
      </c>
      <c r="C435" s="196"/>
      <c r="D435" s="191" t="s">
        <v>26</v>
      </c>
      <c r="E435" s="192">
        <v>3.98</v>
      </c>
      <c r="F435" s="192">
        <v>6.5780000000000003</v>
      </c>
      <c r="G435" s="11">
        <v>5.1923060000000003</v>
      </c>
      <c r="H435" s="11">
        <v>6.9564170000000001</v>
      </c>
      <c r="I435" s="193">
        <v>0.1321</v>
      </c>
      <c r="J435" s="193">
        <v>0.12820000000000001</v>
      </c>
      <c r="K435" s="11">
        <v>51.310451999999998</v>
      </c>
      <c r="L435" s="194"/>
      <c r="M435" s="197"/>
    </row>
    <row r="436" spans="2:13">
      <c r="B436" s="215">
        <v>14</v>
      </c>
      <c r="C436" s="196"/>
      <c r="D436" s="191" t="s">
        <v>27</v>
      </c>
      <c r="E436" s="192">
        <v>3.9359999999999999</v>
      </c>
      <c r="F436" s="192">
        <v>6.5709999999999997</v>
      </c>
      <c r="G436" s="11">
        <v>5.2447629999999998</v>
      </c>
      <c r="H436" s="11">
        <v>6.8949629999999997</v>
      </c>
      <c r="I436" s="193">
        <v>0.13189999999999999</v>
      </c>
      <c r="J436" s="193">
        <v>0.12939999999999999</v>
      </c>
      <c r="K436" s="11">
        <v>50.780526000000002</v>
      </c>
      <c r="L436" s="194"/>
      <c r="M436" s="197"/>
    </row>
    <row r="437" spans="2:13" ht="17.25" thickBot="1">
      <c r="B437" s="216">
        <v>15</v>
      </c>
      <c r="C437" s="199"/>
      <c r="D437" s="200" t="s">
        <v>28</v>
      </c>
      <c r="E437" s="201">
        <v>3.9359999999999999</v>
      </c>
      <c r="F437" s="201">
        <v>6.4770000000000003</v>
      </c>
      <c r="G437" s="14">
        <v>5.1697350000000002</v>
      </c>
      <c r="H437" s="14">
        <v>6.7346279999999998</v>
      </c>
      <c r="I437" s="15">
        <v>0.1318</v>
      </c>
      <c r="J437" s="15">
        <v>0.13139999999999999</v>
      </c>
      <c r="K437" s="14">
        <v>49.292237</v>
      </c>
      <c r="L437" s="62"/>
      <c r="M437" s="202"/>
    </row>
    <row r="438" spans="2:13" ht="17.25" thickBot="1">
      <c r="B438" s="217"/>
      <c r="C438" s="204"/>
      <c r="D438" s="218" t="s">
        <v>49</v>
      </c>
      <c r="E438" s="206">
        <f>AVERAGE(E433:E437)</f>
        <v>3.944</v>
      </c>
      <c r="F438" s="206">
        <f t="shared" ref="F438:K438" si="44">AVERAGE(F433:F437)</f>
        <v>6.5705999999999989</v>
      </c>
      <c r="G438" s="206">
        <f t="shared" si="44"/>
        <v>5.2339224</v>
      </c>
      <c r="H438" s="206">
        <f t="shared" si="44"/>
        <v>6.9189579999999991</v>
      </c>
      <c r="I438" s="207">
        <f t="shared" si="44"/>
        <v>0.13202</v>
      </c>
      <c r="J438" s="207">
        <f t="shared" si="44"/>
        <v>0.12894</v>
      </c>
      <c r="K438" s="208">
        <f t="shared" si="44"/>
        <v>50.968240800000004</v>
      </c>
      <c r="L438" s="209"/>
      <c r="M438" s="210"/>
    </row>
    <row r="439" spans="2:13">
      <c r="B439" s="213">
        <v>16</v>
      </c>
      <c r="C439" s="57" t="s">
        <v>205</v>
      </c>
      <c r="D439" s="187" t="s">
        <v>29</v>
      </c>
      <c r="E439" s="188">
        <v>3.9180000000000001</v>
      </c>
      <c r="F439" s="188">
        <v>6.6219999999999999</v>
      </c>
      <c r="G439" s="58">
        <v>5.3097519999999996</v>
      </c>
      <c r="H439" s="58">
        <v>7.0427819999999999</v>
      </c>
      <c r="I439" s="59">
        <v>0.13220000000000001</v>
      </c>
      <c r="J439" s="59">
        <v>0.127</v>
      </c>
      <c r="K439" s="58">
        <v>52.141731999999998</v>
      </c>
      <c r="L439" s="60"/>
      <c r="M439" s="211"/>
    </row>
    <row r="440" spans="2:13">
      <c r="B440" s="215">
        <v>17</v>
      </c>
      <c r="C440" s="196"/>
      <c r="D440" s="191" t="s">
        <v>30</v>
      </c>
      <c r="E440" s="192">
        <v>3.9319999999999999</v>
      </c>
      <c r="F440" s="192">
        <v>6.5990000000000002</v>
      </c>
      <c r="G440" s="11">
        <v>5.2724700000000002</v>
      </c>
      <c r="H440" s="11">
        <v>7.0151240000000001</v>
      </c>
      <c r="I440" s="193">
        <v>0.1321</v>
      </c>
      <c r="J440" s="193">
        <v>0.12740000000000001</v>
      </c>
      <c r="K440" s="11">
        <v>51.797488000000001</v>
      </c>
      <c r="L440" s="194"/>
      <c r="M440" s="197"/>
    </row>
    <row r="441" spans="2:13">
      <c r="B441" s="215">
        <v>18</v>
      </c>
      <c r="C441" s="196"/>
      <c r="D441" s="191" t="s">
        <v>31</v>
      </c>
      <c r="E441" s="192">
        <v>3.9380000000000002</v>
      </c>
      <c r="F441" s="192">
        <v>6.5819999999999999</v>
      </c>
      <c r="G441" s="11">
        <v>5.2508749999999997</v>
      </c>
      <c r="H441" s="11">
        <v>6.9769500000000004</v>
      </c>
      <c r="I441" s="193">
        <v>0.1321</v>
      </c>
      <c r="J441" s="193">
        <v>0.12770000000000001</v>
      </c>
      <c r="K441" s="11">
        <v>51.542678000000002</v>
      </c>
      <c r="L441" s="194"/>
      <c r="M441" s="197"/>
    </row>
    <row r="442" spans="2:13">
      <c r="B442" s="215">
        <v>19</v>
      </c>
      <c r="C442" s="196"/>
      <c r="D442" s="191" t="s">
        <v>32</v>
      </c>
      <c r="E442" s="192">
        <v>3.9180000000000001</v>
      </c>
      <c r="F442" s="192">
        <v>6.5810000000000004</v>
      </c>
      <c r="G442" s="11">
        <v>5.2768769999999998</v>
      </c>
      <c r="H442" s="11">
        <v>6.9300620000000004</v>
      </c>
      <c r="I442" s="193">
        <v>0.13189999999999999</v>
      </c>
      <c r="J442" s="193">
        <v>0.12889999999999999</v>
      </c>
      <c r="K442" s="11">
        <v>51.055081000000001</v>
      </c>
      <c r="L442" s="194"/>
      <c r="M442" s="197"/>
    </row>
    <row r="443" spans="2:13" ht="17.25" thickBot="1">
      <c r="B443" s="216">
        <v>20</v>
      </c>
      <c r="C443" s="199"/>
      <c r="D443" s="200" t="s">
        <v>33</v>
      </c>
      <c r="E443" s="201">
        <v>3.9329999999999998</v>
      </c>
      <c r="F443" s="201">
        <v>6.5119999999999996</v>
      </c>
      <c r="G443" s="14">
        <v>5.2016359999999997</v>
      </c>
      <c r="H443" s="14">
        <v>6.7955040000000002</v>
      </c>
      <c r="I443" s="15">
        <v>0.1318</v>
      </c>
      <c r="J443" s="15">
        <v>0.1308</v>
      </c>
      <c r="K443" s="14">
        <v>49.785933</v>
      </c>
      <c r="L443" s="62"/>
      <c r="M443" s="202"/>
    </row>
    <row r="444" spans="2:13" ht="17.25" thickBot="1">
      <c r="B444" s="217"/>
      <c r="C444" s="204"/>
      <c r="D444" s="218" t="s">
        <v>49</v>
      </c>
      <c r="E444" s="206">
        <f>AVERAGE(E439:E443)</f>
        <v>3.9278</v>
      </c>
      <c r="F444" s="206">
        <f t="shared" ref="F444:K444" si="45">AVERAGE(F439:F443)</f>
        <v>6.5792000000000002</v>
      </c>
      <c r="G444" s="206">
        <f t="shared" si="45"/>
        <v>5.2623219999999993</v>
      </c>
      <c r="H444" s="206">
        <f t="shared" si="45"/>
        <v>6.9520843999999995</v>
      </c>
      <c r="I444" s="207">
        <f t="shared" si="45"/>
        <v>0.13202</v>
      </c>
      <c r="J444" s="207">
        <f t="shared" si="45"/>
        <v>0.12836</v>
      </c>
      <c r="K444" s="206">
        <f t="shared" si="45"/>
        <v>51.264582399999995</v>
      </c>
      <c r="L444" s="209"/>
      <c r="M444" s="210"/>
    </row>
    <row r="445" spans="2:13">
      <c r="B445" s="213">
        <v>21</v>
      </c>
      <c r="C445" s="57" t="s">
        <v>205</v>
      </c>
      <c r="D445" s="187" t="s">
        <v>34</v>
      </c>
      <c r="E445" s="188">
        <v>3.903</v>
      </c>
      <c r="F445" s="188">
        <v>6.45</v>
      </c>
      <c r="G445" s="58">
        <v>5.191713</v>
      </c>
      <c r="H445" s="58">
        <v>6.9007160000000001</v>
      </c>
      <c r="I445" s="59">
        <v>0.1323</v>
      </c>
      <c r="J445" s="59">
        <v>0.12590000000000001</v>
      </c>
      <c r="K445" s="58">
        <v>51.231135999999999</v>
      </c>
      <c r="L445" s="60"/>
      <c r="M445" s="211"/>
    </row>
    <row r="446" spans="2:13">
      <c r="B446" s="215">
        <v>22</v>
      </c>
      <c r="C446" s="196"/>
      <c r="D446" s="191" t="s">
        <v>35</v>
      </c>
      <c r="E446" s="192">
        <v>3.927</v>
      </c>
      <c r="F446" s="192">
        <v>6.5970000000000004</v>
      </c>
      <c r="G446" s="11">
        <v>5.2775829999999999</v>
      </c>
      <c r="H446" s="11">
        <v>7.056432</v>
      </c>
      <c r="I446" s="193">
        <v>0.1323</v>
      </c>
      <c r="J446" s="193">
        <v>0.12620000000000001</v>
      </c>
      <c r="K446" s="11">
        <v>52.274168000000003</v>
      </c>
      <c r="L446" s="194"/>
      <c r="M446" s="197"/>
    </row>
    <row r="447" spans="2:13">
      <c r="B447" s="215">
        <v>23</v>
      </c>
      <c r="C447" s="196"/>
      <c r="D447" s="191" t="s">
        <v>36</v>
      </c>
      <c r="E447" s="192">
        <v>3.9260000000000002</v>
      </c>
      <c r="F447" s="192">
        <v>6.5750000000000002</v>
      </c>
      <c r="G447" s="11">
        <v>5.261323</v>
      </c>
      <c r="H447" s="11">
        <v>7.0087859999999997</v>
      </c>
      <c r="I447" s="193">
        <v>0.13220000000000001</v>
      </c>
      <c r="J447" s="193">
        <v>0.12659999999999999</v>
      </c>
      <c r="K447" s="11">
        <v>51.935229</v>
      </c>
      <c r="L447" s="194"/>
      <c r="M447" s="197"/>
    </row>
    <row r="448" spans="2:13">
      <c r="B448" s="215">
        <v>24</v>
      </c>
      <c r="C448" s="196"/>
      <c r="D448" s="191" t="s">
        <v>37</v>
      </c>
      <c r="E448" s="192">
        <v>3.9420000000000002</v>
      </c>
      <c r="F448" s="192">
        <v>6.4980000000000002</v>
      </c>
      <c r="G448" s="11">
        <v>5.1786029999999998</v>
      </c>
      <c r="H448" s="11">
        <v>6.8848469999999997</v>
      </c>
      <c r="I448" s="193">
        <v>0.13200000000000001</v>
      </c>
      <c r="J448" s="193">
        <v>0.1278</v>
      </c>
      <c r="K448" s="11">
        <v>50.84507</v>
      </c>
      <c r="L448" s="194"/>
      <c r="M448" s="197"/>
    </row>
    <row r="449" spans="2:13" ht="17.25" thickBot="1">
      <c r="B449" s="216">
        <v>25</v>
      </c>
      <c r="C449" s="199"/>
      <c r="D449" s="200" t="s">
        <v>38</v>
      </c>
      <c r="E449" s="201">
        <v>3.9239999999999999</v>
      </c>
      <c r="F449" s="201">
        <v>6.4989999999999997</v>
      </c>
      <c r="G449" s="14">
        <v>5.2031580000000002</v>
      </c>
      <c r="H449" s="14">
        <v>6.8061970000000001</v>
      </c>
      <c r="I449" s="15">
        <v>0.13189999999999999</v>
      </c>
      <c r="J449" s="15">
        <v>0.1298</v>
      </c>
      <c r="K449" s="14">
        <v>50.069336999999997</v>
      </c>
      <c r="L449" s="62"/>
      <c r="M449" s="202"/>
    </row>
    <row r="450" spans="2:13" ht="17.25" thickBot="1">
      <c r="B450" s="219" t="s">
        <v>49</v>
      </c>
      <c r="C450" s="220"/>
      <c r="D450" s="221" t="s">
        <v>49</v>
      </c>
      <c r="E450" s="222">
        <f>AVERAGE(E445:E449)</f>
        <v>3.9243999999999999</v>
      </c>
      <c r="F450" s="222">
        <f t="shared" ref="F450:K450" si="46">AVERAGE(F445:F449)</f>
        <v>6.5237999999999996</v>
      </c>
      <c r="G450" s="222">
        <f t="shared" si="46"/>
        <v>5.2224760000000003</v>
      </c>
      <c r="H450" s="222">
        <f t="shared" si="46"/>
        <v>6.9313956000000001</v>
      </c>
      <c r="I450" s="223">
        <f t="shared" si="46"/>
        <v>0.13214000000000001</v>
      </c>
      <c r="J450" s="223">
        <f t="shared" si="46"/>
        <v>0.12725999999999998</v>
      </c>
      <c r="K450" s="222">
        <f t="shared" si="46"/>
        <v>51.270988000000003</v>
      </c>
      <c r="L450" s="224"/>
      <c r="M450" s="225"/>
    </row>
    <row r="451" spans="2:13">
      <c r="B451" s="213"/>
      <c r="C451" s="226"/>
      <c r="D451" s="187" t="s">
        <v>198</v>
      </c>
      <c r="E451" s="227">
        <f>MEDIAN(E421:E425,E427:E431,E433:E437,E439:E443,E445:E449)</f>
        <v>3.9319999999999999</v>
      </c>
      <c r="F451" s="227">
        <f t="shared" ref="F451:K451" si="47">MEDIAN(F421:F425,F427:F431,F433:F437,F439:F443,F445:F449)</f>
        <v>6.5709999999999997</v>
      </c>
      <c r="G451" s="227">
        <f t="shared" si="47"/>
        <v>5.2458549999999997</v>
      </c>
      <c r="H451" s="227">
        <f t="shared" si="47"/>
        <v>6.9356030000000004</v>
      </c>
      <c r="I451" s="228">
        <f t="shared" si="47"/>
        <v>0.1321</v>
      </c>
      <c r="J451" s="228">
        <f t="shared" si="47"/>
        <v>0.12820000000000001</v>
      </c>
      <c r="K451" s="233">
        <f t="shared" si="47"/>
        <v>51.231135999999999</v>
      </c>
      <c r="L451" s="227"/>
      <c r="M451" s="211"/>
    </row>
    <row r="452" spans="2:13">
      <c r="B452" s="215"/>
      <c r="C452" s="196"/>
      <c r="D452" s="191" t="s">
        <v>49</v>
      </c>
      <c r="E452" s="229">
        <f>AVERAGE(E421:E425,E427:E431,E433:E437,E439:E443,E445:E449)</f>
        <v>3.9329200000000002</v>
      </c>
      <c r="F452" s="229">
        <f t="shared" ref="F452:K452" si="48">AVERAGE(F421:F425,F427:F431,F433:F437,F439:F443,F445:F449)</f>
        <v>6.5543199999999988</v>
      </c>
      <c r="G452" s="229">
        <f t="shared" si="48"/>
        <v>5.2355853599999991</v>
      </c>
      <c r="H452" s="229">
        <f t="shared" si="48"/>
        <v>6.9175139199999993</v>
      </c>
      <c r="I452" s="230">
        <f t="shared" si="48"/>
        <v>0.13201599999999997</v>
      </c>
      <c r="J452" s="230">
        <f t="shared" si="48"/>
        <v>0.12851599999999996</v>
      </c>
      <c r="K452" s="234">
        <f t="shared" si="48"/>
        <v>51.009708919999994</v>
      </c>
      <c r="L452" s="229"/>
      <c r="M452" s="197"/>
    </row>
    <row r="453" spans="2:13">
      <c r="B453" s="215"/>
      <c r="C453" s="196"/>
      <c r="D453" s="191" t="s">
        <v>199</v>
      </c>
      <c r="E453" s="229">
        <f>MAX(E421:E425,E427:E431,E433:E437,E439:E443,E445:E449)</f>
        <v>3.98</v>
      </c>
      <c r="F453" s="229">
        <f t="shared" ref="F453:K453" si="49">MAX(F421:F425,F427:F431,F433:F437,F439:F443,F445:F449)</f>
        <v>6.6529999999999996</v>
      </c>
      <c r="G453" s="229">
        <f t="shared" si="49"/>
        <v>5.316967</v>
      </c>
      <c r="H453" s="229">
        <f t="shared" si="49"/>
        <v>7.056432</v>
      </c>
      <c r="I453" s="230">
        <f t="shared" si="49"/>
        <v>0.1323</v>
      </c>
      <c r="J453" s="230">
        <f t="shared" si="49"/>
        <v>0.13150000000000001</v>
      </c>
      <c r="K453" s="234">
        <f t="shared" si="49"/>
        <v>52.274168000000003</v>
      </c>
      <c r="L453" s="229"/>
      <c r="M453" s="197"/>
    </row>
    <row r="454" spans="2:13">
      <c r="B454" s="215"/>
      <c r="C454" s="196"/>
      <c r="D454" s="191" t="s">
        <v>200</v>
      </c>
      <c r="E454" s="229">
        <f>MIN(E421:E425,E427:E431,E433:E437,E439:E443,E445:E449)</f>
        <v>3.903</v>
      </c>
      <c r="F454" s="229">
        <f t="shared" ref="F454:K454" si="50">MIN(F421:F425,F427:F431,F433:F437,F439:F443,F445:F449)</f>
        <v>6.4349999999999996</v>
      </c>
      <c r="G454" s="229">
        <f t="shared" si="50"/>
        <v>5.1362120000000004</v>
      </c>
      <c r="H454" s="229">
        <f t="shared" si="50"/>
        <v>6.6750730000000003</v>
      </c>
      <c r="I454" s="230">
        <f t="shared" si="50"/>
        <v>0.13170000000000001</v>
      </c>
      <c r="J454" s="230">
        <f t="shared" si="50"/>
        <v>0.12590000000000001</v>
      </c>
      <c r="K454" s="234">
        <f t="shared" si="50"/>
        <v>48.972602999999999</v>
      </c>
      <c r="L454" s="229"/>
      <c r="M454" s="197"/>
    </row>
    <row r="455" spans="2:13">
      <c r="B455" s="215"/>
      <c r="C455" s="196"/>
      <c r="D455" s="191" t="s">
        <v>201</v>
      </c>
      <c r="E455" s="229">
        <f>E453-E454</f>
        <v>7.6999999999999957E-2</v>
      </c>
      <c r="F455" s="229">
        <f t="shared" ref="F455:K455" si="51">F453-F454</f>
        <v>0.21799999999999997</v>
      </c>
      <c r="G455" s="229">
        <f t="shared" si="51"/>
        <v>0.18075499999999955</v>
      </c>
      <c r="H455" s="229">
        <f t="shared" si="51"/>
        <v>0.38135899999999978</v>
      </c>
      <c r="I455" s="230">
        <f t="shared" si="51"/>
        <v>5.9999999999998943E-4</v>
      </c>
      <c r="J455" s="230">
        <f t="shared" si="51"/>
        <v>5.5999999999999939E-3</v>
      </c>
      <c r="K455" s="229">
        <f t="shared" si="51"/>
        <v>3.3015650000000036</v>
      </c>
      <c r="L455" s="229"/>
      <c r="M455" s="197"/>
    </row>
    <row r="456" spans="2:13">
      <c r="B456" s="215"/>
      <c r="C456" s="196"/>
      <c r="D456" s="191" t="s">
        <v>202</v>
      </c>
      <c r="E456" s="229">
        <f>STDEVA(E421:E425,E427:E431,E433:E437,E439:E443,E445:E449)</f>
        <v>1.3499753084161691E-2</v>
      </c>
      <c r="F456" s="229">
        <f t="shared" ref="F456:K456" si="52">STDEVA(F421:F425,F427:F431,F433:F437,F439:F443,F445:F449)</f>
        <v>6.1463213930502116E-2</v>
      </c>
      <c r="G456" s="229">
        <f t="shared" si="52"/>
        <v>5.0135647294681014E-2</v>
      </c>
      <c r="H456" s="229">
        <f t="shared" si="52"/>
        <v>0.10515979549750304</v>
      </c>
      <c r="I456" s="230">
        <f t="shared" si="52"/>
        <v>1.7000000000000088E-4</v>
      </c>
      <c r="J456" s="230">
        <f t="shared" si="52"/>
        <v>1.564363555358319E-3</v>
      </c>
      <c r="K456" s="229">
        <f t="shared" si="52"/>
        <v>0.93138487955355675</v>
      </c>
      <c r="L456" s="229"/>
      <c r="M456" s="197"/>
    </row>
    <row r="457" spans="2:13" ht="17.25" thickBot="1">
      <c r="B457" s="216"/>
      <c r="C457" s="199"/>
      <c r="D457" s="200" t="s">
        <v>203</v>
      </c>
      <c r="E457" s="231">
        <f>E456*3</f>
        <v>4.049925925248507E-2</v>
      </c>
      <c r="F457" s="231">
        <f t="shared" ref="F457:K457" si="53">F456*3</f>
        <v>0.18438964179150635</v>
      </c>
      <c r="G457" s="231">
        <f t="shared" si="53"/>
        <v>0.15040694188404305</v>
      </c>
      <c r="H457" s="231">
        <f t="shared" si="53"/>
        <v>0.31547938649250912</v>
      </c>
      <c r="I457" s="232">
        <f t="shared" si="53"/>
        <v>5.1000000000000264E-4</v>
      </c>
      <c r="J457" s="232">
        <f t="shared" si="53"/>
        <v>4.6930906660749569E-3</v>
      </c>
      <c r="K457" s="231">
        <f t="shared" si="53"/>
        <v>2.7941546386606704</v>
      </c>
      <c r="L457" s="231"/>
      <c r="M457" s="202"/>
    </row>
    <row r="459" spans="2:13">
      <c r="B459" s="4" t="s">
        <v>207</v>
      </c>
      <c r="C459" s="4"/>
      <c r="E459" s="4"/>
      <c r="F459" s="4"/>
      <c r="G459" s="4"/>
      <c r="H459" s="4"/>
      <c r="I459" s="4"/>
      <c r="J459" s="4"/>
      <c r="K459" s="4"/>
      <c r="L459" s="4"/>
    </row>
    <row r="460" spans="2:13" ht="17.25" thickBot="1">
      <c r="B460" s="4" t="s">
        <v>68</v>
      </c>
      <c r="C460" s="4"/>
      <c r="E460" s="4"/>
      <c r="F460" s="4"/>
      <c r="G460" s="4"/>
      <c r="H460" s="4"/>
      <c r="I460" s="4"/>
      <c r="J460" s="4"/>
      <c r="K460" s="4"/>
      <c r="L460" s="4"/>
    </row>
    <row r="461" spans="2:13" ht="17.25" thickBot="1">
      <c r="B461" s="185" t="s">
        <v>11</v>
      </c>
      <c r="C461" s="51" t="s">
        <v>0</v>
      </c>
      <c r="D461" s="51" t="s">
        <v>1</v>
      </c>
      <c r="E461" s="51" t="s">
        <v>2</v>
      </c>
      <c r="F461" s="51" t="s">
        <v>3</v>
      </c>
      <c r="G461" s="51" t="s">
        <v>192</v>
      </c>
      <c r="H461" s="51" t="s">
        <v>16</v>
      </c>
      <c r="I461" s="51" t="s">
        <v>6</v>
      </c>
      <c r="J461" s="52" t="s">
        <v>7</v>
      </c>
      <c r="K461" s="53" t="s">
        <v>8</v>
      </c>
      <c r="L461" s="48" t="s">
        <v>45</v>
      </c>
      <c r="M461" s="55" t="s">
        <v>10</v>
      </c>
    </row>
    <row r="462" spans="2:13">
      <c r="B462" s="186">
        <v>1</v>
      </c>
      <c r="C462" s="57" t="s">
        <v>206</v>
      </c>
      <c r="D462" s="187" t="s">
        <v>193</v>
      </c>
      <c r="E462" s="188">
        <v>3.9510000000000001</v>
      </c>
      <c r="F462" s="188">
        <v>6.7809999999999997</v>
      </c>
      <c r="G462" s="58">
        <v>5.3918299999999997</v>
      </c>
      <c r="H462" s="188">
        <v>7.3182130000000001</v>
      </c>
      <c r="I462" s="59">
        <v>0.1323</v>
      </c>
      <c r="J462" s="59">
        <v>0.12479999999999999</v>
      </c>
      <c r="K462" s="58">
        <v>54.334935999999999</v>
      </c>
      <c r="L462" s="60"/>
      <c r="M462" s="61"/>
    </row>
    <row r="463" spans="2:13">
      <c r="B463" s="189">
        <v>2</v>
      </c>
      <c r="C463" s="190"/>
      <c r="D463" s="191" t="s">
        <v>194</v>
      </c>
      <c r="E463" s="192">
        <v>3.9449999999999998</v>
      </c>
      <c r="F463" s="192">
        <v>6.8109999999999999</v>
      </c>
      <c r="G463" s="11">
        <v>5.423921</v>
      </c>
      <c r="H463" s="192">
        <v>7.3028250000000003</v>
      </c>
      <c r="I463" s="193">
        <v>0.13220000000000001</v>
      </c>
      <c r="J463" s="193">
        <v>0.1258</v>
      </c>
      <c r="K463" s="11">
        <v>54.141494000000002</v>
      </c>
      <c r="L463" s="194"/>
      <c r="M463" s="195"/>
    </row>
    <row r="464" spans="2:13">
      <c r="B464" s="189">
        <v>3</v>
      </c>
      <c r="C464" s="196"/>
      <c r="D464" s="191" t="s">
        <v>195</v>
      </c>
      <c r="E464" s="192">
        <v>3.9430000000000001</v>
      </c>
      <c r="F464" s="192">
        <v>6.6740000000000004</v>
      </c>
      <c r="G464" s="11">
        <v>5.3175179999999997</v>
      </c>
      <c r="H464" s="192">
        <v>7.1113059999999999</v>
      </c>
      <c r="I464" s="193">
        <v>0.1321</v>
      </c>
      <c r="J464" s="193">
        <v>0.12659999999999999</v>
      </c>
      <c r="K464" s="11">
        <v>52.717219999999998</v>
      </c>
      <c r="L464" s="194"/>
      <c r="M464" s="197"/>
    </row>
    <row r="465" spans="2:13">
      <c r="B465" s="189">
        <v>4</v>
      </c>
      <c r="C465" s="196"/>
      <c r="D465" s="191" t="s">
        <v>196</v>
      </c>
      <c r="E465" s="192">
        <v>3.9540000000000002</v>
      </c>
      <c r="F465" s="192">
        <v>6.7640000000000002</v>
      </c>
      <c r="G465" s="11">
        <v>5.3742320000000001</v>
      </c>
      <c r="H465" s="192">
        <v>7.1964319999999997</v>
      </c>
      <c r="I465" s="193">
        <v>0.1321</v>
      </c>
      <c r="J465" s="193">
        <v>0.12740000000000001</v>
      </c>
      <c r="K465" s="11">
        <v>53.092621999999999</v>
      </c>
      <c r="L465" s="194"/>
      <c r="M465" s="197"/>
    </row>
    <row r="466" spans="2:13" ht="17.25" thickBot="1">
      <c r="B466" s="198">
        <v>5</v>
      </c>
      <c r="C466" s="199"/>
      <c r="D466" s="200" t="s">
        <v>197</v>
      </c>
      <c r="E466" s="201">
        <v>3.948</v>
      </c>
      <c r="F466" s="201">
        <v>6.6239999999999997</v>
      </c>
      <c r="G466" s="14">
        <v>5.2709960000000002</v>
      </c>
      <c r="H466" s="201">
        <v>7.0326029999999999</v>
      </c>
      <c r="I466" s="15">
        <v>0.1321</v>
      </c>
      <c r="J466" s="15">
        <v>0.12720000000000001</v>
      </c>
      <c r="K466" s="14">
        <v>52.075471999999998</v>
      </c>
      <c r="L466" s="62"/>
      <c r="M466" s="202"/>
    </row>
    <row r="467" spans="2:13" ht="17.25" thickBot="1">
      <c r="B467" s="203"/>
      <c r="C467" s="204"/>
      <c r="D467" s="205" t="s">
        <v>49</v>
      </c>
      <c r="E467" s="206">
        <f>AVERAGE(E462:E466)</f>
        <v>3.9481999999999999</v>
      </c>
      <c r="F467" s="206">
        <f t="shared" ref="F467:K467" si="54">AVERAGE(F462:F466)</f>
        <v>6.7307999999999995</v>
      </c>
      <c r="G467" s="206">
        <f t="shared" si="54"/>
        <v>5.3556993999999998</v>
      </c>
      <c r="H467" s="206">
        <f t="shared" si="54"/>
        <v>7.1922758</v>
      </c>
      <c r="I467" s="207">
        <f t="shared" si="54"/>
        <v>0.13216</v>
      </c>
      <c r="J467" s="207">
        <f t="shared" si="54"/>
        <v>0.12635999999999997</v>
      </c>
      <c r="K467" s="208">
        <f t="shared" si="54"/>
        <v>53.272348799999996</v>
      </c>
      <c r="L467" s="209"/>
      <c r="M467" s="210"/>
    </row>
    <row r="468" spans="2:13">
      <c r="B468" s="186">
        <v>6</v>
      </c>
      <c r="C468" s="57" t="s">
        <v>205</v>
      </c>
      <c r="D468" s="187" t="s">
        <v>20</v>
      </c>
      <c r="E468" s="188">
        <v>3.9430000000000001</v>
      </c>
      <c r="F468" s="188">
        <v>6.8070000000000004</v>
      </c>
      <c r="G468" s="58">
        <v>5.4234850000000003</v>
      </c>
      <c r="H468" s="58">
        <v>7.3098080000000003</v>
      </c>
      <c r="I468" s="59">
        <v>0.13220000000000001</v>
      </c>
      <c r="J468" s="59">
        <v>0.12559999999999999</v>
      </c>
      <c r="K468" s="58">
        <v>54.195860000000003</v>
      </c>
      <c r="L468" s="60"/>
      <c r="M468" s="211"/>
    </row>
    <row r="469" spans="2:13">
      <c r="B469" s="189">
        <v>7</v>
      </c>
      <c r="C469" s="196"/>
      <c r="D469" s="191" t="s">
        <v>21</v>
      </c>
      <c r="E469" s="192">
        <v>3.948</v>
      </c>
      <c r="F469" s="192">
        <v>6.8140000000000001</v>
      </c>
      <c r="G469" s="11">
        <v>5.4221870000000001</v>
      </c>
      <c r="H469" s="11">
        <v>7.2755210000000003</v>
      </c>
      <c r="I469" s="193">
        <v>0.13220000000000001</v>
      </c>
      <c r="J469" s="193">
        <v>0.1265</v>
      </c>
      <c r="K469" s="11">
        <v>53.865613000000003</v>
      </c>
      <c r="L469" s="194"/>
      <c r="M469" s="197"/>
    </row>
    <row r="470" spans="2:13">
      <c r="B470" s="189">
        <v>8</v>
      </c>
      <c r="C470" s="196"/>
      <c r="D470" s="191" t="s">
        <v>65</v>
      </c>
      <c r="E470" s="192">
        <v>3.9359999999999999</v>
      </c>
      <c r="F470" s="192">
        <v>6.7169999999999996</v>
      </c>
      <c r="G470" s="11">
        <v>5.3612960000000003</v>
      </c>
      <c r="H470" s="11">
        <v>7.1452150000000003</v>
      </c>
      <c r="I470" s="193">
        <v>0.1321</v>
      </c>
      <c r="J470" s="193">
        <v>0.1273</v>
      </c>
      <c r="K470" s="11">
        <v>52.765121999999998</v>
      </c>
      <c r="L470" s="194"/>
      <c r="M470" s="197"/>
    </row>
    <row r="471" spans="2:13">
      <c r="B471" s="189">
        <v>9</v>
      </c>
      <c r="C471" s="196"/>
      <c r="D471" s="191" t="s">
        <v>22</v>
      </c>
      <c r="E471" s="192">
        <v>3.9529999999999998</v>
      </c>
      <c r="F471" s="192">
        <v>6.7229999999999999</v>
      </c>
      <c r="G471" s="11">
        <v>5.3430080000000002</v>
      </c>
      <c r="H471" s="11">
        <v>7.1130519999999997</v>
      </c>
      <c r="I471" s="193">
        <v>0.1321</v>
      </c>
      <c r="J471" s="193">
        <v>0.128</v>
      </c>
      <c r="K471" s="11">
        <v>52.523437999999999</v>
      </c>
      <c r="L471" s="194"/>
      <c r="M471" s="197"/>
    </row>
    <row r="472" spans="2:13" ht="17.25" thickBot="1">
      <c r="B472" s="198">
        <v>10</v>
      </c>
      <c r="C472" s="199"/>
      <c r="D472" s="200" t="s">
        <v>23</v>
      </c>
      <c r="E472" s="201">
        <v>3.9529999999999998</v>
      </c>
      <c r="F472" s="201">
        <v>6.6289999999999996</v>
      </c>
      <c r="G472" s="14">
        <v>5.2683030000000004</v>
      </c>
      <c r="H472" s="14">
        <v>7.033048</v>
      </c>
      <c r="I472" s="15">
        <v>0.1321</v>
      </c>
      <c r="J472" s="15">
        <v>0.1278</v>
      </c>
      <c r="K472" s="14">
        <v>51.870109999999997</v>
      </c>
      <c r="L472" s="62"/>
      <c r="M472" s="202"/>
    </row>
    <row r="473" spans="2:13" ht="17.25" thickBot="1">
      <c r="B473" s="203" t="s">
        <v>49</v>
      </c>
      <c r="C473" s="204"/>
      <c r="D473" s="205" t="s">
        <v>49</v>
      </c>
      <c r="E473" s="206">
        <f>AVERAGE(E468:E472)</f>
        <v>3.9466000000000001</v>
      </c>
      <c r="F473" s="206">
        <f t="shared" ref="F473:K473" si="55">AVERAGE(F468:F472)</f>
        <v>6.7379999999999995</v>
      </c>
      <c r="G473" s="206">
        <f t="shared" si="55"/>
        <v>5.3636558000000001</v>
      </c>
      <c r="H473" s="206">
        <f t="shared" si="55"/>
        <v>7.1753288</v>
      </c>
      <c r="I473" s="207">
        <f t="shared" si="55"/>
        <v>0.13213999999999998</v>
      </c>
      <c r="J473" s="207">
        <f t="shared" si="55"/>
        <v>0.12703999999999999</v>
      </c>
      <c r="K473" s="208">
        <f t="shared" si="55"/>
        <v>53.044028600000004</v>
      </c>
      <c r="L473" s="212"/>
      <c r="M473" s="210"/>
    </row>
    <row r="474" spans="2:13">
      <c r="B474" s="213">
        <v>11</v>
      </c>
      <c r="C474" s="214" t="s">
        <v>205</v>
      </c>
      <c r="D474" s="187" t="s">
        <v>24</v>
      </c>
      <c r="E474" s="188">
        <v>3.93</v>
      </c>
      <c r="F474" s="188">
        <v>6.8259999999999996</v>
      </c>
      <c r="G474" s="58">
        <v>5.4566140000000001</v>
      </c>
      <c r="H474" s="58">
        <v>7.3110559999999998</v>
      </c>
      <c r="I474" s="59">
        <v>0.13220000000000001</v>
      </c>
      <c r="J474" s="59">
        <v>0.126</v>
      </c>
      <c r="K474" s="58">
        <v>54.174602999999998</v>
      </c>
      <c r="L474" s="60"/>
      <c r="M474" s="211"/>
    </row>
    <row r="475" spans="2:13">
      <c r="B475" s="215">
        <v>12</v>
      </c>
      <c r="C475" s="196"/>
      <c r="D475" s="191" t="s">
        <v>25</v>
      </c>
      <c r="E475" s="192">
        <v>3.93</v>
      </c>
      <c r="F475" s="192">
        <v>6.7519999999999998</v>
      </c>
      <c r="G475" s="11">
        <v>5.3974589999999996</v>
      </c>
      <c r="H475" s="11">
        <v>7.2020679999999997</v>
      </c>
      <c r="I475" s="193">
        <v>0.13220000000000001</v>
      </c>
      <c r="J475" s="193">
        <v>0.1268</v>
      </c>
      <c r="K475" s="11">
        <v>53.249211000000003</v>
      </c>
      <c r="L475" s="194"/>
      <c r="M475" s="197"/>
    </row>
    <row r="476" spans="2:13">
      <c r="B476" s="215">
        <v>13</v>
      </c>
      <c r="C476" s="196"/>
      <c r="D476" s="191" t="s">
        <v>26</v>
      </c>
      <c r="E476" s="192">
        <v>3.766</v>
      </c>
      <c r="F476" s="192">
        <v>4.806</v>
      </c>
      <c r="G476" s="11">
        <v>4.0091559999999999</v>
      </c>
      <c r="H476" s="11">
        <v>5.0945729999999996</v>
      </c>
      <c r="I476" s="193">
        <v>0.13200000000000001</v>
      </c>
      <c r="J476" s="193">
        <v>0.12770000000000001</v>
      </c>
      <c r="K476" s="11">
        <v>37.635081999999997</v>
      </c>
      <c r="L476" s="194"/>
      <c r="M476" s="197"/>
    </row>
    <row r="477" spans="2:13">
      <c r="B477" s="215">
        <v>14</v>
      </c>
      <c r="C477" s="196"/>
      <c r="D477" s="191" t="s">
        <v>27</v>
      </c>
      <c r="E477" s="192">
        <v>3.9380000000000002</v>
      </c>
      <c r="F477" s="192">
        <v>6.7839999999999998</v>
      </c>
      <c r="G477" s="11">
        <v>5.4120229999999996</v>
      </c>
      <c r="H477" s="11">
        <v>7.161924</v>
      </c>
      <c r="I477" s="193">
        <v>0.13220000000000001</v>
      </c>
      <c r="J477" s="193">
        <v>0.1285</v>
      </c>
      <c r="K477" s="11">
        <v>52.793773999999999</v>
      </c>
      <c r="L477" s="194"/>
      <c r="M477" s="197"/>
    </row>
    <row r="478" spans="2:13" ht="17.25" thickBot="1">
      <c r="B478" s="216">
        <v>15</v>
      </c>
      <c r="C478" s="199"/>
      <c r="D478" s="200" t="s">
        <v>28</v>
      </c>
      <c r="E478" s="201">
        <v>3.9580000000000002</v>
      </c>
      <c r="F478" s="201">
        <v>6.6550000000000002</v>
      </c>
      <c r="G478" s="14">
        <v>5.2822839999999998</v>
      </c>
      <c r="H478" s="14">
        <v>7.0447749999999996</v>
      </c>
      <c r="I478" s="15">
        <v>0.13200000000000001</v>
      </c>
      <c r="J478" s="15">
        <v>0.12809999999999999</v>
      </c>
      <c r="K478" s="14">
        <v>51.951599999999999</v>
      </c>
      <c r="L478" s="62"/>
      <c r="M478" s="202"/>
    </row>
    <row r="479" spans="2:13" ht="17.25" thickBot="1">
      <c r="B479" s="217"/>
      <c r="C479" s="204"/>
      <c r="D479" s="218" t="s">
        <v>49</v>
      </c>
      <c r="E479" s="206">
        <f>AVERAGE(E474:E478)</f>
        <v>3.9044000000000003</v>
      </c>
      <c r="F479" s="206">
        <f t="shared" ref="F479:K479" si="56">AVERAGE(F474:F478)</f>
        <v>6.3646000000000003</v>
      </c>
      <c r="G479" s="206">
        <f t="shared" si="56"/>
        <v>5.1115072000000001</v>
      </c>
      <c r="H479" s="206">
        <f t="shared" si="56"/>
        <v>6.7628791999999986</v>
      </c>
      <c r="I479" s="207">
        <f t="shared" si="56"/>
        <v>0.13212000000000002</v>
      </c>
      <c r="J479" s="207">
        <f t="shared" si="56"/>
        <v>0.12742000000000003</v>
      </c>
      <c r="K479" s="208">
        <f t="shared" si="56"/>
        <v>49.960853999999998</v>
      </c>
      <c r="L479" s="209"/>
      <c r="M479" s="210"/>
    </row>
    <row r="480" spans="2:13">
      <c r="B480" s="213">
        <v>16</v>
      </c>
      <c r="C480" s="57" t="s">
        <v>205</v>
      </c>
      <c r="D480" s="187" t="s">
        <v>29</v>
      </c>
      <c r="E480" s="188">
        <v>3.9180000000000001</v>
      </c>
      <c r="F480" s="188">
        <v>6.7850000000000001</v>
      </c>
      <c r="G480" s="58">
        <v>5.4404510000000004</v>
      </c>
      <c r="H480" s="58">
        <v>7.2837610000000002</v>
      </c>
      <c r="I480" s="59">
        <v>0.1321</v>
      </c>
      <c r="J480" s="59">
        <v>0.12590000000000001</v>
      </c>
      <c r="K480" s="58">
        <v>53.891978000000002</v>
      </c>
      <c r="L480" s="60"/>
      <c r="M480" s="211"/>
    </row>
    <row r="481" spans="2:13">
      <c r="B481" s="215">
        <v>17</v>
      </c>
      <c r="C481" s="196"/>
      <c r="D481" s="191" t="s">
        <v>30</v>
      </c>
      <c r="E481" s="192">
        <v>3.9169999999999998</v>
      </c>
      <c r="F481" s="192">
        <v>6.7969999999999997</v>
      </c>
      <c r="G481" s="11">
        <v>5.4514649999999998</v>
      </c>
      <c r="H481" s="11">
        <v>7.2517959999999997</v>
      </c>
      <c r="I481" s="193">
        <v>0.1321</v>
      </c>
      <c r="J481" s="193">
        <v>0.1268</v>
      </c>
      <c r="K481" s="11">
        <v>53.604101</v>
      </c>
      <c r="L481" s="194"/>
      <c r="M481" s="197"/>
    </row>
    <row r="482" spans="2:13">
      <c r="B482" s="215">
        <v>18</v>
      </c>
      <c r="C482" s="196"/>
      <c r="D482" s="191" t="s">
        <v>31</v>
      </c>
      <c r="E482" s="192">
        <v>3.9159999999999999</v>
      </c>
      <c r="F482" s="192">
        <v>6.7519999999999998</v>
      </c>
      <c r="G482" s="11">
        <v>5.4167560000000003</v>
      </c>
      <c r="H482" s="11">
        <v>7.1778469999999999</v>
      </c>
      <c r="I482" s="193">
        <v>0.1321</v>
      </c>
      <c r="J482" s="193">
        <v>0.12759999999999999</v>
      </c>
      <c r="K482" s="11">
        <v>52.915360999999997</v>
      </c>
      <c r="L482" s="194"/>
      <c r="M482" s="197"/>
    </row>
    <row r="483" spans="2:13">
      <c r="B483" s="215">
        <v>19</v>
      </c>
      <c r="C483" s="196"/>
      <c r="D483" s="191" t="s">
        <v>32</v>
      </c>
      <c r="E483" s="192">
        <v>3.948</v>
      </c>
      <c r="F483" s="192">
        <v>6.6840000000000002</v>
      </c>
      <c r="G483" s="11">
        <v>5.3187410000000002</v>
      </c>
      <c r="H483" s="11">
        <v>7.057372</v>
      </c>
      <c r="I483" s="193">
        <v>0.1321</v>
      </c>
      <c r="J483" s="193">
        <v>0.1285</v>
      </c>
      <c r="K483" s="11">
        <v>52.015563999999998</v>
      </c>
      <c r="L483" s="194"/>
      <c r="M483" s="197"/>
    </row>
    <row r="484" spans="2:13" ht="17.25" thickBot="1">
      <c r="B484" s="216">
        <v>20</v>
      </c>
      <c r="C484" s="199"/>
      <c r="D484" s="200" t="s">
        <v>33</v>
      </c>
      <c r="E484" s="201">
        <v>3.9460000000000002</v>
      </c>
      <c r="F484" s="201">
        <v>6.5739999999999998</v>
      </c>
      <c r="G484" s="14">
        <v>5.23386</v>
      </c>
      <c r="H484" s="14">
        <v>6.9427880000000002</v>
      </c>
      <c r="I484" s="15">
        <v>0.1321</v>
      </c>
      <c r="J484" s="15">
        <v>0.12820000000000001</v>
      </c>
      <c r="K484" s="14">
        <v>51.279251000000002</v>
      </c>
      <c r="L484" s="62"/>
      <c r="M484" s="202"/>
    </row>
    <row r="485" spans="2:13" ht="17.25" thickBot="1">
      <c r="B485" s="217"/>
      <c r="C485" s="204"/>
      <c r="D485" s="218" t="s">
        <v>49</v>
      </c>
      <c r="E485" s="206">
        <f>AVERAGE(E480:E484)</f>
        <v>3.9289999999999998</v>
      </c>
      <c r="F485" s="206">
        <f t="shared" ref="F485:K485" si="57">AVERAGE(F480:F484)</f>
        <v>6.7183999999999999</v>
      </c>
      <c r="G485" s="206">
        <f t="shared" si="57"/>
        <v>5.3722545999999998</v>
      </c>
      <c r="H485" s="206">
        <f t="shared" si="57"/>
        <v>7.1427128000000009</v>
      </c>
      <c r="I485" s="207">
        <f t="shared" si="57"/>
        <v>0.1321</v>
      </c>
      <c r="J485" s="207">
        <f t="shared" si="57"/>
        <v>0.12740000000000001</v>
      </c>
      <c r="K485" s="206">
        <f t="shared" si="57"/>
        <v>52.741250999999998</v>
      </c>
      <c r="L485" s="209"/>
      <c r="M485" s="210"/>
    </row>
    <row r="486" spans="2:13">
      <c r="B486" s="213">
        <v>21</v>
      </c>
      <c r="C486" s="57" t="s">
        <v>205</v>
      </c>
      <c r="D486" s="187" t="s">
        <v>34</v>
      </c>
      <c r="E486" s="188">
        <v>3.887</v>
      </c>
      <c r="F486" s="188">
        <v>6.7779999999999996</v>
      </c>
      <c r="G486" s="58">
        <v>5.4781829999999996</v>
      </c>
      <c r="H486" s="58">
        <v>7.2811079999999997</v>
      </c>
      <c r="I486" s="59">
        <v>0.1323</v>
      </c>
      <c r="J486" s="59">
        <v>0.12559999999999999</v>
      </c>
      <c r="K486" s="58">
        <v>53.964967999999999</v>
      </c>
      <c r="L486" s="60"/>
      <c r="M486" s="211"/>
    </row>
    <row r="487" spans="2:13">
      <c r="B487" s="215">
        <v>22</v>
      </c>
      <c r="C487" s="196"/>
      <c r="D487" s="191" t="s">
        <v>35</v>
      </c>
      <c r="E487" s="192">
        <v>3.9039999999999999</v>
      </c>
      <c r="F487" s="192">
        <v>6.7309999999999999</v>
      </c>
      <c r="G487" s="11">
        <v>5.4165070000000002</v>
      </c>
      <c r="H487" s="11">
        <v>7.1960579999999998</v>
      </c>
      <c r="I487" s="193">
        <v>0.13220000000000001</v>
      </c>
      <c r="J487" s="193">
        <v>0.1265</v>
      </c>
      <c r="K487" s="11">
        <v>53.209485999999998</v>
      </c>
      <c r="L487" s="194"/>
      <c r="M487" s="197"/>
    </row>
    <row r="488" spans="2:13">
      <c r="B488" s="215">
        <v>23</v>
      </c>
      <c r="C488" s="196"/>
      <c r="D488" s="191" t="s">
        <v>36</v>
      </c>
      <c r="E488" s="192">
        <v>3.89</v>
      </c>
      <c r="F488" s="192">
        <v>6.6020000000000003</v>
      </c>
      <c r="G488" s="11">
        <v>5.3318190000000003</v>
      </c>
      <c r="H488" s="11">
        <v>7.0244419999999996</v>
      </c>
      <c r="I488" s="193">
        <v>0.13220000000000001</v>
      </c>
      <c r="J488" s="193">
        <v>0.1273</v>
      </c>
      <c r="K488" s="11">
        <v>51.861744000000002</v>
      </c>
      <c r="L488" s="194"/>
      <c r="M488" s="197"/>
    </row>
    <row r="489" spans="2:13">
      <c r="B489" s="215">
        <v>24</v>
      </c>
      <c r="C489" s="196"/>
      <c r="D489" s="191" t="s">
        <v>37</v>
      </c>
      <c r="E489" s="192">
        <v>3.9460000000000002</v>
      </c>
      <c r="F489" s="192">
        <v>6.6070000000000002</v>
      </c>
      <c r="G489" s="11">
        <v>5.2601329999999997</v>
      </c>
      <c r="H489" s="11">
        <v>6.995806</v>
      </c>
      <c r="I489" s="193">
        <v>0.1321</v>
      </c>
      <c r="J489" s="193">
        <v>0.12809999999999999</v>
      </c>
      <c r="K489" s="11">
        <v>51.576892999999998</v>
      </c>
      <c r="L489" s="194"/>
      <c r="M489" s="197"/>
    </row>
    <row r="490" spans="2:13" ht="17.25" thickBot="1">
      <c r="B490" s="216">
        <v>25</v>
      </c>
      <c r="C490" s="199"/>
      <c r="D490" s="200" t="s">
        <v>38</v>
      </c>
      <c r="E490" s="201">
        <v>3.9180000000000001</v>
      </c>
      <c r="F490" s="201">
        <v>6.577</v>
      </c>
      <c r="G490" s="14">
        <v>5.2736700000000001</v>
      </c>
      <c r="H490" s="14">
        <v>6.9725669999999997</v>
      </c>
      <c r="I490" s="15">
        <v>0.1321</v>
      </c>
      <c r="J490" s="15">
        <v>0.1278</v>
      </c>
      <c r="K490" s="14">
        <v>51.463223999999997</v>
      </c>
      <c r="L490" s="62"/>
      <c r="M490" s="202"/>
    </row>
    <row r="491" spans="2:13" ht="17.25" thickBot="1">
      <c r="B491" s="219" t="s">
        <v>49</v>
      </c>
      <c r="C491" s="220"/>
      <c r="D491" s="221" t="s">
        <v>49</v>
      </c>
      <c r="E491" s="222">
        <f>AVERAGE(E486:E490)</f>
        <v>3.9090000000000003</v>
      </c>
      <c r="F491" s="222">
        <f t="shared" ref="F491:K491" si="58">AVERAGE(F486:F490)</f>
        <v>6.6590000000000007</v>
      </c>
      <c r="G491" s="222">
        <f t="shared" si="58"/>
        <v>5.3520623999999994</v>
      </c>
      <c r="H491" s="222">
        <f t="shared" si="58"/>
        <v>7.0939961999999994</v>
      </c>
      <c r="I491" s="223">
        <f t="shared" si="58"/>
        <v>0.13218000000000002</v>
      </c>
      <c r="J491" s="223">
        <f t="shared" si="58"/>
        <v>0.12706000000000001</v>
      </c>
      <c r="K491" s="222">
        <f t="shared" si="58"/>
        <v>52.415263000000003</v>
      </c>
      <c r="L491" s="224"/>
      <c r="M491" s="225"/>
    </row>
    <row r="492" spans="2:13">
      <c r="B492" s="213"/>
      <c r="C492" s="226"/>
      <c r="D492" s="187" t="s">
        <v>198</v>
      </c>
      <c r="E492" s="227">
        <f>MEDIAN(E462:E466,E468:E472,E474:E478,E480:E484,E486:E490)</f>
        <v>3.9430000000000001</v>
      </c>
      <c r="F492" s="227">
        <f t="shared" ref="F492:K492" si="59">MEDIAN(F462:F466,F468:F472,F474:F478,F480:F484,F486:F490)</f>
        <v>6.7309999999999999</v>
      </c>
      <c r="G492" s="227">
        <f t="shared" si="59"/>
        <v>5.3742320000000001</v>
      </c>
      <c r="H492" s="227">
        <f t="shared" si="59"/>
        <v>7.161924</v>
      </c>
      <c r="I492" s="228">
        <f t="shared" si="59"/>
        <v>0.1321</v>
      </c>
      <c r="J492" s="228">
        <f t="shared" si="59"/>
        <v>0.1273</v>
      </c>
      <c r="K492" s="233">
        <f t="shared" si="59"/>
        <v>52.793773999999999</v>
      </c>
      <c r="L492" s="227"/>
      <c r="M492" s="211"/>
    </row>
    <row r="493" spans="2:13">
      <c r="B493" s="215"/>
      <c r="C493" s="196"/>
      <c r="D493" s="191" t="s">
        <v>49</v>
      </c>
      <c r="E493" s="229">
        <f>AVERAGE(E462:E466,E468:E472,E474:E478,E480:E484,E486:E490)</f>
        <v>3.9274399999999998</v>
      </c>
      <c r="F493" s="229">
        <f t="shared" ref="F493:K493" si="60">AVERAGE(F462:F466,F468:F472,F474:F478,F480:F484,F486:F490)</f>
        <v>6.6421599999999987</v>
      </c>
      <c r="G493" s="229">
        <f t="shared" si="60"/>
        <v>5.3110358800000004</v>
      </c>
      <c r="H493" s="229">
        <f t="shared" si="60"/>
        <v>7.0734385599999969</v>
      </c>
      <c r="I493" s="230">
        <f t="shared" si="60"/>
        <v>0.13213999999999998</v>
      </c>
      <c r="J493" s="230">
        <f t="shared" si="60"/>
        <v>0.12705599999999997</v>
      </c>
      <c r="K493" s="234">
        <f t="shared" si="60"/>
        <v>52.28674908</v>
      </c>
      <c r="L493" s="229"/>
      <c r="M493" s="197"/>
    </row>
    <row r="494" spans="2:13">
      <c r="B494" s="215"/>
      <c r="C494" s="196"/>
      <c r="D494" s="191" t="s">
        <v>199</v>
      </c>
      <c r="E494" s="229">
        <f>MAX(E462:E466,E468:E472,E474:E478,E480:E484,E486:E490)</f>
        <v>3.9580000000000002</v>
      </c>
      <c r="F494" s="229">
        <f t="shared" ref="F494:K494" si="61">MAX(F462:F466,F468:F472,F474:F478,F480:F484,F486:F490)</f>
        <v>6.8259999999999996</v>
      </c>
      <c r="G494" s="229">
        <f t="shared" si="61"/>
        <v>5.4781829999999996</v>
      </c>
      <c r="H494" s="229">
        <f t="shared" si="61"/>
        <v>7.3182130000000001</v>
      </c>
      <c r="I494" s="230">
        <f t="shared" si="61"/>
        <v>0.1323</v>
      </c>
      <c r="J494" s="230">
        <f t="shared" si="61"/>
        <v>0.1285</v>
      </c>
      <c r="K494" s="234">
        <f t="shared" si="61"/>
        <v>54.334935999999999</v>
      </c>
      <c r="L494" s="229"/>
      <c r="M494" s="197"/>
    </row>
    <row r="495" spans="2:13">
      <c r="B495" s="215"/>
      <c r="C495" s="196"/>
      <c r="D495" s="191" t="s">
        <v>200</v>
      </c>
      <c r="E495" s="229">
        <f>MIN(E462:E466,E468:E472,E474:E478,E480:E484,E486:E490)</f>
        <v>3.766</v>
      </c>
      <c r="F495" s="229">
        <f t="shared" ref="F495:K495" si="62">MIN(F462:F466,F468:F472,F474:F478,F480:F484,F486:F490)</f>
        <v>4.806</v>
      </c>
      <c r="G495" s="229">
        <f t="shared" si="62"/>
        <v>4.0091559999999999</v>
      </c>
      <c r="H495" s="229">
        <f t="shared" si="62"/>
        <v>5.0945729999999996</v>
      </c>
      <c r="I495" s="230">
        <f t="shared" si="62"/>
        <v>0.13200000000000001</v>
      </c>
      <c r="J495" s="230">
        <f t="shared" si="62"/>
        <v>0.12479999999999999</v>
      </c>
      <c r="K495" s="234">
        <f t="shared" si="62"/>
        <v>37.635081999999997</v>
      </c>
      <c r="L495" s="229"/>
      <c r="M495" s="197"/>
    </row>
    <row r="496" spans="2:13">
      <c r="B496" s="215"/>
      <c r="C496" s="196"/>
      <c r="D496" s="191" t="s">
        <v>201</v>
      </c>
      <c r="E496" s="229">
        <f>E494-E495</f>
        <v>0.19200000000000017</v>
      </c>
      <c r="F496" s="229">
        <f t="shared" ref="F496:K496" si="63">F494-F495</f>
        <v>2.0199999999999996</v>
      </c>
      <c r="G496" s="229">
        <f t="shared" si="63"/>
        <v>1.4690269999999996</v>
      </c>
      <c r="H496" s="229">
        <f t="shared" si="63"/>
        <v>2.2236400000000005</v>
      </c>
      <c r="I496" s="230">
        <f t="shared" si="63"/>
        <v>2.9999999999999472E-4</v>
      </c>
      <c r="J496" s="230">
        <f t="shared" si="63"/>
        <v>3.7000000000000088E-3</v>
      </c>
      <c r="K496" s="229">
        <f t="shared" si="63"/>
        <v>16.699854000000002</v>
      </c>
      <c r="L496" s="229"/>
      <c r="M496" s="197"/>
    </row>
    <row r="497" spans="2:13">
      <c r="B497" s="215"/>
      <c r="C497" s="196"/>
      <c r="D497" s="191" t="s">
        <v>202</v>
      </c>
      <c r="E497" s="229">
        <f>STDEVA(E462:E466,E468:E472,E474:E478,E480:E484,E486:E490)</f>
        <v>3.9006495185631172E-2</v>
      </c>
      <c r="F497" s="229">
        <f t="shared" ref="F497:K497" si="64">STDEVA(F462:F466,F468:F472,F474:F478,F480:F484,F486:F490)</f>
        <v>0.39087995599672287</v>
      </c>
      <c r="G497" s="229">
        <f t="shared" si="64"/>
        <v>0.28040180349906219</v>
      </c>
      <c r="H497" s="229">
        <f t="shared" si="64"/>
        <v>0.42887595343866436</v>
      </c>
      <c r="I497" s="230">
        <f t="shared" si="64"/>
        <v>7.6376261582601041E-5</v>
      </c>
      <c r="J497" s="230">
        <f t="shared" si="64"/>
        <v>1.0194279441595355E-3</v>
      </c>
      <c r="K497" s="229">
        <f t="shared" si="64"/>
        <v>3.1980988171802291</v>
      </c>
      <c r="L497" s="229"/>
      <c r="M497" s="197"/>
    </row>
    <row r="498" spans="2:13" ht="17.25" thickBot="1">
      <c r="B498" s="216"/>
      <c r="C498" s="199"/>
      <c r="D498" s="200" t="s">
        <v>203</v>
      </c>
      <c r="E498" s="231">
        <f>E497*3</f>
        <v>0.11701948555689351</v>
      </c>
      <c r="F498" s="231">
        <f t="shared" ref="F498:K498" si="65">F497*3</f>
        <v>1.1726398679901686</v>
      </c>
      <c r="G498" s="231">
        <f t="shared" si="65"/>
        <v>0.84120541049718656</v>
      </c>
      <c r="H498" s="231">
        <f t="shared" si="65"/>
        <v>1.2866278603159931</v>
      </c>
      <c r="I498" s="232">
        <f t="shared" si="65"/>
        <v>2.2912878474780314E-4</v>
      </c>
      <c r="J498" s="232">
        <f t="shared" si="65"/>
        <v>3.0582838324786066E-3</v>
      </c>
      <c r="K498" s="231">
        <f t="shared" si="65"/>
        <v>9.5942964515406874</v>
      </c>
      <c r="L498" s="231"/>
      <c r="M498" s="202"/>
    </row>
    <row r="500" spans="2:13">
      <c r="B500" s="4" t="s">
        <v>208</v>
      </c>
      <c r="C500" s="4"/>
      <c r="E500" s="4"/>
      <c r="F500" s="4"/>
      <c r="G500" s="4"/>
      <c r="H500" s="4"/>
      <c r="I500" s="4"/>
      <c r="J500" s="4"/>
      <c r="K500" s="4"/>
      <c r="L500" s="4"/>
    </row>
    <row r="501" spans="2:13" ht="17.25" thickBot="1">
      <c r="B501" s="4" t="s">
        <v>68</v>
      </c>
      <c r="C501" s="4"/>
      <c r="E501" s="4"/>
      <c r="F501" s="4"/>
      <c r="G501" s="4"/>
      <c r="H501" s="4"/>
      <c r="I501" s="4"/>
      <c r="J501" s="4"/>
      <c r="K501" s="4"/>
      <c r="L501" s="4"/>
    </row>
    <row r="502" spans="2:13" ht="17.25" thickBot="1">
      <c r="B502" s="185" t="s">
        <v>11</v>
      </c>
      <c r="C502" s="51" t="s">
        <v>0</v>
      </c>
      <c r="D502" s="51" t="s">
        <v>1</v>
      </c>
      <c r="E502" s="51" t="s">
        <v>2</v>
      </c>
      <c r="F502" s="51" t="s">
        <v>3</v>
      </c>
      <c r="G502" s="51" t="s">
        <v>192</v>
      </c>
      <c r="H502" s="51" t="s">
        <v>16</v>
      </c>
      <c r="I502" s="51" t="s">
        <v>6</v>
      </c>
      <c r="J502" s="52" t="s">
        <v>7</v>
      </c>
      <c r="K502" s="53" t="s">
        <v>8</v>
      </c>
      <c r="L502" s="48" t="s">
        <v>45</v>
      </c>
      <c r="M502" s="55" t="s">
        <v>10</v>
      </c>
    </row>
    <row r="503" spans="2:13">
      <c r="B503" s="186">
        <v>1</v>
      </c>
      <c r="C503" s="57" t="s">
        <v>206</v>
      </c>
      <c r="D503" s="187" t="s">
        <v>193</v>
      </c>
      <c r="E503" s="188">
        <v>3.8</v>
      </c>
      <c r="F503" s="188">
        <v>7.1029999999999998</v>
      </c>
      <c r="G503" s="58">
        <v>5.872293</v>
      </c>
      <c r="H503" s="188">
        <v>7.4962929999999997</v>
      </c>
      <c r="I503" s="59">
        <v>0.13159999999999999</v>
      </c>
      <c r="J503" s="59">
        <v>0.12889999999999999</v>
      </c>
      <c r="K503" s="58">
        <v>55.104731999999998</v>
      </c>
      <c r="L503" s="60"/>
      <c r="M503" s="61"/>
    </row>
    <row r="504" spans="2:13">
      <c r="B504" s="189">
        <v>2</v>
      </c>
      <c r="C504" s="190"/>
      <c r="D504" s="191" t="s">
        <v>194</v>
      </c>
      <c r="E504" s="192">
        <v>3.8</v>
      </c>
      <c r="F504" s="192">
        <v>7.093</v>
      </c>
      <c r="G504" s="11">
        <v>5.864026</v>
      </c>
      <c r="H504" s="192">
        <v>7.5585250000000004</v>
      </c>
      <c r="I504" s="193">
        <v>0.13170000000000001</v>
      </c>
      <c r="J504" s="193">
        <v>0.12720000000000001</v>
      </c>
      <c r="K504" s="11">
        <v>55.762579000000002</v>
      </c>
      <c r="L504" s="194"/>
      <c r="M504" s="195"/>
    </row>
    <row r="505" spans="2:13">
      <c r="B505" s="189">
        <v>3</v>
      </c>
      <c r="C505" s="196"/>
      <c r="D505" s="191" t="s">
        <v>195</v>
      </c>
      <c r="E505" s="192">
        <v>3.8010000000000002</v>
      </c>
      <c r="F505" s="192">
        <v>7.0739999999999998</v>
      </c>
      <c r="G505" s="11">
        <v>5.8467789999999997</v>
      </c>
      <c r="H505" s="192">
        <v>7.5121070000000003</v>
      </c>
      <c r="I505" s="193">
        <v>0.1318</v>
      </c>
      <c r="J505" s="193">
        <v>0.12759999999999999</v>
      </c>
      <c r="K505" s="11">
        <v>55.438870999999999</v>
      </c>
      <c r="L505" s="194"/>
      <c r="M505" s="197"/>
    </row>
    <row r="506" spans="2:13">
      <c r="B506" s="189">
        <v>4</v>
      </c>
      <c r="C506" s="196"/>
      <c r="D506" s="191" t="s">
        <v>196</v>
      </c>
      <c r="E506" s="192">
        <v>3.8</v>
      </c>
      <c r="F506" s="192">
        <v>7.0510000000000002</v>
      </c>
      <c r="G506" s="11">
        <v>5.8293030000000003</v>
      </c>
      <c r="H506" s="192">
        <v>7.4219330000000001</v>
      </c>
      <c r="I506" s="193">
        <v>0.1318</v>
      </c>
      <c r="J506" s="193">
        <v>0.129</v>
      </c>
      <c r="K506" s="11">
        <v>54.658915</v>
      </c>
      <c r="L506" s="194"/>
      <c r="M506" s="197"/>
    </row>
    <row r="507" spans="2:13" ht="17.25" thickBot="1">
      <c r="B507" s="198">
        <v>5</v>
      </c>
      <c r="C507" s="199"/>
      <c r="D507" s="200" t="s">
        <v>197</v>
      </c>
      <c r="E507" s="201">
        <v>3.8050000000000002</v>
      </c>
      <c r="F507" s="201">
        <v>7.0149999999999997</v>
      </c>
      <c r="G507" s="14">
        <v>5.7919200000000002</v>
      </c>
      <c r="H507" s="201">
        <v>7.367934</v>
      </c>
      <c r="I507" s="15">
        <v>0.1318</v>
      </c>
      <c r="J507" s="15">
        <v>0.12959999999999999</v>
      </c>
      <c r="K507" s="14">
        <v>54.128086000000003</v>
      </c>
      <c r="L507" s="62"/>
      <c r="M507" s="202"/>
    </row>
    <row r="508" spans="2:13" ht="17.25" thickBot="1">
      <c r="B508" s="203"/>
      <c r="C508" s="204"/>
      <c r="D508" s="205" t="s">
        <v>49</v>
      </c>
      <c r="E508" s="206">
        <f>AVERAGE(E503:E507)</f>
        <v>3.8012000000000001</v>
      </c>
      <c r="F508" s="206">
        <f t="shared" ref="F508:K508" si="66">AVERAGE(F503:F507)</f>
        <v>7.0671999999999997</v>
      </c>
      <c r="G508" s="206">
        <f t="shared" si="66"/>
        <v>5.8408642000000004</v>
      </c>
      <c r="H508" s="206">
        <f t="shared" si="66"/>
        <v>7.4713583999999997</v>
      </c>
      <c r="I508" s="207">
        <f t="shared" si="66"/>
        <v>0.13174000000000002</v>
      </c>
      <c r="J508" s="207">
        <f t="shared" si="66"/>
        <v>0.12845999999999996</v>
      </c>
      <c r="K508" s="208">
        <f t="shared" si="66"/>
        <v>55.018636600000001</v>
      </c>
      <c r="L508" s="209"/>
      <c r="M508" s="210"/>
    </row>
    <row r="509" spans="2:13">
      <c r="B509" s="186">
        <v>6</v>
      </c>
      <c r="C509" s="57" t="s">
        <v>205</v>
      </c>
      <c r="D509" s="187" t="s">
        <v>20</v>
      </c>
      <c r="E509" s="188">
        <v>3.794</v>
      </c>
      <c r="F509" s="188">
        <v>7.12</v>
      </c>
      <c r="G509" s="58">
        <v>5.8956569999999999</v>
      </c>
      <c r="H509" s="58">
        <v>7.4854900000000004</v>
      </c>
      <c r="I509" s="59">
        <v>0.13170000000000001</v>
      </c>
      <c r="J509" s="59">
        <v>0.12959999999999999</v>
      </c>
      <c r="K509" s="58">
        <v>54.938271999999998</v>
      </c>
      <c r="L509" s="60"/>
      <c r="M509" s="211"/>
    </row>
    <row r="510" spans="2:13">
      <c r="B510" s="189">
        <v>7</v>
      </c>
      <c r="C510" s="196"/>
      <c r="D510" s="191" t="s">
        <v>21</v>
      </c>
      <c r="E510" s="192">
        <v>3.79</v>
      </c>
      <c r="F510" s="192">
        <v>7.1429999999999998</v>
      </c>
      <c r="G510" s="11">
        <v>5.9209440000000004</v>
      </c>
      <c r="H510" s="11">
        <v>7.5738089999999998</v>
      </c>
      <c r="I510" s="193">
        <v>0.13170000000000001</v>
      </c>
      <c r="J510" s="193">
        <v>0.1278</v>
      </c>
      <c r="K510" s="11">
        <v>55.892018999999998</v>
      </c>
      <c r="L510" s="194"/>
      <c r="M510" s="197"/>
    </row>
    <row r="511" spans="2:13">
      <c r="B511" s="189">
        <v>8</v>
      </c>
      <c r="C511" s="196"/>
      <c r="D511" s="191" t="s">
        <v>65</v>
      </c>
      <c r="E511" s="192">
        <v>3.7930000000000001</v>
      </c>
      <c r="F511" s="192">
        <v>7.1079999999999997</v>
      </c>
      <c r="G511" s="11">
        <v>5.8872720000000003</v>
      </c>
      <c r="H511" s="11">
        <v>7.5129419999999998</v>
      </c>
      <c r="I511" s="193">
        <v>0.13189999999999999</v>
      </c>
      <c r="J511" s="193">
        <v>0.1283</v>
      </c>
      <c r="K511" s="11">
        <v>55.401403000000002</v>
      </c>
      <c r="L511" s="194"/>
      <c r="M511" s="197"/>
    </row>
    <row r="512" spans="2:13">
      <c r="B512" s="189">
        <v>9</v>
      </c>
      <c r="C512" s="196"/>
      <c r="D512" s="191" t="s">
        <v>22</v>
      </c>
      <c r="E512" s="192">
        <v>3.7959999999999998</v>
      </c>
      <c r="F512" s="192">
        <v>7.0890000000000004</v>
      </c>
      <c r="G512" s="11">
        <v>5.8668940000000003</v>
      </c>
      <c r="H512" s="11">
        <v>7.4443289999999998</v>
      </c>
      <c r="I512" s="193">
        <v>0.13170000000000001</v>
      </c>
      <c r="J512" s="193">
        <v>0.1295</v>
      </c>
      <c r="K512" s="11">
        <v>54.741312999999998</v>
      </c>
      <c r="L512" s="194"/>
      <c r="M512" s="197"/>
    </row>
    <row r="513" spans="2:13" ht="17.25" thickBot="1">
      <c r="B513" s="198">
        <v>10</v>
      </c>
      <c r="C513" s="199"/>
      <c r="D513" s="200" t="s">
        <v>23</v>
      </c>
      <c r="E513" s="201">
        <v>3.802</v>
      </c>
      <c r="F513" s="201">
        <v>7.0609999999999999</v>
      </c>
      <c r="G513" s="14">
        <v>5.8344990000000001</v>
      </c>
      <c r="H513" s="14">
        <v>7.374714</v>
      </c>
      <c r="I513" s="15">
        <v>0.13189999999999999</v>
      </c>
      <c r="J513" s="15">
        <v>0.13039999999999999</v>
      </c>
      <c r="K513" s="14">
        <v>54.148772999999998</v>
      </c>
      <c r="L513" s="62"/>
      <c r="M513" s="202"/>
    </row>
    <row r="514" spans="2:13" ht="17.25" thickBot="1">
      <c r="B514" s="203" t="s">
        <v>49</v>
      </c>
      <c r="C514" s="204"/>
      <c r="D514" s="205" t="s">
        <v>49</v>
      </c>
      <c r="E514" s="206">
        <f>AVERAGE(E509:E513)</f>
        <v>3.7949999999999995</v>
      </c>
      <c r="F514" s="206">
        <f t="shared" ref="F514:K514" si="67">AVERAGE(F509:F513)</f>
        <v>7.1042000000000005</v>
      </c>
      <c r="G514" s="206">
        <f t="shared" si="67"/>
        <v>5.8810532000000011</v>
      </c>
      <c r="H514" s="206">
        <f t="shared" si="67"/>
        <v>7.4782567999999996</v>
      </c>
      <c r="I514" s="207">
        <f t="shared" si="67"/>
        <v>0.13178000000000001</v>
      </c>
      <c r="J514" s="207">
        <f t="shared" si="67"/>
        <v>0.12911999999999996</v>
      </c>
      <c r="K514" s="208">
        <f t="shared" si="67"/>
        <v>55.024355999999997</v>
      </c>
      <c r="L514" s="212"/>
      <c r="M514" s="210"/>
    </row>
    <row r="515" spans="2:13">
      <c r="B515" s="213">
        <v>11</v>
      </c>
      <c r="C515" s="214" t="s">
        <v>205</v>
      </c>
      <c r="D515" s="187" t="s">
        <v>24</v>
      </c>
      <c r="E515" s="188">
        <v>3.7909999999999999</v>
      </c>
      <c r="F515" s="188">
        <v>7.1479999999999997</v>
      </c>
      <c r="G515" s="58">
        <v>5.9235259999999998</v>
      </c>
      <c r="H515" s="58">
        <v>7.5061289999999996</v>
      </c>
      <c r="I515" s="59">
        <v>0.13159999999999999</v>
      </c>
      <c r="J515" s="59">
        <v>0.12989999999999999</v>
      </c>
      <c r="K515" s="58">
        <v>55.026944</v>
      </c>
      <c r="L515" s="60"/>
      <c r="M515" s="211"/>
    </row>
    <row r="516" spans="2:13">
      <c r="B516" s="215">
        <v>12</v>
      </c>
      <c r="C516" s="196"/>
      <c r="D516" s="191" t="s">
        <v>25</v>
      </c>
      <c r="E516" s="192">
        <v>3.7930000000000001</v>
      </c>
      <c r="F516" s="192">
        <v>7.13</v>
      </c>
      <c r="G516" s="11">
        <v>5.9054929999999999</v>
      </c>
      <c r="H516" s="11">
        <v>7.5491619999999999</v>
      </c>
      <c r="I516" s="193">
        <v>0.13170000000000001</v>
      </c>
      <c r="J516" s="193">
        <v>0.12820000000000001</v>
      </c>
      <c r="K516" s="11">
        <v>55.616225</v>
      </c>
      <c r="L516" s="194"/>
      <c r="M516" s="197"/>
    </row>
    <row r="517" spans="2:13">
      <c r="B517" s="215">
        <v>13</v>
      </c>
      <c r="C517" s="196"/>
      <c r="D517" s="191" t="s">
        <v>26</v>
      </c>
      <c r="E517" s="192">
        <v>3.7989999999999999</v>
      </c>
      <c r="F517" s="192">
        <v>7.1260000000000003</v>
      </c>
      <c r="G517" s="11">
        <v>5.8928589999999996</v>
      </c>
      <c r="H517" s="11">
        <v>7.5256480000000003</v>
      </c>
      <c r="I517" s="193">
        <v>0.13170000000000001</v>
      </c>
      <c r="J517" s="193">
        <v>0.1288</v>
      </c>
      <c r="K517" s="11">
        <v>55.326087000000001</v>
      </c>
      <c r="L517" s="194"/>
      <c r="M517" s="197"/>
    </row>
    <row r="518" spans="2:13">
      <c r="B518" s="215">
        <v>14</v>
      </c>
      <c r="C518" s="196"/>
      <c r="D518" s="191" t="s">
        <v>27</v>
      </c>
      <c r="E518" s="192">
        <v>3.7959999999999998</v>
      </c>
      <c r="F518" s="192">
        <v>7.0960000000000001</v>
      </c>
      <c r="G518" s="11">
        <v>5.8726880000000001</v>
      </c>
      <c r="H518" s="11">
        <v>7.4381430000000002</v>
      </c>
      <c r="I518" s="193">
        <v>0.1318</v>
      </c>
      <c r="J518" s="193">
        <v>0.13009999999999999</v>
      </c>
      <c r="K518" s="11">
        <v>54.542659</v>
      </c>
      <c r="L518" s="194"/>
      <c r="M518" s="197"/>
    </row>
    <row r="519" spans="2:13" ht="17.25" thickBot="1">
      <c r="B519" s="216">
        <v>15</v>
      </c>
      <c r="C519" s="199"/>
      <c r="D519" s="200" t="s">
        <v>28</v>
      </c>
      <c r="E519" s="201">
        <v>3.8010000000000002</v>
      </c>
      <c r="F519" s="201">
        <v>7.024</v>
      </c>
      <c r="G519" s="14">
        <v>5.805453</v>
      </c>
      <c r="H519" s="14">
        <v>7.3186580000000001</v>
      </c>
      <c r="I519" s="15">
        <v>0.13189999999999999</v>
      </c>
      <c r="J519" s="15">
        <v>0.13089999999999999</v>
      </c>
      <c r="K519" s="14">
        <v>53.659281999999997</v>
      </c>
      <c r="L519" s="62"/>
      <c r="M519" s="202"/>
    </row>
    <row r="520" spans="2:13" ht="17.25" thickBot="1">
      <c r="B520" s="217"/>
      <c r="C520" s="204"/>
      <c r="D520" s="218" t="s">
        <v>49</v>
      </c>
      <c r="E520" s="206">
        <f>AVERAGE(E515:E519)</f>
        <v>3.7959999999999994</v>
      </c>
      <c r="F520" s="206">
        <f t="shared" ref="F520:K520" si="68">AVERAGE(F515:F519)</f>
        <v>7.1048</v>
      </c>
      <c r="G520" s="206">
        <f t="shared" si="68"/>
        <v>5.880003799999999</v>
      </c>
      <c r="H520" s="206">
        <f t="shared" si="68"/>
        <v>7.4675480000000007</v>
      </c>
      <c r="I520" s="207">
        <f t="shared" si="68"/>
        <v>0.13174000000000002</v>
      </c>
      <c r="J520" s="207">
        <f t="shared" si="68"/>
        <v>0.12958</v>
      </c>
      <c r="K520" s="208">
        <f t="shared" si="68"/>
        <v>54.834239400000001</v>
      </c>
      <c r="L520" s="209"/>
      <c r="M520" s="210"/>
    </row>
    <row r="521" spans="2:13">
      <c r="B521" s="213">
        <v>16</v>
      </c>
      <c r="C521" s="57" t="s">
        <v>205</v>
      </c>
      <c r="D521" s="187" t="s">
        <v>29</v>
      </c>
      <c r="E521" s="188">
        <v>3.7930000000000001</v>
      </c>
      <c r="F521" s="188">
        <v>7.12</v>
      </c>
      <c r="G521" s="58">
        <v>5.8972110000000004</v>
      </c>
      <c r="H521" s="58">
        <v>7.446828</v>
      </c>
      <c r="I521" s="59">
        <v>0.13170000000000001</v>
      </c>
      <c r="J521" s="59">
        <v>0.13</v>
      </c>
      <c r="K521" s="58">
        <v>54.769230999999998</v>
      </c>
      <c r="L521" s="60"/>
      <c r="M521" s="211"/>
    </row>
    <row r="522" spans="2:13">
      <c r="B522" s="215">
        <v>17</v>
      </c>
      <c r="C522" s="196"/>
      <c r="D522" s="191" t="s">
        <v>30</v>
      </c>
      <c r="E522" s="192">
        <v>3.7930000000000001</v>
      </c>
      <c r="F522" s="192">
        <v>7.1420000000000003</v>
      </c>
      <c r="G522" s="11">
        <v>5.9154330000000002</v>
      </c>
      <c r="H522" s="11">
        <v>7.5646420000000001</v>
      </c>
      <c r="I522" s="193">
        <v>0.13170000000000001</v>
      </c>
      <c r="J522" s="193">
        <v>0.1283</v>
      </c>
      <c r="K522" s="11">
        <v>55.666407</v>
      </c>
      <c r="L522" s="194"/>
      <c r="M522" s="197"/>
    </row>
    <row r="523" spans="2:13">
      <c r="B523" s="215">
        <v>18</v>
      </c>
      <c r="C523" s="196"/>
      <c r="D523" s="191" t="s">
        <v>31</v>
      </c>
      <c r="E523" s="192">
        <v>3.7959999999999998</v>
      </c>
      <c r="F523" s="192">
        <v>7.1040000000000001</v>
      </c>
      <c r="G523" s="11">
        <v>5.8793090000000001</v>
      </c>
      <c r="H523" s="11">
        <v>7.4949950000000003</v>
      </c>
      <c r="I523" s="193">
        <v>0.1318</v>
      </c>
      <c r="J523" s="193">
        <v>0.12889999999999999</v>
      </c>
      <c r="K523" s="11">
        <v>55.112490000000001</v>
      </c>
      <c r="L523" s="194"/>
      <c r="M523" s="197"/>
    </row>
    <row r="524" spans="2:13">
      <c r="B524" s="215">
        <v>19</v>
      </c>
      <c r="C524" s="196"/>
      <c r="D524" s="191" t="s">
        <v>32</v>
      </c>
      <c r="E524" s="192">
        <v>3.7989999999999999</v>
      </c>
      <c r="F524" s="192">
        <v>7.06</v>
      </c>
      <c r="G524" s="11">
        <v>5.8382800000000001</v>
      </c>
      <c r="H524" s="11">
        <v>7.3939859999999999</v>
      </c>
      <c r="I524" s="193">
        <v>0.1318</v>
      </c>
      <c r="J524" s="193">
        <v>0.13020000000000001</v>
      </c>
      <c r="K524" s="11">
        <v>54.224269999999997</v>
      </c>
      <c r="L524" s="194"/>
      <c r="M524" s="197"/>
    </row>
    <row r="525" spans="2:13" ht="17.25" thickBot="1">
      <c r="B525" s="216">
        <v>20</v>
      </c>
      <c r="C525" s="199"/>
      <c r="D525" s="200" t="s">
        <v>33</v>
      </c>
      <c r="E525" s="201">
        <v>3.8039999999999998</v>
      </c>
      <c r="F525" s="201">
        <v>7.0309999999999997</v>
      </c>
      <c r="G525" s="14">
        <v>5.8066560000000003</v>
      </c>
      <c r="H525" s="14">
        <v>7.3425529999999997</v>
      </c>
      <c r="I525" s="15">
        <v>0.1318</v>
      </c>
      <c r="J525" s="15">
        <v>0.13089999999999999</v>
      </c>
      <c r="K525" s="14">
        <v>53.712758000000001</v>
      </c>
      <c r="L525" s="62"/>
      <c r="M525" s="202"/>
    </row>
    <row r="526" spans="2:13" ht="17.25" thickBot="1">
      <c r="B526" s="217"/>
      <c r="C526" s="204"/>
      <c r="D526" s="218" t="s">
        <v>49</v>
      </c>
      <c r="E526" s="206">
        <f>AVERAGE(E521:E525)</f>
        <v>3.7969999999999997</v>
      </c>
      <c r="F526" s="206">
        <f t="shared" ref="F526:K526" si="69">AVERAGE(F521:F525)</f>
        <v>7.0914000000000001</v>
      </c>
      <c r="G526" s="206">
        <f t="shared" si="69"/>
        <v>5.8673778000000008</v>
      </c>
      <c r="H526" s="206">
        <f t="shared" si="69"/>
        <v>7.4486007999999995</v>
      </c>
      <c r="I526" s="207">
        <f t="shared" si="69"/>
        <v>0.13176000000000002</v>
      </c>
      <c r="J526" s="207">
        <f t="shared" si="69"/>
        <v>0.12966</v>
      </c>
      <c r="K526" s="206">
        <f t="shared" si="69"/>
        <v>54.697031199999991</v>
      </c>
      <c r="L526" s="209"/>
      <c r="M526" s="210"/>
    </row>
    <row r="527" spans="2:13">
      <c r="B527" s="213">
        <v>21</v>
      </c>
      <c r="C527" s="57" t="s">
        <v>205</v>
      </c>
      <c r="D527" s="187" t="s">
        <v>34</v>
      </c>
      <c r="E527" s="188">
        <v>3.8010000000000002</v>
      </c>
      <c r="F527" s="188">
        <v>7.0709999999999997</v>
      </c>
      <c r="G527" s="58">
        <v>5.8442999999999996</v>
      </c>
      <c r="H527" s="58">
        <v>7.4178280000000001</v>
      </c>
      <c r="I527" s="59">
        <v>0.13159999999999999</v>
      </c>
      <c r="J527" s="59">
        <v>0.12970000000000001</v>
      </c>
      <c r="K527" s="58">
        <v>54.518118999999999</v>
      </c>
      <c r="L527" s="60"/>
      <c r="M527" s="211"/>
    </row>
    <row r="528" spans="2:13">
      <c r="B528" s="215">
        <v>22</v>
      </c>
      <c r="C528" s="196"/>
      <c r="D528" s="191" t="s">
        <v>35</v>
      </c>
      <c r="E528" s="192">
        <v>3.8</v>
      </c>
      <c r="F528" s="192">
        <v>7.08</v>
      </c>
      <c r="G528" s="11">
        <v>5.8532780000000004</v>
      </c>
      <c r="H528" s="11">
        <v>7.5120630000000004</v>
      </c>
      <c r="I528" s="193">
        <v>0.1318</v>
      </c>
      <c r="J528" s="193">
        <v>0.128</v>
      </c>
      <c r="K528" s="11">
        <v>55.3125</v>
      </c>
      <c r="L528" s="194"/>
      <c r="M528" s="197"/>
    </row>
    <row r="529" spans="2:13">
      <c r="B529" s="215">
        <v>23</v>
      </c>
      <c r="C529" s="196"/>
      <c r="D529" s="191" t="s">
        <v>36</v>
      </c>
      <c r="E529" s="192">
        <v>3.7989999999999999</v>
      </c>
      <c r="F529" s="192">
        <v>7.05</v>
      </c>
      <c r="G529" s="11">
        <v>5.8300099999999997</v>
      </c>
      <c r="H529" s="11">
        <v>7.4647500000000004</v>
      </c>
      <c r="I529" s="193">
        <v>0.13170000000000001</v>
      </c>
      <c r="J529" s="193">
        <v>0.12839999999999999</v>
      </c>
      <c r="K529" s="11">
        <v>54.906542000000002</v>
      </c>
      <c r="L529" s="194"/>
      <c r="M529" s="197"/>
    </row>
    <row r="530" spans="2:13">
      <c r="B530" s="215">
        <v>24</v>
      </c>
      <c r="C530" s="196"/>
      <c r="D530" s="191" t="s">
        <v>37</v>
      </c>
      <c r="E530" s="192">
        <v>3.802</v>
      </c>
      <c r="F530" s="192">
        <v>7.0460000000000003</v>
      </c>
      <c r="G530" s="11">
        <v>5.8221049999999996</v>
      </c>
      <c r="H530" s="11">
        <v>7.3868929999999997</v>
      </c>
      <c r="I530" s="193">
        <v>0.13170000000000001</v>
      </c>
      <c r="J530" s="193">
        <v>0.1298</v>
      </c>
      <c r="K530" s="11">
        <v>54.283512999999999</v>
      </c>
      <c r="L530" s="194"/>
      <c r="M530" s="197"/>
    </row>
    <row r="531" spans="2:13" ht="17.25" thickBot="1">
      <c r="B531" s="216">
        <v>25</v>
      </c>
      <c r="C531" s="199"/>
      <c r="D531" s="200" t="s">
        <v>38</v>
      </c>
      <c r="E531" s="201">
        <v>3.81</v>
      </c>
      <c r="F531" s="201">
        <v>6.9889999999999999</v>
      </c>
      <c r="G531" s="14">
        <v>5.76288</v>
      </c>
      <c r="H531" s="14">
        <v>7.3083099999999996</v>
      </c>
      <c r="I531" s="15">
        <v>0.1318</v>
      </c>
      <c r="J531" s="15">
        <v>0.1305</v>
      </c>
      <c r="K531" s="14">
        <v>53.555556000000003</v>
      </c>
      <c r="L531" s="62"/>
      <c r="M531" s="202"/>
    </row>
    <row r="532" spans="2:13" ht="17.25" thickBot="1">
      <c r="B532" s="219" t="s">
        <v>49</v>
      </c>
      <c r="C532" s="220"/>
      <c r="D532" s="221" t="s">
        <v>49</v>
      </c>
      <c r="E532" s="222">
        <f>AVERAGE(E527:E531)</f>
        <v>3.8024</v>
      </c>
      <c r="F532" s="222">
        <f t="shared" ref="F532:K532" si="70">AVERAGE(F527:F531)</f>
        <v>7.0471999999999992</v>
      </c>
      <c r="G532" s="222">
        <f t="shared" si="70"/>
        <v>5.8225145999999999</v>
      </c>
      <c r="H532" s="222">
        <f t="shared" si="70"/>
        <v>7.4179687999999997</v>
      </c>
      <c r="I532" s="223">
        <f t="shared" si="70"/>
        <v>0.13172</v>
      </c>
      <c r="J532" s="223">
        <f t="shared" si="70"/>
        <v>0.12928000000000001</v>
      </c>
      <c r="K532" s="222">
        <f t="shared" si="70"/>
        <v>54.515246000000005</v>
      </c>
      <c r="L532" s="224"/>
      <c r="M532" s="225"/>
    </row>
    <row r="533" spans="2:13">
      <c r="B533" s="213"/>
      <c r="C533" s="226"/>
      <c r="D533" s="187" t="s">
        <v>198</v>
      </c>
      <c r="E533" s="227">
        <f>MEDIAN(E503:E507,E509:E513,E515:E519,E521:E525,E527:E531)</f>
        <v>3.7989999999999999</v>
      </c>
      <c r="F533" s="227">
        <f t="shared" ref="F533:K533" si="71">MEDIAN(F503:F507,F509:F513,F515:F519,F521:F525,F527:F531)</f>
        <v>7.0890000000000004</v>
      </c>
      <c r="G533" s="227">
        <f t="shared" si="71"/>
        <v>5.864026</v>
      </c>
      <c r="H533" s="227">
        <f t="shared" si="71"/>
        <v>7.4647500000000004</v>
      </c>
      <c r="I533" s="228">
        <f t="shared" si="71"/>
        <v>0.13170000000000001</v>
      </c>
      <c r="J533" s="228">
        <f t="shared" si="71"/>
        <v>0.1295</v>
      </c>
      <c r="K533" s="233">
        <f t="shared" si="71"/>
        <v>54.906542000000002</v>
      </c>
      <c r="L533" s="227"/>
      <c r="M533" s="211"/>
    </row>
    <row r="534" spans="2:13">
      <c r="B534" s="215"/>
      <c r="C534" s="196"/>
      <c r="D534" s="191" t="s">
        <v>49</v>
      </c>
      <c r="E534" s="229">
        <f>AVERAGE(E503:E507,E509:E513,E515:E519,E521:E525,E527:E531)</f>
        <v>3.7983200000000013</v>
      </c>
      <c r="F534" s="229">
        <f t="shared" ref="F534:K534" si="72">AVERAGE(F503:F507,F509:F513,F515:F519,F521:F525,F527:F531)</f>
        <v>7.0829600000000008</v>
      </c>
      <c r="G534" s="229">
        <f t="shared" si="72"/>
        <v>5.8583627199999988</v>
      </c>
      <c r="H534" s="229">
        <f t="shared" si="72"/>
        <v>7.45674656</v>
      </c>
      <c r="I534" s="230">
        <f t="shared" si="72"/>
        <v>0.131748</v>
      </c>
      <c r="J534" s="230">
        <f t="shared" si="72"/>
        <v>0.12922</v>
      </c>
      <c r="K534" s="234">
        <f t="shared" si="72"/>
        <v>54.817901839999998</v>
      </c>
      <c r="L534" s="229"/>
      <c r="M534" s="197"/>
    </row>
    <row r="535" spans="2:13">
      <c r="B535" s="215"/>
      <c r="C535" s="196"/>
      <c r="D535" s="191" t="s">
        <v>199</v>
      </c>
      <c r="E535" s="229">
        <f>MAX(E503:E507,E509:E513,E515:E519,E521:E525,E527:E531)</f>
        <v>3.81</v>
      </c>
      <c r="F535" s="229">
        <f t="shared" ref="F535:K535" si="73">MAX(F503:F507,F509:F513,F515:F519,F521:F525,F527:F531)</f>
        <v>7.1479999999999997</v>
      </c>
      <c r="G535" s="229">
        <f t="shared" si="73"/>
        <v>5.9235259999999998</v>
      </c>
      <c r="H535" s="229">
        <f t="shared" si="73"/>
        <v>7.5738089999999998</v>
      </c>
      <c r="I535" s="230">
        <f t="shared" si="73"/>
        <v>0.13189999999999999</v>
      </c>
      <c r="J535" s="230">
        <f t="shared" si="73"/>
        <v>0.13089999999999999</v>
      </c>
      <c r="K535" s="234">
        <f t="shared" si="73"/>
        <v>55.892018999999998</v>
      </c>
      <c r="L535" s="229"/>
      <c r="M535" s="197"/>
    </row>
    <row r="536" spans="2:13">
      <c r="B536" s="215"/>
      <c r="C536" s="196"/>
      <c r="D536" s="191" t="s">
        <v>200</v>
      </c>
      <c r="E536" s="229">
        <f>MIN(E503:E507,E509:E513,E515:E519,E521:E525,E527:E531)</f>
        <v>3.79</v>
      </c>
      <c r="F536" s="229">
        <f t="shared" ref="F536:K536" si="74">MIN(F503:F507,F509:F513,F515:F519,F521:F525,F527:F531)</f>
        <v>6.9889999999999999</v>
      </c>
      <c r="G536" s="229">
        <f t="shared" si="74"/>
        <v>5.76288</v>
      </c>
      <c r="H536" s="229">
        <f t="shared" si="74"/>
        <v>7.3083099999999996</v>
      </c>
      <c r="I536" s="230">
        <f t="shared" si="74"/>
        <v>0.13159999999999999</v>
      </c>
      <c r="J536" s="230">
        <f t="shared" si="74"/>
        <v>0.12720000000000001</v>
      </c>
      <c r="K536" s="234">
        <f t="shared" si="74"/>
        <v>53.555556000000003</v>
      </c>
      <c r="L536" s="229"/>
      <c r="M536" s="197"/>
    </row>
    <row r="537" spans="2:13">
      <c r="B537" s="215"/>
      <c r="C537" s="196"/>
      <c r="D537" s="191" t="s">
        <v>201</v>
      </c>
      <c r="E537" s="229">
        <f>E535-E536</f>
        <v>2.0000000000000018E-2</v>
      </c>
      <c r="F537" s="229">
        <f t="shared" ref="F537:K537" si="75">F535-F536</f>
        <v>0.15899999999999981</v>
      </c>
      <c r="G537" s="229">
        <f t="shared" si="75"/>
        <v>0.16064599999999984</v>
      </c>
      <c r="H537" s="229">
        <f t="shared" si="75"/>
        <v>0.26549900000000015</v>
      </c>
      <c r="I537" s="230">
        <f t="shared" si="75"/>
        <v>2.9999999999999472E-4</v>
      </c>
      <c r="J537" s="230">
        <f t="shared" si="75"/>
        <v>3.6999999999999811E-3</v>
      </c>
      <c r="K537" s="229">
        <f t="shared" si="75"/>
        <v>2.3364629999999948</v>
      </c>
      <c r="L537" s="229"/>
      <c r="M537" s="197"/>
    </row>
    <row r="538" spans="2:13">
      <c r="B538" s="215"/>
      <c r="C538" s="196"/>
      <c r="D538" s="191" t="s">
        <v>202</v>
      </c>
      <c r="E538" s="229">
        <f>STDEVA(E503:E507,E509:E513,E515:E519,E521:E525,E527:E531)</f>
        <v>4.7672493816315704E-3</v>
      </c>
      <c r="F538" s="229">
        <f t="shared" ref="F538:K538" si="76">STDEVA(F503:F507,F509:F513,F515:F519,F521:F525,F527:F531)</f>
        <v>4.2937435104269298E-2</v>
      </c>
      <c r="G538" s="229">
        <f t="shared" si="76"/>
        <v>4.2233366859549988E-2</v>
      </c>
      <c r="H538" s="229">
        <f t="shared" si="76"/>
        <v>7.7870890350673905E-2</v>
      </c>
      <c r="I538" s="230">
        <f t="shared" si="76"/>
        <v>8.7177978870809749E-5</v>
      </c>
      <c r="J538" s="230">
        <f t="shared" si="76"/>
        <v>1.0499999999999986E-3</v>
      </c>
      <c r="K538" s="229">
        <f t="shared" si="76"/>
        <v>0.67036765179120672</v>
      </c>
      <c r="L538" s="229"/>
      <c r="M538" s="197"/>
    </row>
    <row r="539" spans="2:13" ht="17.25" thickBot="1">
      <c r="B539" s="216"/>
      <c r="C539" s="199"/>
      <c r="D539" s="200" t="s">
        <v>203</v>
      </c>
      <c r="E539" s="231">
        <f>E538*3</f>
        <v>1.430174814489471E-2</v>
      </c>
      <c r="F539" s="231">
        <f t="shared" ref="F539:K539" si="77">F538*3</f>
        <v>0.12881230531280791</v>
      </c>
      <c r="G539" s="231">
        <f t="shared" si="77"/>
        <v>0.12670010057864997</v>
      </c>
      <c r="H539" s="231">
        <f t="shared" si="77"/>
        <v>0.23361267105202171</v>
      </c>
      <c r="I539" s="232">
        <f t="shared" si="77"/>
        <v>2.6153393661242926E-4</v>
      </c>
      <c r="J539" s="232">
        <f t="shared" si="77"/>
        <v>3.1499999999999957E-3</v>
      </c>
      <c r="K539" s="231">
        <f t="shared" si="77"/>
        <v>2.0111029553736204</v>
      </c>
      <c r="L539" s="231"/>
      <c r="M539" s="202"/>
    </row>
    <row r="541" spans="2:13">
      <c r="B541" s="4" t="s">
        <v>209</v>
      </c>
      <c r="C541" s="4"/>
      <c r="E541" s="4"/>
      <c r="F541" s="4"/>
      <c r="G541" s="4"/>
      <c r="H541" s="4"/>
      <c r="I541" s="4"/>
      <c r="J541" s="4"/>
      <c r="K541" s="4"/>
      <c r="L541" s="4"/>
    </row>
    <row r="542" spans="2:13" ht="17.25" thickBot="1">
      <c r="B542" s="4" t="s">
        <v>68</v>
      </c>
      <c r="C542" s="4"/>
      <c r="E542" s="4"/>
      <c r="F542" s="4"/>
      <c r="G542" s="4"/>
      <c r="H542" s="4"/>
      <c r="I542" s="4"/>
      <c r="J542" s="4"/>
      <c r="K542" s="4"/>
      <c r="L542" s="4"/>
    </row>
    <row r="543" spans="2:13" ht="17.25" thickBot="1">
      <c r="B543" s="185" t="s">
        <v>11</v>
      </c>
      <c r="C543" s="51" t="s">
        <v>0</v>
      </c>
      <c r="D543" s="51" t="s">
        <v>1</v>
      </c>
      <c r="E543" s="51" t="s">
        <v>2</v>
      </c>
      <c r="F543" s="51" t="s">
        <v>3</v>
      </c>
      <c r="G543" s="51" t="s">
        <v>192</v>
      </c>
      <c r="H543" s="51" t="s">
        <v>16</v>
      </c>
      <c r="I543" s="51" t="s">
        <v>6</v>
      </c>
      <c r="J543" s="52" t="s">
        <v>7</v>
      </c>
      <c r="K543" s="53" t="s">
        <v>8</v>
      </c>
      <c r="L543" s="48" t="s">
        <v>45</v>
      </c>
      <c r="M543" s="55" t="s">
        <v>10</v>
      </c>
    </row>
    <row r="544" spans="2:13">
      <c r="B544" s="186">
        <v>1</v>
      </c>
      <c r="C544" s="57" t="s">
        <v>206</v>
      </c>
      <c r="D544" s="187" t="s">
        <v>193</v>
      </c>
      <c r="E544" s="188">
        <v>3.839</v>
      </c>
      <c r="F544" s="188">
        <v>7.2</v>
      </c>
      <c r="G544" s="58">
        <v>5.8920159999999999</v>
      </c>
      <c r="H544" s="188">
        <v>7.7983190000000002</v>
      </c>
      <c r="I544" s="59">
        <v>0.1321</v>
      </c>
      <c r="J544" s="59">
        <v>0.124</v>
      </c>
      <c r="K544" s="58">
        <v>58.064515999999998</v>
      </c>
      <c r="L544" s="60"/>
      <c r="M544" s="61"/>
    </row>
    <row r="545" spans="2:13">
      <c r="B545" s="189">
        <v>2</v>
      </c>
      <c r="C545" s="190"/>
      <c r="D545" s="191" t="s">
        <v>194</v>
      </c>
      <c r="E545" s="192">
        <v>3.8359999999999999</v>
      </c>
      <c r="F545" s="192">
        <v>7.1890000000000001</v>
      </c>
      <c r="G545" s="11">
        <v>5.8876150000000003</v>
      </c>
      <c r="H545" s="192">
        <v>7.878558</v>
      </c>
      <c r="I545" s="193">
        <v>0.13220000000000001</v>
      </c>
      <c r="J545" s="193">
        <v>0.1222</v>
      </c>
      <c r="K545" s="11">
        <v>58.829787000000003</v>
      </c>
      <c r="L545" s="194"/>
      <c r="M545" s="195"/>
    </row>
    <row r="546" spans="2:13">
      <c r="B546" s="189">
        <v>3</v>
      </c>
      <c r="C546" s="196"/>
      <c r="D546" s="191" t="s">
        <v>195</v>
      </c>
      <c r="E546" s="192">
        <v>3.8479999999999999</v>
      </c>
      <c r="F546" s="192">
        <v>7.1470000000000002</v>
      </c>
      <c r="G546" s="11">
        <v>5.8349650000000004</v>
      </c>
      <c r="H546" s="192">
        <v>7.8100329999999998</v>
      </c>
      <c r="I546" s="193">
        <v>0.13220000000000001</v>
      </c>
      <c r="J546" s="193">
        <v>0.1229</v>
      </c>
      <c r="K546" s="11">
        <v>58.152970000000003</v>
      </c>
      <c r="L546" s="194"/>
      <c r="M546" s="197"/>
    </row>
    <row r="547" spans="2:13">
      <c r="B547" s="189">
        <v>4</v>
      </c>
      <c r="C547" s="196"/>
      <c r="D547" s="191" t="s">
        <v>196</v>
      </c>
      <c r="E547" s="192">
        <v>3.8420000000000001</v>
      </c>
      <c r="F547" s="192">
        <v>7.1470000000000002</v>
      </c>
      <c r="G547" s="11">
        <v>5.8440770000000004</v>
      </c>
      <c r="H547" s="192">
        <v>7.7196420000000003</v>
      </c>
      <c r="I547" s="193">
        <v>0.13220000000000001</v>
      </c>
      <c r="J547" s="193">
        <v>0.1244</v>
      </c>
      <c r="K547" s="11">
        <v>57.451768000000001</v>
      </c>
      <c r="L547" s="194"/>
      <c r="M547" s="197"/>
    </row>
    <row r="548" spans="2:13" ht="17.25" thickBot="1">
      <c r="B548" s="198">
        <v>5</v>
      </c>
      <c r="C548" s="199"/>
      <c r="D548" s="200" t="s">
        <v>197</v>
      </c>
      <c r="E548" s="201">
        <v>3.8490000000000002</v>
      </c>
      <c r="F548" s="201">
        <v>7.0949999999999998</v>
      </c>
      <c r="G548" s="14">
        <v>5.7910060000000003</v>
      </c>
      <c r="H548" s="201">
        <v>7.6332009999999997</v>
      </c>
      <c r="I548" s="15">
        <v>0.13220000000000001</v>
      </c>
      <c r="J548" s="15">
        <v>0.12529999999999999</v>
      </c>
      <c r="K548" s="14">
        <v>56.624102000000001</v>
      </c>
      <c r="L548" s="62"/>
      <c r="M548" s="202"/>
    </row>
    <row r="549" spans="2:13" ht="17.25" thickBot="1">
      <c r="B549" s="203"/>
      <c r="C549" s="204"/>
      <c r="D549" s="205" t="s">
        <v>49</v>
      </c>
      <c r="E549" s="206">
        <f>AVERAGE(E544:E548)</f>
        <v>3.8427999999999995</v>
      </c>
      <c r="F549" s="206">
        <f t="shared" ref="F549:K549" si="78">AVERAGE(F544:F548)</f>
        <v>7.1555999999999997</v>
      </c>
      <c r="G549" s="206">
        <f t="shared" si="78"/>
        <v>5.849935799999999</v>
      </c>
      <c r="H549" s="206">
        <f t="shared" si="78"/>
        <v>7.7679506000000007</v>
      </c>
      <c r="I549" s="207">
        <f t="shared" si="78"/>
        <v>0.13217999999999999</v>
      </c>
      <c r="J549" s="207">
        <f t="shared" si="78"/>
        <v>0.12376000000000001</v>
      </c>
      <c r="K549" s="208">
        <f t="shared" si="78"/>
        <v>57.824628600000004</v>
      </c>
      <c r="L549" s="209"/>
      <c r="M549" s="210"/>
    </row>
    <row r="550" spans="2:13">
      <c r="B550" s="186">
        <v>6</v>
      </c>
      <c r="C550" s="57" t="s">
        <v>205</v>
      </c>
      <c r="D550" s="187" t="s">
        <v>20</v>
      </c>
      <c r="E550" s="188">
        <v>3.827</v>
      </c>
      <c r="F550" s="188">
        <v>7.2039999999999997</v>
      </c>
      <c r="G550" s="58">
        <v>5.9137740000000001</v>
      </c>
      <c r="H550" s="58">
        <v>7.7806649999999999</v>
      </c>
      <c r="I550" s="59">
        <v>0.13200000000000001</v>
      </c>
      <c r="J550" s="59">
        <v>0.12470000000000001</v>
      </c>
      <c r="K550" s="58">
        <v>57.770650000000003</v>
      </c>
      <c r="L550" s="60"/>
      <c r="M550" s="211"/>
    </row>
    <row r="551" spans="2:13">
      <c r="B551" s="189">
        <v>7</v>
      </c>
      <c r="C551" s="196"/>
      <c r="D551" s="191" t="s">
        <v>21</v>
      </c>
      <c r="E551" s="192">
        <v>3.8239999999999998</v>
      </c>
      <c r="F551" s="192">
        <v>7.2290000000000001</v>
      </c>
      <c r="G551" s="11">
        <v>5.9389519999999996</v>
      </c>
      <c r="H551" s="11">
        <v>7.8951209999999996</v>
      </c>
      <c r="I551" s="193">
        <v>0.13220000000000001</v>
      </c>
      <c r="J551" s="193">
        <v>0.12280000000000001</v>
      </c>
      <c r="K551" s="11">
        <v>58.868077999999997</v>
      </c>
      <c r="L551" s="194"/>
      <c r="M551" s="197"/>
    </row>
    <row r="552" spans="2:13">
      <c r="B552" s="189">
        <v>8</v>
      </c>
      <c r="C552" s="196"/>
      <c r="D552" s="191" t="s">
        <v>65</v>
      </c>
      <c r="E552" s="192">
        <v>3.8260000000000001</v>
      </c>
      <c r="F552" s="192">
        <v>7.2039999999999997</v>
      </c>
      <c r="G552" s="11">
        <v>5.9153200000000004</v>
      </c>
      <c r="H552" s="11">
        <v>7.830857</v>
      </c>
      <c r="I552" s="193">
        <v>0.13220000000000001</v>
      </c>
      <c r="J552" s="193">
        <v>0.1235</v>
      </c>
      <c r="K552" s="11">
        <v>58.331983999999999</v>
      </c>
      <c r="L552" s="194"/>
      <c r="M552" s="197"/>
    </row>
    <row r="553" spans="2:13">
      <c r="B553" s="189">
        <v>9</v>
      </c>
      <c r="C553" s="196"/>
      <c r="D553" s="191" t="s">
        <v>22</v>
      </c>
      <c r="E553" s="192">
        <v>3.8290000000000002</v>
      </c>
      <c r="F553" s="192">
        <v>7.1740000000000004</v>
      </c>
      <c r="G553" s="11">
        <v>5.8860710000000003</v>
      </c>
      <c r="H553" s="11">
        <v>7.7366679999999999</v>
      </c>
      <c r="I553" s="193">
        <v>0.1321</v>
      </c>
      <c r="J553" s="193">
        <v>0.1249</v>
      </c>
      <c r="K553" s="11">
        <v>57.437950000000001</v>
      </c>
      <c r="L553" s="194"/>
      <c r="M553" s="197"/>
    </row>
    <row r="554" spans="2:13" ht="17.25" thickBot="1">
      <c r="B554" s="198">
        <v>10</v>
      </c>
      <c r="C554" s="199"/>
      <c r="D554" s="200" t="s">
        <v>23</v>
      </c>
      <c r="E554" s="201">
        <v>3.847</v>
      </c>
      <c r="F554" s="201">
        <v>7.13</v>
      </c>
      <c r="G554" s="14">
        <v>5.8225990000000003</v>
      </c>
      <c r="H554" s="14">
        <v>7.6411280000000001</v>
      </c>
      <c r="I554" s="15">
        <v>0.1321</v>
      </c>
      <c r="J554" s="15">
        <v>0.12590000000000001</v>
      </c>
      <c r="K554" s="14">
        <v>56.632247999999997</v>
      </c>
      <c r="L554" s="62"/>
      <c r="M554" s="202"/>
    </row>
    <row r="555" spans="2:13" ht="17.25" thickBot="1">
      <c r="B555" s="203" t="s">
        <v>49</v>
      </c>
      <c r="C555" s="204"/>
      <c r="D555" s="205" t="s">
        <v>49</v>
      </c>
      <c r="E555" s="206">
        <f>AVERAGE(E550:E554)</f>
        <v>3.8306000000000004</v>
      </c>
      <c r="F555" s="206">
        <f t="shared" ref="F555:K555" si="79">AVERAGE(F550:F554)</f>
        <v>7.1882000000000001</v>
      </c>
      <c r="G555" s="206">
        <f t="shared" si="79"/>
        <v>5.895343200000001</v>
      </c>
      <c r="H555" s="206">
        <f t="shared" si="79"/>
        <v>7.7768877999999999</v>
      </c>
      <c r="I555" s="207">
        <f t="shared" si="79"/>
        <v>0.13211999999999999</v>
      </c>
      <c r="J555" s="207">
        <f t="shared" si="79"/>
        <v>0.12436</v>
      </c>
      <c r="K555" s="208">
        <f t="shared" si="79"/>
        <v>57.808182000000002</v>
      </c>
      <c r="L555" s="212"/>
      <c r="M555" s="210"/>
    </row>
    <row r="556" spans="2:13">
      <c r="B556" s="213">
        <v>11</v>
      </c>
      <c r="C556" s="214" t="s">
        <v>205</v>
      </c>
      <c r="D556" s="187" t="s">
        <v>24</v>
      </c>
      <c r="E556" s="188">
        <v>3.8170000000000002</v>
      </c>
      <c r="F556" s="188">
        <v>7.1879999999999997</v>
      </c>
      <c r="G556" s="58">
        <v>5.916099</v>
      </c>
      <c r="H556" s="58">
        <v>7.7498430000000003</v>
      </c>
      <c r="I556" s="59">
        <v>0.13200000000000001</v>
      </c>
      <c r="J556" s="59">
        <v>0.12509999999999999</v>
      </c>
      <c r="K556" s="58">
        <v>57.458033999999998</v>
      </c>
      <c r="L556" s="60"/>
      <c r="M556" s="211"/>
    </row>
    <row r="557" spans="2:13">
      <c r="B557" s="215">
        <v>12</v>
      </c>
      <c r="C557" s="196"/>
      <c r="D557" s="191" t="s">
        <v>25</v>
      </c>
      <c r="E557" s="192">
        <v>3.819</v>
      </c>
      <c r="F557" s="192">
        <v>7.19</v>
      </c>
      <c r="G557" s="11">
        <v>5.9146460000000003</v>
      </c>
      <c r="H557" s="11">
        <v>7.8382909999999999</v>
      </c>
      <c r="I557" s="193">
        <v>0.13220000000000001</v>
      </c>
      <c r="J557" s="193">
        <v>0.1232</v>
      </c>
      <c r="K557" s="11">
        <v>58.360390000000002</v>
      </c>
      <c r="L557" s="194"/>
      <c r="M557" s="197"/>
    </row>
    <row r="558" spans="2:13">
      <c r="B558" s="215">
        <v>13</v>
      </c>
      <c r="C558" s="196"/>
      <c r="D558" s="191" t="s">
        <v>26</v>
      </c>
      <c r="E558" s="192">
        <v>3.9529999999999998</v>
      </c>
      <c r="F558" s="192">
        <v>7.2030000000000003</v>
      </c>
      <c r="G558" s="11">
        <v>5.7244809999999999</v>
      </c>
      <c r="H558" s="11">
        <v>7.8209669999999996</v>
      </c>
      <c r="I558" s="193">
        <v>0.13220000000000001</v>
      </c>
      <c r="J558" s="193">
        <v>0.12379999999999999</v>
      </c>
      <c r="K558" s="11">
        <v>58.182552999999999</v>
      </c>
      <c r="L558" s="194"/>
      <c r="M558" s="197"/>
    </row>
    <row r="559" spans="2:13">
      <c r="B559" s="215">
        <v>14</v>
      </c>
      <c r="C559" s="196"/>
      <c r="D559" s="191" t="s">
        <v>27</v>
      </c>
      <c r="E559" s="192">
        <v>3.8210000000000002</v>
      </c>
      <c r="F559" s="192">
        <v>7.1660000000000004</v>
      </c>
      <c r="G559" s="11">
        <v>5.8918169999999996</v>
      </c>
      <c r="H559" s="11">
        <v>7.7055769999999999</v>
      </c>
      <c r="I559" s="193">
        <v>0.1321</v>
      </c>
      <c r="J559" s="193">
        <v>0.12540000000000001</v>
      </c>
      <c r="K559" s="11">
        <v>57.145136000000001</v>
      </c>
      <c r="L559" s="194"/>
      <c r="M559" s="197"/>
    </row>
    <row r="560" spans="2:13" ht="17.25" thickBot="1">
      <c r="B560" s="216">
        <v>15</v>
      </c>
      <c r="C560" s="199"/>
      <c r="D560" s="200" t="s">
        <v>28</v>
      </c>
      <c r="E560" s="201">
        <v>3.8250000000000002</v>
      </c>
      <c r="F560" s="201">
        <v>7.109</v>
      </c>
      <c r="G560" s="14">
        <v>5.8388400000000003</v>
      </c>
      <c r="H560" s="14">
        <v>7.6041949999999998</v>
      </c>
      <c r="I560" s="15">
        <v>0.1321</v>
      </c>
      <c r="J560" s="15">
        <v>0.1263</v>
      </c>
      <c r="K560" s="14">
        <v>56.286619000000002</v>
      </c>
      <c r="L560" s="62"/>
      <c r="M560" s="202"/>
    </row>
    <row r="561" spans="2:13" ht="17.25" thickBot="1">
      <c r="B561" s="217"/>
      <c r="C561" s="204"/>
      <c r="D561" s="218" t="s">
        <v>49</v>
      </c>
      <c r="E561" s="206">
        <f>AVERAGE(E556:E560)</f>
        <v>3.847</v>
      </c>
      <c r="F561" s="206">
        <f t="shared" ref="F561:K561" si="80">AVERAGE(F556:F560)</f>
        <v>7.1712000000000007</v>
      </c>
      <c r="G561" s="206">
        <f t="shared" si="80"/>
        <v>5.8571766000000007</v>
      </c>
      <c r="H561" s="206">
        <f t="shared" si="80"/>
        <v>7.7437745999999992</v>
      </c>
      <c r="I561" s="207">
        <f t="shared" si="80"/>
        <v>0.13211999999999999</v>
      </c>
      <c r="J561" s="207">
        <f t="shared" si="80"/>
        <v>0.12476000000000001</v>
      </c>
      <c r="K561" s="208">
        <f t="shared" si="80"/>
        <v>57.486546399999995</v>
      </c>
      <c r="L561" s="209"/>
      <c r="M561" s="210"/>
    </row>
    <row r="562" spans="2:13">
      <c r="B562" s="213">
        <v>16</v>
      </c>
      <c r="C562" s="57" t="s">
        <v>205</v>
      </c>
      <c r="D562" s="187" t="s">
        <v>29</v>
      </c>
      <c r="E562" s="188">
        <v>3.8050000000000002</v>
      </c>
      <c r="F562" s="188">
        <v>7.1909999999999998</v>
      </c>
      <c r="G562" s="58">
        <v>5.9372340000000001</v>
      </c>
      <c r="H562" s="58">
        <v>7.7714210000000001</v>
      </c>
      <c r="I562" s="59">
        <v>0.13200000000000001</v>
      </c>
      <c r="J562" s="59">
        <v>0.1249</v>
      </c>
      <c r="K562" s="58">
        <v>57.574058999999998</v>
      </c>
      <c r="L562" s="60"/>
      <c r="M562" s="211"/>
    </row>
    <row r="563" spans="2:13">
      <c r="B563" s="215">
        <v>17</v>
      </c>
      <c r="C563" s="196"/>
      <c r="D563" s="191" t="s">
        <v>30</v>
      </c>
      <c r="E563" s="192">
        <v>3.831</v>
      </c>
      <c r="F563" s="192">
        <v>7.1840000000000002</v>
      </c>
      <c r="G563" s="11">
        <v>5.8911990000000003</v>
      </c>
      <c r="H563" s="11">
        <v>7.8331879999999998</v>
      </c>
      <c r="I563" s="193">
        <v>0.1321</v>
      </c>
      <c r="J563" s="193">
        <v>0.1231</v>
      </c>
      <c r="K563" s="11">
        <v>58.359057999999997</v>
      </c>
      <c r="L563" s="194"/>
      <c r="M563" s="197"/>
    </row>
    <row r="564" spans="2:13">
      <c r="B564" s="215">
        <v>18</v>
      </c>
      <c r="C564" s="196"/>
      <c r="D564" s="191" t="s">
        <v>31</v>
      </c>
      <c r="E564" s="192">
        <v>3.8220000000000001</v>
      </c>
      <c r="F564" s="192">
        <v>7.1929999999999996</v>
      </c>
      <c r="G564" s="11">
        <v>5.9124689999999998</v>
      </c>
      <c r="H564" s="11">
        <v>7.8214480000000002</v>
      </c>
      <c r="I564" s="193">
        <v>0.1321</v>
      </c>
      <c r="J564" s="193">
        <v>0.1237</v>
      </c>
      <c r="K564" s="11">
        <v>58.148747</v>
      </c>
      <c r="L564" s="194"/>
      <c r="M564" s="197"/>
    </row>
    <row r="565" spans="2:13">
      <c r="B565" s="215">
        <v>19</v>
      </c>
      <c r="C565" s="196"/>
      <c r="D565" s="191" t="s">
        <v>32</v>
      </c>
      <c r="E565" s="192">
        <v>3.8140000000000001</v>
      </c>
      <c r="F565" s="192">
        <v>7.1420000000000003</v>
      </c>
      <c r="G565" s="11">
        <v>5.8828620000000003</v>
      </c>
      <c r="H565" s="11">
        <v>7.6804519999999998</v>
      </c>
      <c r="I565" s="193">
        <v>0.1321</v>
      </c>
      <c r="J565" s="193">
        <v>0.12529999999999999</v>
      </c>
      <c r="K565" s="11">
        <v>56.999201999999997</v>
      </c>
      <c r="L565" s="194"/>
      <c r="M565" s="197"/>
    </row>
    <row r="566" spans="2:13" ht="17.25" thickBot="1">
      <c r="B566" s="216">
        <v>20</v>
      </c>
      <c r="C566" s="199"/>
      <c r="D566" s="200" t="s">
        <v>33</v>
      </c>
      <c r="E566" s="201">
        <v>3.8170000000000002</v>
      </c>
      <c r="F566" s="201">
        <v>7.0880000000000001</v>
      </c>
      <c r="G566" s="14">
        <v>5.8337940000000001</v>
      </c>
      <c r="H566" s="14">
        <v>7.5712590000000004</v>
      </c>
      <c r="I566" s="15">
        <v>0.1321</v>
      </c>
      <c r="J566" s="15">
        <v>0.12620000000000001</v>
      </c>
      <c r="K566" s="14">
        <v>56.164817999999997</v>
      </c>
      <c r="L566" s="62"/>
      <c r="M566" s="202"/>
    </row>
    <row r="567" spans="2:13" ht="17.25" thickBot="1">
      <c r="B567" s="217"/>
      <c r="C567" s="204"/>
      <c r="D567" s="218" t="s">
        <v>49</v>
      </c>
      <c r="E567" s="206">
        <f>AVERAGE(E562:E566)</f>
        <v>3.8177999999999996</v>
      </c>
      <c r="F567" s="206">
        <f t="shared" ref="F567:K567" si="81">AVERAGE(F562:F566)</f>
        <v>7.1595999999999993</v>
      </c>
      <c r="G567" s="206">
        <f t="shared" si="81"/>
        <v>5.8915115999999994</v>
      </c>
      <c r="H567" s="206">
        <f t="shared" si="81"/>
        <v>7.7355536000000003</v>
      </c>
      <c r="I567" s="207">
        <f t="shared" si="81"/>
        <v>0.13208</v>
      </c>
      <c r="J567" s="207">
        <f t="shared" si="81"/>
        <v>0.12464</v>
      </c>
      <c r="K567" s="206">
        <f t="shared" si="81"/>
        <v>57.449176799999996</v>
      </c>
      <c r="L567" s="209"/>
      <c r="M567" s="210"/>
    </row>
    <row r="568" spans="2:13">
      <c r="B568" s="213">
        <v>21</v>
      </c>
      <c r="C568" s="57" t="s">
        <v>205</v>
      </c>
      <c r="D568" s="187" t="s">
        <v>34</v>
      </c>
      <c r="E568" s="188">
        <v>3.8029999999999999</v>
      </c>
      <c r="F568" s="188">
        <v>7.0940000000000003</v>
      </c>
      <c r="G568" s="58">
        <v>5.8602259999999999</v>
      </c>
      <c r="H568" s="58">
        <v>7.6830860000000003</v>
      </c>
      <c r="I568" s="59">
        <v>0.13200000000000001</v>
      </c>
      <c r="J568" s="59">
        <v>0.1244</v>
      </c>
      <c r="K568" s="58">
        <v>57.025722999999999</v>
      </c>
      <c r="L568" s="60"/>
      <c r="M568" s="211"/>
    </row>
    <row r="569" spans="2:13">
      <c r="B569" s="215">
        <v>22</v>
      </c>
      <c r="C569" s="196"/>
      <c r="D569" s="191" t="s">
        <v>35</v>
      </c>
      <c r="E569" s="192">
        <v>3.7989999999999999</v>
      </c>
      <c r="F569" s="192">
        <v>7.117</v>
      </c>
      <c r="G569" s="11">
        <v>5.8854160000000002</v>
      </c>
      <c r="H569" s="11">
        <v>7.7966030000000002</v>
      </c>
      <c r="I569" s="193">
        <v>0.13220000000000001</v>
      </c>
      <c r="J569" s="193">
        <v>0.1226</v>
      </c>
      <c r="K569" s="11">
        <v>58.050570999999998</v>
      </c>
      <c r="L569" s="194"/>
      <c r="M569" s="197"/>
    </row>
    <row r="570" spans="2:13">
      <c r="B570" s="215">
        <v>23</v>
      </c>
      <c r="C570" s="196"/>
      <c r="D570" s="191" t="s">
        <v>36</v>
      </c>
      <c r="E570" s="192">
        <v>3.8</v>
      </c>
      <c r="F570" s="192">
        <v>7.1120000000000001</v>
      </c>
      <c r="G570" s="11">
        <v>5.879734</v>
      </c>
      <c r="H570" s="11">
        <v>7.736478</v>
      </c>
      <c r="I570" s="193">
        <v>0.13220000000000001</v>
      </c>
      <c r="J570" s="193">
        <v>0.1232</v>
      </c>
      <c r="K570" s="11">
        <v>57.727272999999997</v>
      </c>
      <c r="L570" s="194"/>
      <c r="M570" s="197"/>
    </row>
    <row r="571" spans="2:13">
      <c r="B571" s="215">
        <v>24</v>
      </c>
      <c r="C571" s="196"/>
      <c r="D571" s="191" t="s">
        <v>37</v>
      </c>
      <c r="E571" s="192">
        <v>3.8050000000000002</v>
      </c>
      <c r="F571" s="192">
        <v>7.09</v>
      </c>
      <c r="G571" s="11">
        <v>5.8538430000000004</v>
      </c>
      <c r="H571" s="11">
        <v>7.6613230000000003</v>
      </c>
      <c r="I571" s="193">
        <v>0.13220000000000001</v>
      </c>
      <c r="J571" s="193">
        <v>0.12479999999999999</v>
      </c>
      <c r="K571" s="11">
        <v>56.810896999999997</v>
      </c>
      <c r="L571" s="194"/>
      <c r="M571" s="197"/>
    </row>
    <row r="572" spans="2:13" ht="17.25" thickBot="1">
      <c r="B572" s="216">
        <v>25</v>
      </c>
      <c r="C572" s="199"/>
      <c r="D572" s="200" t="s">
        <v>38</v>
      </c>
      <c r="E572" s="201">
        <v>3.8090000000000002</v>
      </c>
      <c r="F572" s="201">
        <v>7.056</v>
      </c>
      <c r="G572" s="14">
        <v>5.8196529999999997</v>
      </c>
      <c r="H572" s="14">
        <v>7.5616260000000004</v>
      </c>
      <c r="I572" s="15">
        <v>0.1321</v>
      </c>
      <c r="J572" s="15">
        <v>0.1258</v>
      </c>
      <c r="K572" s="14">
        <v>56.089030000000001</v>
      </c>
      <c r="L572" s="62"/>
      <c r="M572" s="202"/>
    </row>
    <row r="573" spans="2:13" ht="17.25" thickBot="1">
      <c r="B573" s="219" t="s">
        <v>49</v>
      </c>
      <c r="C573" s="220"/>
      <c r="D573" s="221" t="s">
        <v>49</v>
      </c>
      <c r="E573" s="222">
        <f>AVERAGE(E568:E572)</f>
        <v>3.8032000000000004</v>
      </c>
      <c r="F573" s="222">
        <f t="shared" ref="F573:K573" si="82">AVERAGE(F568:F572)</f>
        <v>7.0937999999999999</v>
      </c>
      <c r="G573" s="222">
        <f t="shared" si="82"/>
        <v>5.8597744</v>
      </c>
      <c r="H573" s="222">
        <f t="shared" si="82"/>
        <v>7.6878231999999995</v>
      </c>
      <c r="I573" s="223">
        <f t="shared" si="82"/>
        <v>0.13213999999999998</v>
      </c>
      <c r="J573" s="223">
        <f t="shared" si="82"/>
        <v>0.12416000000000001</v>
      </c>
      <c r="K573" s="222">
        <f t="shared" si="82"/>
        <v>57.140698799999996</v>
      </c>
      <c r="L573" s="224"/>
      <c r="M573" s="225"/>
    </row>
    <row r="574" spans="2:13">
      <c r="B574" s="213"/>
      <c r="C574" s="226"/>
      <c r="D574" s="187" t="s">
        <v>198</v>
      </c>
      <c r="E574" s="227">
        <f>MEDIAN(E544:E548,E550:E554,E556:E560,E562:E566,E568:E572)</f>
        <v>3.8239999999999998</v>
      </c>
      <c r="F574" s="227">
        <f t="shared" ref="F574:K574" si="83">MEDIAN(F544:F548,F550:F554,F556:F560,F562:F566,F568:F572)</f>
        <v>7.1660000000000004</v>
      </c>
      <c r="G574" s="227">
        <f t="shared" si="83"/>
        <v>5.8854160000000002</v>
      </c>
      <c r="H574" s="227">
        <f t="shared" si="83"/>
        <v>7.7498430000000003</v>
      </c>
      <c r="I574" s="228">
        <f t="shared" si="83"/>
        <v>0.1321</v>
      </c>
      <c r="J574" s="228">
        <f t="shared" si="83"/>
        <v>0.1244</v>
      </c>
      <c r="K574" s="233">
        <f t="shared" si="83"/>
        <v>57.574058999999998</v>
      </c>
      <c r="L574" s="227"/>
      <c r="M574" s="211"/>
    </row>
    <row r="575" spans="2:13">
      <c r="B575" s="215"/>
      <c r="C575" s="196"/>
      <c r="D575" s="191" t="s">
        <v>49</v>
      </c>
      <c r="E575" s="229">
        <f>AVERAGE(E544:E548,E550:E554,E556:E560,E562:E566,E568:E572)</f>
        <v>3.8282800000000003</v>
      </c>
      <c r="F575" s="229">
        <f t="shared" ref="F575:K575" si="84">AVERAGE(F544:F548,F550:F554,F556:F560,F562:F566,F568:F572)</f>
        <v>7.1536799999999996</v>
      </c>
      <c r="G575" s="229">
        <f t="shared" si="84"/>
        <v>5.8707483200000015</v>
      </c>
      <c r="H575" s="229">
        <f t="shared" si="84"/>
        <v>7.7423979600000008</v>
      </c>
      <c r="I575" s="230">
        <f t="shared" si="84"/>
        <v>0.132128</v>
      </c>
      <c r="J575" s="230">
        <f t="shared" si="84"/>
        <v>0.124336</v>
      </c>
      <c r="K575" s="234">
        <f t="shared" si="84"/>
        <v>57.541846520000007</v>
      </c>
      <c r="L575" s="229"/>
      <c r="M575" s="197"/>
    </row>
    <row r="576" spans="2:13">
      <c r="B576" s="215"/>
      <c r="C576" s="196"/>
      <c r="D576" s="191" t="s">
        <v>199</v>
      </c>
      <c r="E576" s="229">
        <f>MAX(E544:E548,E550:E554,E556:E560,E562:E566,E568:E572)</f>
        <v>3.9529999999999998</v>
      </c>
      <c r="F576" s="229">
        <f t="shared" ref="F576:K576" si="85">MAX(F544:F548,F550:F554,F556:F560,F562:F566,F568:F572)</f>
        <v>7.2290000000000001</v>
      </c>
      <c r="G576" s="229">
        <f t="shared" si="85"/>
        <v>5.9389519999999996</v>
      </c>
      <c r="H576" s="229">
        <f t="shared" si="85"/>
        <v>7.8951209999999996</v>
      </c>
      <c r="I576" s="230">
        <f t="shared" si="85"/>
        <v>0.13220000000000001</v>
      </c>
      <c r="J576" s="230">
        <f t="shared" si="85"/>
        <v>0.1263</v>
      </c>
      <c r="K576" s="234">
        <f t="shared" si="85"/>
        <v>58.868077999999997</v>
      </c>
      <c r="L576" s="229"/>
      <c r="M576" s="197"/>
    </row>
    <row r="577" spans="2:13">
      <c r="B577" s="215"/>
      <c r="C577" s="196"/>
      <c r="D577" s="191" t="s">
        <v>200</v>
      </c>
      <c r="E577" s="229">
        <f>MIN(E544:E548,E550:E554,E556:E560,E562:E566,E568:E572)</f>
        <v>3.7989999999999999</v>
      </c>
      <c r="F577" s="229">
        <f t="shared" ref="F577:K577" si="86">MIN(F544:F548,F550:F554,F556:F560,F562:F566,F568:F572)</f>
        <v>7.056</v>
      </c>
      <c r="G577" s="229">
        <f t="shared" si="86"/>
        <v>5.7244809999999999</v>
      </c>
      <c r="H577" s="229">
        <f t="shared" si="86"/>
        <v>7.5616260000000004</v>
      </c>
      <c r="I577" s="230">
        <f t="shared" si="86"/>
        <v>0.13200000000000001</v>
      </c>
      <c r="J577" s="230">
        <f t="shared" si="86"/>
        <v>0.1222</v>
      </c>
      <c r="K577" s="234">
        <f t="shared" si="86"/>
        <v>56.089030000000001</v>
      </c>
      <c r="L577" s="229"/>
      <c r="M577" s="197"/>
    </row>
    <row r="578" spans="2:13">
      <c r="B578" s="215"/>
      <c r="C578" s="196"/>
      <c r="D578" s="191" t="s">
        <v>201</v>
      </c>
      <c r="E578" s="229">
        <f>E576-E577</f>
        <v>0.15399999999999991</v>
      </c>
      <c r="F578" s="229">
        <f t="shared" ref="F578:K578" si="87">F576-F577</f>
        <v>0.17300000000000004</v>
      </c>
      <c r="G578" s="229">
        <f t="shared" si="87"/>
        <v>0.21447099999999963</v>
      </c>
      <c r="H578" s="229">
        <f t="shared" si="87"/>
        <v>0.33349499999999921</v>
      </c>
      <c r="I578" s="230">
        <f t="shared" si="87"/>
        <v>2.0000000000000573E-4</v>
      </c>
      <c r="J578" s="230">
        <f t="shared" si="87"/>
        <v>4.0999999999999925E-3</v>
      </c>
      <c r="K578" s="229">
        <f t="shared" si="87"/>
        <v>2.779047999999996</v>
      </c>
      <c r="L578" s="229"/>
      <c r="M578" s="197"/>
    </row>
    <row r="579" spans="2:13">
      <c r="B579" s="215"/>
      <c r="C579" s="196"/>
      <c r="D579" s="191" t="s">
        <v>202</v>
      </c>
      <c r="E579" s="229">
        <f>STDEVA(E544:E548,E550:E554,E556:E560,E562:E566,E568:E572)</f>
        <v>2.9943724996510782E-2</v>
      </c>
      <c r="F579" s="229">
        <f t="shared" ref="F579:K579" si="88">STDEVA(F544:F548,F550:F554,F556:F560,F562:F566,F568:F572)</f>
        <v>4.7549728355340437E-2</v>
      </c>
      <c r="G579" s="229">
        <f t="shared" si="88"/>
        <v>4.9313916660445142E-2</v>
      </c>
      <c r="H579" s="229">
        <f t="shared" si="88"/>
        <v>9.3912129394752034E-2</v>
      </c>
      <c r="I579" s="230">
        <f t="shared" si="88"/>
        <v>7.3711147958324262E-5</v>
      </c>
      <c r="J579" s="230">
        <f t="shared" si="88"/>
        <v>1.1919451888964241E-3</v>
      </c>
      <c r="K579" s="229">
        <f t="shared" si="88"/>
        <v>0.8083536913846936</v>
      </c>
      <c r="L579" s="229"/>
      <c r="M579" s="197"/>
    </row>
    <row r="580" spans="2:13" ht="17.25" thickBot="1">
      <c r="B580" s="216"/>
      <c r="C580" s="199"/>
      <c r="D580" s="200" t="s">
        <v>203</v>
      </c>
      <c r="E580" s="231">
        <f>E579*3</f>
        <v>8.9831174989532345E-2</v>
      </c>
      <c r="F580" s="231">
        <f t="shared" ref="F580:K580" si="89">F579*3</f>
        <v>0.14264918506602131</v>
      </c>
      <c r="G580" s="231">
        <f t="shared" si="89"/>
        <v>0.14794174998133541</v>
      </c>
      <c r="H580" s="231">
        <f t="shared" si="89"/>
        <v>0.28173638818425611</v>
      </c>
      <c r="I580" s="232">
        <f t="shared" si="89"/>
        <v>2.2113344387497279E-4</v>
      </c>
      <c r="J580" s="232">
        <f t="shared" si="89"/>
        <v>3.5758355666892722E-3</v>
      </c>
      <c r="K580" s="231">
        <f t="shared" si="89"/>
        <v>2.4250610741540806</v>
      </c>
      <c r="L580" s="231"/>
      <c r="M580" s="202"/>
    </row>
  </sheetData>
  <mergeCells count="39">
    <mergeCell ref="C64:D64"/>
    <mergeCell ref="B5:B15"/>
    <mergeCell ref="B16:B31"/>
    <mergeCell ref="C32:D32"/>
    <mergeCell ref="B37:B47"/>
    <mergeCell ref="B48:B63"/>
    <mergeCell ref="C192:D192"/>
    <mergeCell ref="B69:B79"/>
    <mergeCell ref="B80:B95"/>
    <mergeCell ref="C96:D96"/>
    <mergeCell ref="B101:B111"/>
    <mergeCell ref="B112:B127"/>
    <mergeCell ref="C128:D128"/>
    <mergeCell ref="B133:B143"/>
    <mergeCell ref="B144:B159"/>
    <mergeCell ref="C160:D160"/>
    <mergeCell ref="B165:B175"/>
    <mergeCell ref="B176:B191"/>
    <mergeCell ref="C320:D320"/>
    <mergeCell ref="B197:B207"/>
    <mergeCell ref="B208:B223"/>
    <mergeCell ref="C224:D224"/>
    <mergeCell ref="B229:B239"/>
    <mergeCell ref="B240:B255"/>
    <mergeCell ref="C256:D256"/>
    <mergeCell ref="B261:B271"/>
    <mergeCell ref="B272:B287"/>
    <mergeCell ref="C288:D288"/>
    <mergeCell ref="B293:B303"/>
    <mergeCell ref="B304:B319"/>
    <mergeCell ref="B389:B399"/>
    <mergeCell ref="B400:B415"/>
    <mergeCell ref="C416:D416"/>
    <mergeCell ref="B325:B335"/>
    <mergeCell ref="B336:B351"/>
    <mergeCell ref="C352:D352"/>
    <mergeCell ref="B357:B367"/>
    <mergeCell ref="B368:B383"/>
    <mergeCell ref="C384:D384"/>
  </mergeCells>
  <phoneticPr fontId="19" type="noConversion"/>
  <conditionalFormatting sqref="M1:M164 M166:M175 M177:M191 L1:L193 M193 M225:M458 L225:L419 L421:L458 L499:M499 L540:M540 L581:M1048576">
    <cfRule type="cellIs" dxfId="17" priority="5" operator="equal">
      <formula>"-"</formula>
    </cfRule>
  </conditionalFormatting>
  <conditionalFormatting sqref="L194:M224">
    <cfRule type="cellIs" dxfId="16" priority="4" operator="equal">
      <formula>"-"</formula>
    </cfRule>
  </conditionalFormatting>
  <conditionalFormatting sqref="M459:M498 L459:L460 L462:L498">
    <cfRule type="cellIs" dxfId="15" priority="3" operator="equal">
      <formula>"-"</formula>
    </cfRule>
  </conditionalFormatting>
  <conditionalFormatting sqref="M500:M539 L500:L501 L503:L539">
    <cfRule type="cellIs" dxfId="14" priority="2" operator="equal">
      <formula>"-"</formula>
    </cfRule>
  </conditionalFormatting>
  <conditionalFormatting sqref="M541:M580 L541:L542 L544:L580">
    <cfRule type="cellIs" dxfId="13" priority="1" operator="equal">
      <formula>"-"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2:Y16"/>
  <sheetViews>
    <sheetView workbookViewId="0">
      <selection activeCell="C2" sqref="C2:G16"/>
    </sheetView>
  </sheetViews>
  <sheetFormatPr defaultRowHeight="14.25"/>
  <cols>
    <col min="1" max="1" width="2.125" style="235" customWidth="1"/>
    <col min="2" max="2" width="5.5" style="235" customWidth="1"/>
    <col min="3" max="3" width="13" style="235" customWidth="1"/>
    <col min="4" max="4" width="16.25" style="235" bestFit="1" customWidth="1"/>
    <col min="5" max="5" width="7.875" style="235" customWidth="1"/>
    <col min="6" max="7" width="9.75" style="235" customWidth="1"/>
    <col min="8" max="13" width="7.875" style="235" customWidth="1"/>
    <col min="14" max="14" width="20.25" style="235" bestFit="1" customWidth="1"/>
    <col min="15" max="15" width="5.5" style="235" customWidth="1"/>
    <col min="16" max="16" width="7.25" style="235" customWidth="1"/>
    <col min="17" max="17" width="12.125" style="235" bestFit="1" customWidth="1"/>
    <col min="18" max="18" width="12.625" style="235" hidden="1" customWidth="1"/>
    <col min="19" max="19" width="6.625" style="235" hidden="1" customWidth="1"/>
    <col min="20" max="20" width="7.75" style="235" bestFit="1" customWidth="1"/>
    <col min="21" max="21" width="7.125" style="235" hidden="1" customWidth="1"/>
    <col min="22" max="22" width="7.75" style="235" hidden="1" customWidth="1"/>
    <col min="23" max="24" width="6.75" style="235" hidden="1" customWidth="1"/>
    <col min="25" max="25" width="7.25" style="235" hidden="1" customWidth="1"/>
    <col min="26" max="26" width="10.25" style="235" bestFit="1" customWidth="1"/>
    <col min="27" max="27" width="16.125" style="235" customWidth="1"/>
    <col min="28" max="16384" width="9" style="235"/>
  </cols>
  <sheetData>
    <row r="2" spans="3:7">
      <c r="C2" s="695" t="s">
        <v>352</v>
      </c>
      <c r="D2" s="695" t="s">
        <v>353</v>
      </c>
      <c r="E2" s="698" t="s">
        <v>354</v>
      </c>
      <c r="F2" s="698"/>
      <c r="G2" s="698"/>
    </row>
    <row r="3" spans="3:7">
      <c r="C3" s="696"/>
      <c r="D3" s="696"/>
      <c r="E3" s="236" t="s">
        <v>355</v>
      </c>
      <c r="F3" s="236" t="s">
        <v>357</v>
      </c>
      <c r="G3" s="236" t="s">
        <v>358</v>
      </c>
    </row>
    <row r="4" spans="3:7">
      <c r="C4" s="695" t="s">
        <v>356</v>
      </c>
      <c r="D4" s="236" t="s">
        <v>283</v>
      </c>
      <c r="E4" s="236">
        <v>170421</v>
      </c>
      <c r="F4" s="237">
        <v>1.7999999999999999E-2</v>
      </c>
      <c r="G4" s="238" t="s">
        <v>359</v>
      </c>
    </row>
    <row r="5" spans="3:7">
      <c r="C5" s="697"/>
      <c r="D5" s="236" t="s">
        <v>284</v>
      </c>
      <c r="E5" s="236">
        <v>170421</v>
      </c>
      <c r="F5" s="238" t="s">
        <v>360</v>
      </c>
      <c r="G5" s="237">
        <v>-4.2000000000000003E-2</v>
      </c>
    </row>
    <row r="6" spans="3:7">
      <c r="C6" s="697"/>
      <c r="D6" s="236" t="s">
        <v>285</v>
      </c>
      <c r="E6" s="236">
        <v>170421</v>
      </c>
      <c r="F6" s="237">
        <v>-3.5000000000000003E-2</v>
      </c>
      <c r="G6" s="237">
        <v>-3.4000000000000002E-2</v>
      </c>
    </row>
    <row r="7" spans="3:7">
      <c r="C7" s="697"/>
      <c r="D7" s="236" t="s">
        <v>291</v>
      </c>
      <c r="E7" s="236">
        <v>170621</v>
      </c>
      <c r="F7" s="237">
        <v>0.03</v>
      </c>
      <c r="G7" s="237">
        <v>0.02</v>
      </c>
    </row>
    <row r="8" spans="3:7">
      <c r="C8" s="697"/>
      <c r="D8" s="236" t="s">
        <v>329</v>
      </c>
      <c r="E8" s="236">
        <v>171127</v>
      </c>
      <c r="F8" s="237">
        <v>-1.6E-2</v>
      </c>
      <c r="G8" s="237">
        <v>7.0000000000000001E-3</v>
      </c>
    </row>
    <row r="9" spans="3:7">
      <c r="C9" s="697"/>
      <c r="D9" s="236" t="s">
        <v>303</v>
      </c>
      <c r="E9" s="236">
        <v>171026</v>
      </c>
      <c r="F9" s="237">
        <v>-2.1999999999999999E-2</v>
      </c>
      <c r="G9" s="237">
        <v>8.5999999999999993E-2</v>
      </c>
    </row>
    <row r="10" spans="3:7">
      <c r="C10" s="697"/>
      <c r="D10" s="236" t="s">
        <v>306</v>
      </c>
      <c r="E10" s="236">
        <v>171023</v>
      </c>
      <c r="F10" s="237">
        <v>-1.7000000000000001E-2</v>
      </c>
      <c r="G10" s="237">
        <v>7.0000000000000001E-3</v>
      </c>
    </row>
    <row r="11" spans="3:7">
      <c r="C11" s="697"/>
      <c r="D11" s="236" t="s">
        <v>294</v>
      </c>
      <c r="E11" s="236">
        <v>171011</v>
      </c>
      <c r="F11" s="237">
        <v>0.04</v>
      </c>
      <c r="G11" s="237">
        <v>4.5999999999999999E-2</v>
      </c>
    </row>
    <row r="12" spans="3:7">
      <c r="C12" s="697"/>
      <c r="D12" s="236" t="s">
        <v>314</v>
      </c>
      <c r="E12" s="236">
        <v>171026</v>
      </c>
      <c r="F12" s="237">
        <v>0.04</v>
      </c>
      <c r="G12" s="237">
        <v>-3.1E-2</v>
      </c>
    </row>
    <row r="13" spans="3:7">
      <c r="C13" s="697"/>
      <c r="D13" s="236" t="s">
        <v>324</v>
      </c>
      <c r="E13" s="236">
        <v>171104</v>
      </c>
      <c r="F13" s="237">
        <v>-8.0000000000000002E-3</v>
      </c>
      <c r="G13" s="237">
        <v>6.0000000000000001E-3</v>
      </c>
    </row>
    <row r="14" spans="3:7">
      <c r="C14" s="697"/>
      <c r="D14" s="236" t="s">
        <v>334</v>
      </c>
      <c r="E14" s="236">
        <v>171203</v>
      </c>
      <c r="F14" s="237">
        <v>-2E-3</v>
      </c>
      <c r="G14" s="237">
        <v>-3.6999999999999998E-2</v>
      </c>
    </row>
    <row r="15" spans="3:7">
      <c r="C15" s="697"/>
      <c r="D15" s="236" t="s">
        <v>341</v>
      </c>
      <c r="E15" s="236">
        <v>180206</v>
      </c>
      <c r="F15" s="237">
        <v>3.4000000000000002E-2</v>
      </c>
      <c r="G15" s="237">
        <v>-7.9000000000000001E-2</v>
      </c>
    </row>
    <row r="16" spans="3:7">
      <c r="C16" s="696"/>
      <c r="D16" s="236" t="s">
        <v>342</v>
      </c>
      <c r="E16" s="236">
        <v>180305</v>
      </c>
      <c r="F16" s="237">
        <v>2.3E-2</v>
      </c>
      <c r="G16" s="237">
        <v>-5.6000000000000001E-2</v>
      </c>
    </row>
  </sheetData>
  <mergeCells count="4">
    <mergeCell ref="C2:C3"/>
    <mergeCell ref="D2:D3"/>
    <mergeCell ref="C4:C16"/>
    <mergeCell ref="E2:G2"/>
  </mergeCells>
  <phoneticPr fontId="19" type="noConversion"/>
  <pageMargins left="0.7" right="0.7" top="0.75" bottom="0.75" header="0.3" footer="0.3"/>
  <pageSetup paperSize="9" orientation="portrait" r:id="rId1"/>
  <ignoredErrors>
    <ignoredError sqref="G4 F5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A52"/>
  <sheetViews>
    <sheetView zoomScale="85" zoomScaleNormal="85" workbookViewId="0">
      <selection activeCell="N15" sqref="N15"/>
    </sheetView>
  </sheetViews>
  <sheetFormatPr defaultRowHeight="16.5" outlineLevelRow="1"/>
  <cols>
    <col min="1" max="1" width="2.125" style="240" customWidth="1"/>
    <col min="2" max="2" width="5.5" style="240" customWidth="1"/>
    <col min="3" max="3" width="13" style="240" customWidth="1"/>
    <col min="4" max="4" width="16.25" style="240" bestFit="1" customWidth="1"/>
    <col min="5" max="13" width="7.875" style="240" customWidth="1"/>
    <col min="14" max="14" width="20.25" style="240" bestFit="1" customWidth="1"/>
    <col min="15" max="15" width="5.5" style="240" customWidth="1"/>
    <col min="16" max="16" width="7.25" style="240" customWidth="1"/>
    <col min="17" max="17" width="12.125" style="240" bestFit="1" customWidth="1"/>
    <col min="18" max="18" width="12.625" style="240" bestFit="1" customWidth="1"/>
    <col min="19" max="19" width="6.625" style="240" bestFit="1" customWidth="1"/>
    <col min="20" max="20" width="7.75" style="240" bestFit="1" customWidth="1"/>
    <col min="21" max="21" width="7.125" style="240" bestFit="1" customWidth="1"/>
    <col min="22" max="22" width="7.75" style="240" bestFit="1" customWidth="1"/>
    <col min="23" max="24" width="6.75" style="240" bestFit="1" customWidth="1"/>
    <col min="25" max="25" width="7.25" style="240" bestFit="1" customWidth="1"/>
    <col min="26" max="26" width="10.25" style="240" bestFit="1" customWidth="1"/>
    <col min="27" max="27" width="16.125" style="240" customWidth="1"/>
    <col min="28" max="16384" width="9" style="240"/>
  </cols>
  <sheetData>
    <row r="2" spans="2:27">
      <c r="B2" s="239" t="s">
        <v>532</v>
      </c>
      <c r="C2" s="239"/>
    </row>
    <row r="3" spans="2:27">
      <c r="B3" s="241" t="s">
        <v>533</v>
      </c>
      <c r="C3" s="241"/>
    </row>
    <row r="4" spans="2:27">
      <c r="B4" s="241"/>
      <c r="C4" s="241"/>
    </row>
    <row r="5" spans="2:27" ht="17.25" thickBot="1">
      <c r="B5" s="241" t="s">
        <v>534</v>
      </c>
      <c r="C5" s="241"/>
      <c r="P5" s="240" t="s">
        <v>535</v>
      </c>
    </row>
    <row r="6" spans="2:27" ht="36.75" customHeight="1" thickBot="1">
      <c r="B6" s="242" t="s">
        <v>11</v>
      </c>
      <c r="C6" s="243" t="s">
        <v>536</v>
      </c>
      <c r="D6" s="244" t="s">
        <v>0</v>
      </c>
      <c r="E6" s="244" t="s">
        <v>1</v>
      </c>
      <c r="F6" s="244" t="s">
        <v>2</v>
      </c>
      <c r="G6" s="244" t="s">
        <v>3</v>
      </c>
      <c r="H6" s="244" t="s">
        <v>4</v>
      </c>
      <c r="I6" s="244" t="s">
        <v>5</v>
      </c>
      <c r="J6" s="244" t="s">
        <v>6</v>
      </c>
      <c r="K6" s="245" t="s">
        <v>7</v>
      </c>
      <c r="L6" s="246" t="s">
        <v>8</v>
      </c>
      <c r="M6" s="247" t="s">
        <v>261</v>
      </c>
      <c r="N6" s="248" t="s">
        <v>453</v>
      </c>
      <c r="P6" s="249" t="s">
        <v>11</v>
      </c>
      <c r="Q6" s="250" t="s">
        <v>0</v>
      </c>
      <c r="R6" s="250" t="s">
        <v>1</v>
      </c>
      <c r="S6" s="250" t="s">
        <v>162</v>
      </c>
      <c r="T6" s="394" t="s">
        <v>3</v>
      </c>
      <c r="U6" s="250" t="s">
        <v>4</v>
      </c>
      <c r="V6" s="250" t="s">
        <v>5</v>
      </c>
      <c r="W6" s="250" t="s">
        <v>163</v>
      </c>
      <c r="X6" s="251" t="s">
        <v>7</v>
      </c>
      <c r="Y6" s="252" t="s">
        <v>8</v>
      </c>
      <c r="Z6" s="395" t="s">
        <v>537</v>
      </c>
      <c r="AA6" s="254" t="s">
        <v>273</v>
      </c>
    </row>
    <row r="7" spans="2:27">
      <c r="B7" s="669">
        <v>1</v>
      </c>
      <c r="C7" s="658" t="s">
        <v>350</v>
      </c>
      <c r="D7" s="256" t="s">
        <v>272</v>
      </c>
      <c r="E7" s="257" t="s">
        <v>246</v>
      </c>
      <c r="F7" s="258">
        <v>3.8940000000000001</v>
      </c>
      <c r="G7" s="258">
        <v>4.4690000000000003</v>
      </c>
      <c r="H7" s="258">
        <v>3.6054870000000001</v>
      </c>
      <c r="I7" s="272">
        <v>5.5975760000000001</v>
      </c>
      <c r="J7" s="259">
        <v>0.13819999999999999</v>
      </c>
      <c r="K7" s="259">
        <v>9.8599999999999993E-2</v>
      </c>
      <c r="L7" s="258">
        <v>45.324544000000003</v>
      </c>
      <c r="M7" s="260">
        <v>91.3</v>
      </c>
      <c r="N7" s="261"/>
      <c r="P7" s="645">
        <f>IF(B7="","",B7)</f>
        <v>1</v>
      </c>
      <c r="Q7" s="647" t="str">
        <f>IFERROR(IF(D8="","",D8),"")</f>
        <v>101G16005</v>
      </c>
      <c r="R7" s="647" t="str">
        <f>IFERROR(IF(B7="","","Ref. 대비 차이"),"")</f>
        <v>Ref. 대비 차이</v>
      </c>
      <c r="S7" s="649">
        <f t="shared" ref="S7:Y7" si="0">IFERROR(IF(1-(F7/F8)="","",1-(F7/F8)),"")</f>
        <v>-9.0697071780254657E-3</v>
      </c>
      <c r="T7" s="699">
        <f t="shared" si="0"/>
        <v>-4.8568747067104789E-2</v>
      </c>
      <c r="U7" s="649">
        <f t="shared" si="0"/>
        <v>-3.9144068456077985E-2</v>
      </c>
      <c r="V7" s="649">
        <f t="shared" si="0"/>
        <v>-4.8436058068802357E-2</v>
      </c>
      <c r="W7" s="649">
        <f t="shared" si="0"/>
        <v>4.3227665706052631E-3</v>
      </c>
      <c r="X7" s="649">
        <f t="shared" si="0"/>
        <v>-2.0325203252031798E-3</v>
      </c>
      <c r="Y7" s="649">
        <f t="shared" si="0"/>
        <v>-4.6441844907192831E-2</v>
      </c>
      <c r="Z7" s="699">
        <f>IFERROR(IF(1-(M7/M8)="","",1-(M7/M8)),"")</f>
        <v>4.362050163576936E-3</v>
      </c>
      <c r="AA7" s="654" t="s">
        <v>275</v>
      </c>
    </row>
    <row r="8" spans="2:27" ht="17.25" outlineLevel="1" thickBot="1">
      <c r="B8" s="670"/>
      <c r="C8" s="660"/>
      <c r="D8" s="263" t="s">
        <v>255</v>
      </c>
      <c r="E8" s="264" t="s">
        <v>243</v>
      </c>
      <c r="F8" s="265">
        <v>3.859</v>
      </c>
      <c r="G8" s="265">
        <v>4.2619999999999996</v>
      </c>
      <c r="H8" s="265">
        <v>3.4696699999999998</v>
      </c>
      <c r="I8" s="278">
        <v>5.3389769999999999</v>
      </c>
      <c r="J8" s="266">
        <v>0.13880000000000001</v>
      </c>
      <c r="K8" s="266">
        <v>9.8400000000000001E-2</v>
      </c>
      <c r="L8" s="265">
        <v>43.313008000000004</v>
      </c>
      <c r="M8" s="267">
        <v>91.7</v>
      </c>
      <c r="N8" s="268"/>
      <c r="P8" s="646"/>
      <c r="Q8" s="648"/>
      <c r="R8" s="648"/>
      <c r="S8" s="650"/>
      <c r="T8" s="700"/>
      <c r="U8" s="650"/>
      <c r="V8" s="650"/>
      <c r="W8" s="650"/>
      <c r="X8" s="650"/>
      <c r="Y8" s="650"/>
      <c r="Z8" s="700"/>
      <c r="AA8" s="655"/>
    </row>
    <row r="9" spans="2:27">
      <c r="B9" s="669">
        <v>2</v>
      </c>
      <c r="C9" s="658" t="s">
        <v>350</v>
      </c>
      <c r="D9" s="256" t="s">
        <v>205</v>
      </c>
      <c r="E9" s="257" t="s">
        <v>246</v>
      </c>
      <c r="F9" s="258">
        <v>3.8940000000000001</v>
      </c>
      <c r="G9" s="258">
        <v>4.4690000000000003</v>
      </c>
      <c r="H9" s="258">
        <v>3.6054870000000001</v>
      </c>
      <c r="I9" s="272">
        <v>5.5975760000000001</v>
      </c>
      <c r="J9" s="259">
        <v>0.13819999999999999</v>
      </c>
      <c r="K9" s="259">
        <v>9.8599999999999993E-2</v>
      </c>
      <c r="L9" s="258">
        <v>45.324544000000003</v>
      </c>
      <c r="M9" s="260">
        <v>75.099999999999994</v>
      </c>
      <c r="N9" s="261"/>
      <c r="P9" s="645">
        <f>IF(B9="","",B9)</f>
        <v>2</v>
      </c>
      <c r="Q9" s="647" t="str">
        <f>IFERROR(IF(D10="","",D10),"")</f>
        <v>101G16007</v>
      </c>
      <c r="R9" s="647" t="str">
        <f>IFERROR(IF(B9="","","Ref. 대비 차이"),"")</f>
        <v>Ref. 대비 차이</v>
      </c>
      <c r="S9" s="649">
        <f t="shared" ref="S9:Z9" si="1">IFERROR(IF(1-(F9/F10)="","",1-(F9/F10)),"")</f>
        <v>-3.3496521515075095E-3</v>
      </c>
      <c r="T9" s="699">
        <f t="shared" si="1"/>
        <v>7.9911209766925229E-3</v>
      </c>
      <c r="U9" s="649">
        <f t="shared" si="1"/>
        <v>1.1302806231927143E-2</v>
      </c>
      <c r="V9" s="649">
        <f t="shared" si="1"/>
        <v>9.818539660054415E-3</v>
      </c>
      <c r="W9" s="649">
        <f t="shared" si="1"/>
        <v>0</v>
      </c>
      <c r="X9" s="649">
        <f t="shared" si="1"/>
        <v>-1.0152284263957867E-3</v>
      </c>
      <c r="Y9" s="649">
        <f t="shared" si="1"/>
        <v>8.9972151284366531E-3</v>
      </c>
      <c r="Z9" s="699">
        <f t="shared" si="1"/>
        <v>-2.6702269692921998E-3</v>
      </c>
      <c r="AA9" s="654" t="s">
        <v>274</v>
      </c>
    </row>
    <row r="10" spans="2:27" ht="17.25" outlineLevel="1" thickBot="1">
      <c r="B10" s="670"/>
      <c r="C10" s="660"/>
      <c r="D10" s="240" t="s">
        <v>257</v>
      </c>
      <c r="E10" s="264" t="s">
        <v>249</v>
      </c>
      <c r="F10" s="265">
        <v>3.8809999999999998</v>
      </c>
      <c r="G10" s="265">
        <v>4.5049999999999999</v>
      </c>
      <c r="H10" s="265">
        <v>3.6467049999999999</v>
      </c>
      <c r="I10" s="278">
        <v>5.6530810000000002</v>
      </c>
      <c r="J10" s="266">
        <v>0.13819999999999999</v>
      </c>
      <c r="K10" s="266">
        <v>9.8500000000000004E-2</v>
      </c>
      <c r="L10" s="265">
        <v>45.736041</v>
      </c>
      <c r="M10" s="267">
        <v>74.900000000000006</v>
      </c>
      <c r="N10" s="268"/>
      <c r="P10" s="646"/>
      <c r="Q10" s="648"/>
      <c r="R10" s="648"/>
      <c r="S10" s="650"/>
      <c r="T10" s="700"/>
      <c r="U10" s="650"/>
      <c r="V10" s="650"/>
      <c r="W10" s="650"/>
      <c r="X10" s="650"/>
      <c r="Y10" s="650"/>
      <c r="Z10" s="700"/>
      <c r="AA10" s="655"/>
    </row>
    <row r="11" spans="2:27">
      <c r="B11" s="669">
        <v>3</v>
      </c>
      <c r="C11" s="658" t="s">
        <v>350</v>
      </c>
      <c r="D11" s="270" t="s">
        <v>205</v>
      </c>
      <c r="E11" s="271" t="s">
        <v>246</v>
      </c>
      <c r="F11" s="272">
        <v>3.8940000000000001</v>
      </c>
      <c r="G11" s="272">
        <v>4.4690000000000003</v>
      </c>
      <c r="H11" s="272">
        <v>3.6054870000000001</v>
      </c>
      <c r="I11" s="272">
        <v>5.5975760000000001</v>
      </c>
      <c r="J11" s="273">
        <v>0.13819999999999999</v>
      </c>
      <c r="K11" s="273">
        <v>9.8599999999999993E-2</v>
      </c>
      <c r="L11" s="272">
        <v>45.324544000000003</v>
      </c>
      <c r="M11" s="274">
        <v>75.099999999999994</v>
      </c>
      <c r="N11" s="275"/>
      <c r="P11" s="645">
        <f>IF(B11="","",B11)</f>
        <v>3</v>
      </c>
      <c r="Q11" s="647" t="str">
        <f>IFERROR(IF(D12="","",D12),"")</f>
        <v>101G16008</v>
      </c>
      <c r="R11" s="647" t="str">
        <f>IFERROR(IF(B11="","","Ref. 대비 차이"),"")</f>
        <v>Ref. 대비 차이</v>
      </c>
      <c r="S11" s="649">
        <f t="shared" ref="S11:Y11" si="2">IFERROR(IF(1-(F11/F12)="","",1-(F11/F12)),"")</f>
        <v>-1.0641058915131119E-2</v>
      </c>
      <c r="T11" s="699">
        <f t="shared" si="2"/>
        <v>-1.2460353420933545E-2</v>
      </c>
      <c r="U11" s="649">
        <f t="shared" si="2"/>
        <v>-1.800218282371091E-3</v>
      </c>
      <c r="V11" s="649">
        <f t="shared" si="2"/>
        <v>-1.0249813022850107E-2</v>
      </c>
      <c r="W11" s="649">
        <f t="shared" si="2"/>
        <v>3.6049026676280294E-3</v>
      </c>
      <c r="X11" s="649">
        <f t="shared" si="2"/>
        <v>-4.0733197556008793E-3</v>
      </c>
      <c r="Y11" s="649">
        <f t="shared" si="2"/>
        <v>-8.3530067042079104E-3</v>
      </c>
      <c r="Z11" s="699">
        <f>IFERROR(IF(1-(M11/M12)="","",1-(M11/M12)),"")</f>
        <v>-4.88826815642458E-2</v>
      </c>
      <c r="AA11" s="654" t="s">
        <v>274</v>
      </c>
    </row>
    <row r="12" spans="2:27" ht="17.25" outlineLevel="1" thickBot="1">
      <c r="B12" s="670"/>
      <c r="C12" s="660"/>
      <c r="D12" s="240" t="s">
        <v>259</v>
      </c>
      <c r="E12" s="277" t="s">
        <v>252</v>
      </c>
      <c r="F12" s="278">
        <v>3.8530000000000002</v>
      </c>
      <c r="G12" s="278">
        <v>4.4139999999999997</v>
      </c>
      <c r="H12" s="278">
        <v>3.599008</v>
      </c>
      <c r="I12" s="278">
        <v>5.5407840000000004</v>
      </c>
      <c r="J12" s="279">
        <v>0.13869999999999999</v>
      </c>
      <c r="K12" s="279">
        <v>9.8199999999999996E-2</v>
      </c>
      <c r="L12" s="278">
        <v>44.949083999999999</v>
      </c>
      <c r="M12" s="280">
        <v>71.599999999999994</v>
      </c>
      <c r="N12" s="281"/>
      <c r="P12" s="646"/>
      <c r="Q12" s="648"/>
      <c r="R12" s="648"/>
      <c r="S12" s="650"/>
      <c r="T12" s="700"/>
      <c r="U12" s="650"/>
      <c r="V12" s="650"/>
      <c r="W12" s="650"/>
      <c r="X12" s="650"/>
      <c r="Y12" s="650"/>
      <c r="Z12" s="700"/>
      <c r="AA12" s="655"/>
    </row>
    <row r="13" spans="2:27">
      <c r="B13" s="669">
        <v>4</v>
      </c>
      <c r="C13" s="658" t="s">
        <v>271</v>
      </c>
      <c r="D13" s="270" t="s">
        <v>205</v>
      </c>
      <c r="E13" s="271" t="s">
        <v>244</v>
      </c>
      <c r="F13" s="272">
        <v>3.84</v>
      </c>
      <c r="G13" s="272">
        <v>4.4340000000000002</v>
      </c>
      <c r="H13" s="272">
        <v>3.6275550000000001</v>
      </c>
      <c r="I13" s="272">
        <v>5.6324199999999998</v>
      </c>
      <c r="J13" s="273">
        <v>0.1384</v>
      </c>
      <c r="K13" s="273">
        <v>9.7000000000000003E-2</v>
      </c>
      <c r="L13" s="272">
        <v>45.71134</v>
      </c>
      <c r="M13" s="274">
        <v>159.80000000000001</v>
      </c>
      <c r="N13" s="275"/>
      <c r="P13" s="645">
        <f>IF(B13="","",B13)</f>
        <v>4</v>
      </c>
      <c r="Q13" s="647" t="str">
        <f>IFERROR(IF(D14="","",D14),"")</f>
        <v>101G16002</v>
      </c>
      <c r="R13" s="647" t="str">
        <f>IFERROR(IF(B13="","","Ref. 대비 차이"),"")</f>
        <v>Ref. 대비 차이</v>
      </c>
      <c r="S13" s="649">
        <f t="shared" ref="S13:Z13" si="3">IFERROR(IF(1-(F13/F14)="","",1-(F13/F14)),"")</f>
        <v>-2.6109660574411553E-3</v>
      </c>
      <c r="T13" s="699">
        <f t="shared" si="3"/>
        <v>-3.2363213038416827E-2</v>
      </c>
      <c r="U13" s="649">
        <f t="shared" si="3"/>
        <v>-2.9674908671845968E-2</v>
      </c>
      <c r="V13" s="649">
        <f t="shared" si="3"/>
        <v>-3.3624232570131918E-2</v>
      </c>
      <c r="W13" s="649">
        <f t="shared" si="3"/>
        <v>4.3165467625900789E-3</v>
      </c>
      <c r="X13" s="649">
        <f t="shared" si="3"/>
        <v>-3.1023784901758056E-3</v>
      </c>
      <c r="Y13" s="649">
        <f t="shared" si="3"/>
        <v>-2.9170325937986075E-2</v>
      </c>
      <c r="Z13" s="699">
        <f t="shared" si="3"/>
        <v>4.9431919576467753E-2</v>
      </c>
      <c r="AA13" s="654"/>
    </row>
    <row r="14" spans="2:27" ht="17.25" thickBot="1">
      <c r="B14" s="670"/>
      <c r="C14" s="660"/>
      <c r="D14" s="282" t="s">
        <v>264</v>
      </c>
      <c r="E14" s="277" t="s">
        <v>213</v>
      </c>
      <c r="F14" s="278">
        <v>3.83</v>
      </c>
      <c r="G14" s="278">
        <v>4.2949999999999999</v>
      </c>
      <c r="H14" s="278">
        <v>3.5230100000000002</v>
      </c>
      <c r="I14" s="278">
        <v>5.4491949999999996</v>
      </c>
      <c r="J14" s="279">
        <v>0.13900000000000001</v>
      </c>
      <c r="K14" s="279">
        <v>9.6699999999999994E-2</v>
      </c>
      <c r="L14" s="278">
        <v>44.415719000000003</v>
      </c>
      <c r="M14" s="280">
        <v>168.11</v>
      </c>
      <c r="N14" s="281"/>
      <c r="P14" s="646"/>
      <c r="Q14" s="648"/>
      <c r="R14" s="648"/>
      <c r="S14" s="650"/>
      <c r="T14" s="700"/>
      <c r="U14" s="650"/>
      <c r="V14" s="650"/>
      <c r="W14" s="650"/>
      <c r="X14" s="650"/>
      <c r="Y14" s="650"/>
      <c r="Z14" s="700"/>
      <c r="AA14" s="655"/>
    </row>
    <row r="15" spans="2:27">
      <c r="B15" s="669">
        <v>5</v>
      </c>
      <c r="C15" s="658" t="s">
        <v>277</v>
      </c>
      <c r="D15" s="270" t="s">
        <v>205</v>
      </c>
      <c r="E15" s="271" t="s">
        <v>244</v>
      </c>
      <c r="F15" s="272">
        <v>3.84</v>
      </c>
      <c r="G15" s="272">
        <v>4.4340000000000002</v>
      </c>
      <c r="H15" s="272">
        <v>3.6275550000000001</v>
      </c>
      <c r="I15" s="272">
        <v>5.6324199999999998</v>
      </c>
      <c r="J15" s="273">
        <v>0.1384</v>
      </c>
      <c r="K15" s="273">
        <v>9.7000000000000003E-2</v>
      </c>
      <c r="L15" s="272">
        <v>45.71134</v>
      </c>
      <c r="M15" s="274">
        <v>159.80000000000001</v>
      </c>
      <c r="N15" s="275"/>
      <c r="P15" s="645">
        <f>IF(B15="","",B15)</f>
        <v>5</v>
      </c>
      <c r="Q15" s="647" t="str">
        <f>IFERROR(IF(D16="","",D16),"")</f>
        <v>101G16003</v>
      </c>
      <c r="R15" s="647" t="str">
        <f>IFERROR(IF(B15="","","Ref. 대비 차이"),"")</f>
        <v>Ref. 대비 차이</v>
      </c>
      <c r="S15" s="649">
        <f t="shared" ref="S15:Z15" si="4">IFERROR(IF(1-(F15/F16)="","",1-(F15/F16)),"")</f>
        <v>-2.3492560689115649E-3</v>
      </c>
      <c r="T15" s="699">
        <f t="shared" si="4"/>
        <v>-3.3325565136331781E-2</v>
      </c>
      <c r="U15" s="649">
        <f t="shared" si="4"/>
        <v>-3.0903913538951944E-2</v>
      </c>
      <c r="V15" s="649">
        <f t="shared" si="4"/>
        <v>-3.5843927321252078E-2</v>
      </c>
      <c r="W15" s="649">
        <f t="shared" si="4"/>
        <v>4.3165467625900789E-3</v>
      </c>
      <c r="X15" s="649">
        <f t="shared" si="4"/>
        <v>-2.0661157024794985E-3</v>
      </c>
      <c r="Y15" s="649">
        <f t="shared" si="4"/>
        <v>-3.1195001537610789E-2</v>
      </c>
      <c r="Z15" s="699">
        <f t="shared" si="4"/>
        <v>4.372075209747095E-2</v>
      </c>
      <c r="AA15" s="654"/>
    </row>
    <row r="16" spans="2:27" ht="17.25" thickBot="1">
      <c r="B16" s="670"/>
      <c r="C16" s="660"/>
      <c r="D16" s="282" t="s">
        <v>266</v>
      </c>
      <c r="E16" s="277" t="s">
        <v>241</v>
      </c>
      <c r="F16" s="278">
        <v>3.831</v>
      </c>
      <c r="G16" s="278">
        <v>4.2910000000000004</v>
      </c>
      <c r="H16" s="278">
        <v>3.5188100000000002</v>
      </c>
      <c r="I16" s="278">
        <v>5.4375179999999999</v>
      </c>
      <c r="J16" s="279">
        <v>0.13900000000000001</v>
      </c>
      <c r="K16" s="279">
        <v>9.6799999999999997E-2</v>
      </c>
      <c r="L16" s="278">
        <v>44.328512000000003</v>
      </c>
      <c r="M16" s="280">
        <v>167.10599999999999</v>
      </c>
      <c r="N16" s="281"/>
      <c r="P16" s="646"/>
      <c r="Q16" s="648"/>
      <c r="R16" s="648"/>
      <c r="S16" s="650"/>
      <c r="T16" s="700"/>
      <c r="U16" s="650"/>
      <c r="V16" s="650"/>
      <c r="W16" s="650"/>
      <c r="X16" s="650"/>
      <c r="Y16" s="650"/>
      <c r="Z16" s="700"/>
      <c r="AA16" s="655"/>
    </row>
    <row r="17" spans="2:27">
      <c r="B17" s="669">
        <v>6</v>
      </c>
      <c r="C17" s="658" t="s">
        <v>270</v>
      </c>
      <c r="D17" s="270" t="s">
        <v>205</v>
      </c>
      <c r="E17" s="271" t="s">
        <v>244</v>
      </c>
      <c r="F17" s="272">
        <v>3.84</v>
      </c>
      <c r="G17" s="272">
        <v>4.4340000000000002</v>
      </c>
      <c r="H17" s="272">
        <v>3.6275550000000001</v>
      </c>
      <c r="I17" s="272">
        <v>5.6324199999999998</v>
      </c>
      <c r="J17" s="273">
        <v>0.1384</v>
      </c>
      <c r="K17" s="273">
        <v>9.7000000000000003E-2</v>
      </c>
      <c r="L17" s="272">
        <v>45.71134</v>
      </c>
      <c r="M17" s="274">
        <v>159.80000000000001</v>
      </c>
      <c r="N17" s="275"/>
      <c r="P17" s="645">
        <f>IF(B17="","",B17)</f>
        <v>6</v>
      </c>
      <c r="Q17" s="647" t="str">
        <f>IFERROR(IF(D18="","",D18),"")</f>
        <v>101G16004</v>
      </c>
      <c r="R17" s="647" t="str">
        <f>IFERROR(IF(B17="","","Ref. 대비 차이"),"")</f>
        <v>Ref. 대비 차이</v>
      </c>
      <c r="S17" s="649">
        <f t="shared" ref="S17:Z17" si="5">IFERROR(IF(1-(F17/F18)="","",1-(F17/F18)),"")</f>
        <v>1.0405827263267886E-3</v>
      </c>
      <c r="T17" s="699">
        <f t="shared" si="5"/>
        <v>-1.1174458380843966E-2</v>
      </c>
      <c r="U17" s="649">
        <f t="shared" si="5"/>
        <v>-1.2227749046106684E-2</v>
      </c>
      <c r="V17" s="649">
        <f t="shared" si="5"/>
        <v>-1.1772656260244707E-2</v>
      </c>
      <c r="W17" s="649">
        <f t="shared" si="5"/>
        <v>5.0323508267433592E-3</v>
      </c>
      <c r="X17" s="649">
        <f t="shared" si="5"/>
        <v>-5.1813471502590858E-3</v>
      </c>
      <c r="Y17" s="649">
        <f t="shared" si="5"/>
        <v>-5.9622034701927173E-3</v>
      </c>
      <c r="Z17" s="699">
        <f t="shared" si="5"/>
        <v>4.3783696452186049E-2</v>
      </c>
      <c r="AA17" s="654"/>
    </row>
    <row r="18" spans="2:27" ht="17.25" thickBot="1">
      <c r="B18" s="670"/>
      <c r="C18" s="660"/>
      <c r="D18" s="282" t="s">
        <v>267</v>
      </c>
      <c r="E18" s="277" t="s">
        <v>250</v>
      </c>
      <c r="F18" s="278">
        <v>3.8439999999999999</v>
      </c>
      <c r="G18" s="278">
        <v>4.3849999999999998</v>
      </c>
      <c r="H18" s="278">
        <v>3.5837340000000002</v>
      </c>
      <c r="I18" s="278">
        <v>5.5668829999999998</v>
      </c>
      <c r="J18" s="279">
        <v>0.1391</v>
      </c>
      <c r="K18" s="279">
        <v>9.6500000000000002E-2</v>
      </c>
      <c r="L18" s="278">
        <v>45.440415000000002</v>
      </c>
      <c r="M18" s="280">
        <v>167.11699999999999</v>
      </c>
      <c r="N18" s="281"/>
      <c r="P18" s="646"/>
      <c r="Q18" s="648"/>
      <c r="R18" s="648"/>
      <c r="S18" s="650"/>
      <c r="T18" s="700"/>
      <c r="U18" s="650"/>
      <c r="V18" s="650"/>
      <c r="W18" s="650"/>
      <c r="X18" s="650"/>
      <c r="Y18" s="650"/>
      <c r="Z18" s="700"/>
      <c r="AA18" s="655"/>
    </row>
    <row r="19" spans="2:27">
      <c r="B19" s="669">
        <v>7</v>
      </c>
      <c r="C19" s="658" t="s">
        <v>287</v>
      </c>
      <c r="D19" s="270" t="s">
        <v>205</v>
      </c>
      <c r="E19" s="271" t="s">
        <v>246</v>
      </c>
      <c r="F19" s="272">
        <v>3.6890000000000001</v>
      </c>
      <c r="G19" s="272">
        <v>4.2169999999999996</v>
      </c>
      <c r="H19" s="272">
        <v>3.59124</v>
      </c>
      <c r="I19" s="272">
        <v>5.2448309999999996</v>
      </c>
      <c r="J19" s="273">
        <v>0.14030000000000001</v>
      </c>
      <c r="K19" s="273">
        <v>9.8400000000000001E-2</v>
      </c>
      <c r="L19" s="272">
        <v>42.855691</v>
      </c>
      <c r="M19" s="274">
        <v>126.40900000000001</v>
      </c>
      <c r="N19" s="275"/>
      <c r="P19" s="645">
        <f>IF(B19="","",B19)</f>
        <v>7</v>
      </c>
      <c r="Q19" s="647" t="str">
        <f>IFERROR(IF(D20="","",D20),"")</f>
        <v>101G16001</v>
      </c>
      <c r="R19" s="647" t="str">
        <f>IFERROR(IF(B19="","","Ref. 대비 차이"),"")</f>
        <v>Ref. 대비 차이</v>
      </c>
      <c r="S19" s="649">
        <f t="shared" ref="S19:Z19" si="6">IFERROR(IF(1-(F19/F20)="","",1-(F19/F20)),"")</f>
        <v>1.0831302464121562E-3</v>
      </c>
      <c r="T19" s="699">
        <f t="shared" si="6"/>
        <v>7.0638097480575368E-3</v>
      </c>
      <c r="U19" s="649">
        <f t="shared" si="6"/>
        <v>5.9872051894462874E-3</v>
      </c>
      <c r="V19" s="649">
        <f t="shared" si="6"/>
        <v>-2.1949636790548066E-3</v>
      </c>
      <c r="W19" s="649">
        <f t="shared" si="6"/>
        <v>1.42348754448407E-3</v>
      </c>
      <c r="X19" s="649">
        <f t="shared" si="6"/>
        <v>1.0060362173038184E-2</v>
      </c>
      <c r="Y19" s="649">
        <f t="shared" si="6"/>
        <v>-3.0270073569107492E-3</v>
      </c>
      <c r="Z19" s="699">
        <f t="shared" si="6"/>
        <v>-6.3769823578117002E-3</v>
      </c>
      <c r="AA19" s="654"/>
    </row>
    <row r="20" spans="2:27" ht="17.25" thickBot="1">
      <c r="B20" s="670"/>
      <c r="C20" s="660"/>
      <c r="D20" s="282" t="s">
        <v>282</v>
      </c>
      <c r="E20" s="277" t="s">
        <v>218</v>
      </c>
      <c r="F20" s="278">
        <v>3.6930000000000001</v>
      </c>
      <c r="G20" s="278">
        <v>4.2469999999999999</v>
      </c>
      <c r="H20" s="278">
        <v>3.6128710000000002</v>
      </c>
      <c r="I20" s="278">
        <v>5.2333439999999998</v>
      </c>
      <c r="J20" s="279">
        <v>0.14050000000000001</v>
      </c>
      <c r="K20" s="279">
        <v>9.9400000000000002E-2</v>
      </c>
      <c r="L20" s="278">
        <v>42.726357999999998</v>
      </c>
      <c r="M20" s="280">
        <v>125.608</v>
      </c>
      <c r="N20" s="281"/>
      <c r="P20" s="646"/>
      <c r="Q20" s="648"/>
      <c r="R20" s="648"/>
      <c r="S20" s="650"/>
      <c r="T20" s="700"/>
      <c r="U20" s="650"/>
      <c r="V20" s="650"/>
      <c r="W20" s="650"/>
      <c r="X20" s="650"/>
      <c r="Y20" s="650"/>
      <c r="Z20" s="700"/>
      <c r="AA20" s="655"/>
    </row>
    <row r="21" spans="2:27">
      <c r="B21" s="669">
        <v>8</v>
      </c>
      <c r="C21" s="658" t="s">
        <v>288</v>
      </c>
      <c r="D21" s="270" t="s">
        <v>205</v>
      </c>
      <c r="E21" s="271" t="s">
        <v>246</v>
      </c>
      <c r="F21" s="272">
        <v>3.778</v>
      </c>
      <c r="G21" s="272">
        <v>4.2370000000000001</v>
      </c>
      <c r="H21" s="272">
        <v>3.5232709999999998</v>
      </c>
      <c r="I21" s="272">
        <v>5.2589129999999997</v>
      </c>
      <c r="J21" s="273">
        <v>0.14019999999999999</v>
      </c>
      <c r="K21" s="273">
        <v>9.8699999999999996E-2</v>
      </c>
      <c r="L21" s="272">
        <v>42.928064999999997</v>
      </c>
      <c r="M21" s="274">
        <v>126.40900000000001</v>
      </c>
      <c r="N21" s="275"/>
      <c r="P21" s="645">
        <f>IF(B21="","",B21)</f>
        <v>8</v>
      </c>
      <c r="Q21" s="647" t="str">
        <f>IFERROR(IF(D22="","",D22),"")</f>
        <v>101G17001</v>
      </c>
      <c r="R21" s="647" t="str">
        <f>IFERROR(IF(B21="","","Ref. 대비 차이"),"")</f>
        <v>Ref. 대비 차이</v>
      </c>
      <c r="S21" s="649">
        <f t="shared" ref="S21:Z21" si="7">IFERROR(IF(1-(F21/F22)="","",1-(F21/F22)),"")</f>
        <v>1.5856236786468969E-3</v>
      </c>
      <c r="T21" s="699">
        <f t="shared" si="7"/>
        <v>1.8303985171455039E-2</v>
      </c>
      <c r="U21" s="649">
        <f t="shared" si="7"/>
        <v>1.6744751724122597E-2</v>
      </c>
      <c r="V21" s="649">
        <f t="shared" si="7"/>
        <v>1.6528172941304486E-2</v>
      </c>
      <c r="W21" s="649">
        <f t="shared" si="7"/>
        <v>7.1275837491102667E-4</v>
      </c>
      <c r="X21" s="649">
        <f t="shared" si="7"/>
        <v>4.0363269424823489E-3</v>
      </c>
      <c r="Y21" s="649">
        <f t="shared" si="7"/>
        <v>1.432548352350016E-2</v>
      </c>
      <c r="Z21" s="699">
        <f t="shared" si="7"/>
        <v>-6.3769823578117002E-3</v>
      </c>
      <c r="AA21" s="654"/>
    </row>
    <row r="22" spans="2:27" ht="17.25" thickBot="1">
      <c r="B22" s="670"/>
      <c r="C22" s="660"/>
      <c r="D22" s="282" t="s">
        <v>283</v>
      </c>
      <c r="E22" s="277" t="s">
        <v>243</v>
      </c>
      <c r="F22" s="278">
        <v>3.7839999999999998</v>
      </c>
      <c r="G22" s="278">
        <v>4.3159999999999998</v>
      </c>
      <c r="H22" s="278">
        <v>3.583272</v>
      </c>
      <c r="I22" s="278">
        <v>5.3472939999999998</v>
      </c>
      <c r="J22" s="279">
        <v>0.14030000000000001</v>
      </c>
      <c r="K22" s="279">
        <v>9.9099999999999994E-2</v>
      </c>
      <c r="L22" s="278">
        <v>43.551968000000002</v>
      </c>
      <c r="M22" s="280">
        <v>125.608</v>
      </c>
      <c r="N22" s="281"/>
      <c r="P22" s="646"/>
      <c r="Q22" s="648"/>
      <c r="R22" s="648"/>
      <c r="S22" s="650"/>
      <c r="T22" s="700"/>
      <c r="U22" s="650"/>
      <c r="V22" s="650"/>
      <c r="W22" s="650"/>
      <c r="X22" s="650"/>
      <c r="Y22" s="650"/>
      <c r="Z22" s="700"/>
      <c r="AA22" s="655"/>
    </row>
    <row r="23" spans="2:27">
      <c r="B23" s="669">
        <v>9</v>
      </c>
      <c r="C23" s="658" t="s">
        <v>288</v>
      </c>
      <c r="D23" s="270" t="s">
        <v>205</v>
      </c>
      <c r="E23" s="271" t="s">
        <v>246</v>
      </c>
      <c r="F23" s="272">
        <v>3.778</v>
      </c>
      <c r="G23" s="272">
        <v>4.2370000000000001</v>
      </c>
      <c r="H23" s="272">
        <v>3.5232709999999998</v>
      </c>
      <c r="I23" s="272">
        <v>5.2589129999999997</v>
      </c>
      <c r="J23" s="273">
        <v>0.14019999999999999</v>
      </c>
      <c r="K23" s="273">
        <v>9.8699999999999996E-2</v>
      </c>
      <c r="L23" s="272">
        <v>42.928064999999997</v>
      </c>
      <c r="M23" s="274">
        <v>126.40900000000001</v>
      </c>
      <c r="N23" s="275"/>
      <c r="P23" s="645">
        <f>IF(B23="","",B23)</f>
        <v>9</v>
      </c>
      <c r="Q23" s="647" t="str">
        <f>IFERROR(IF(D24="","",D24),"")</f>
        <v>101G17002</v>
      </c>
      <c r="R23" s="647" t="str">
        <f>IFERROR(IF(B23="","","Ref. 대비 차이"),"")</f>
        <v>Ref. 대비 차이</v>
      </c>
      <c r="S23" s="649">
        <f t="shared" ref="S23:Z23" si="8">IFERROR(IF(1-(F23/F24)="","",1-(F23/F24)),"")</f>
        <v>-1.3252054068380037E-3</v>
      </c>
      <c r="T23" s="699">
        <f t="shared" si="8"/>
        <v>-1.7286914765906269E-2</v>
      </c>
      <c r="U23" s="649">
        <f t="shared" si="8"/>
        <v>-1.5940650330782402E-2</v>
      </c>
      <c r="V23" s="649">
        <f t="shared" si="8"/>
        <v>-2.4040921811750993E-2</v>
      </c>
      <c r="W23" s="649">
        <f t="shared" si="8"/>
        <v>7.1275837491102667E-4</v>
      </c>
      <c r="X23" s="649">
        <f t="shared" si="8"/>
        <v>6.0422960725076136E-3</v>
      </c>
      <c r="Y23" s="649">
        <f t="shared" si="8"/>
        <v>-2.3471039268083915E-2</v>
      </c>
      <c r="Z23" s="699">
        <f t="shared" si="8"/>
        <v>-4.2032808507130426E-2</v>
      </c>
      <c r="AA23" s="654"/>
    </row>
    <row r="24" spans="2:27" ht="17.25" thickBot="1">
      <c r="B24" s="670"/>
      <c r="C24" s="660"/>
      <c r="D24" s="282" t="s">
        <v>284</v>
      </c>
      <c r="E24" s="277" t="s">
        <v>249</v>
      </c>
      <c r="F24" s="278">
        <v>3.7730000000000001</v>
      </c>
      <c r="G24" s="278">
        <v>4.165</v>
      </c>
      <c r="H24" s="278">
        <v>3.4679890000000002</v>
      </c>
      <c r="I24" s="278">
        <v>5.1354519999999999</v>
      </c>
      <c r="J24" s="279">
        <v>0.14030000000000001</v>
      </c>
      <c r="K24" s="279">
        <v>9.9299999999999999E-2</v>
      </c>
      <c r="L24" s="278">
        <v>41.943604999999998</v>
      </c>
      <c r="M24" s="280">
        <v>121.31</v>
      </c>
      <c r="N24" s="281"/>
      <c r="P24" s="646"/>
      <c r="Q24" s="648"/>
      <c r="R24" s="648"/>
      <c r="S24" s="650"/>
      <c r="T24" s="700"/>
      <c r="U24" s="650"/>
      <c r="V24" s="650"/>
      <c r="W24" s="650"/>
      <c r="X24" s="650"/>
      <c r="Y24" s="650"/>
      <c r="Z24" s="700"/>
      <c r="AA24" s="655"/>
    </row>
    <row r="25" spans="2:27">
      <c r="B25" s="669">
        <v>10</v>
      </c>
      <c r="C25" s="658" t="s">
        <v>288</v>
      </c>
      <c r="D25" s="270" t="s">
        <v>290</v>
      </c>
      <c r="E25" s="271" t="s">
        <v>246</v>
      </c>
      <c r="F25" s="272">
        <v>3.778</v>
      </c>
      <c r="G25" s="272">
        <v>4.2370000000000001</v>
      </c>
      <c r="H25" s="272">
        <v>3.5232709999999998</v>
      </c>
      <c r="I25" s="272">
        <v>5.2589129999999997</v>
      </c>
      <c r="J25" s="273">
        <v>0.14019999999999999</v>
      </c>
      <c r="K25" s="273">
        <v>9.8699999999999996E-2</v>
      </c>
      <c r="L25" s="272">
        <v>42.928064999999997</v>
      </c>
      <c r="M25" s="274">
        <v>126.40900000000001</v>
      </c>
      <c r="N25" s="275"/>
      <c r="P25" s="645">
        <f>IF(B25="","",B25)</f>
        <v>10</v>
      </c>
      <c r="Q25" s="647" t="str">
        <f>IFERROR(IF(D26="","",D26),"")</f>
        <v>101G17003</v>
      </c>
      <c r="R25" s="647" t="str">
        <f>IFERROR(IF(B25="","","Ref. 대비 차이"),"")</f>
        <v>Ref. 대비 차이</v>
      </c>
      <c r="S25" s="649">
        <f t="shared" ref="S25:Z25" si="9">IFERROR(IF(1-(F25/F26)="","",1-(F25/F26)),"")</f>
        <v>-2.9200955667640915E-3</v>
      </c>
      <c r="T25" s="699">
        <f t="shared" si="9"/>
        <v>-3.518201807964827E-2</v>
      </c>
      <c r="U25" s="649">
        <f t="shared" si="9"/>
        <v>-3.2168183306937825E-2</v>
      </c>
      <c r="V25" s="649">
        <f t="shared" si="9"/>
        <v>-4.7637726100456135E-2</v>
      </c>
      <c r="W25" s="649">
        <f t="shared" si="9"/>
        <v>2.135231316726105E-3</v>
      </c>
      <c r="X25" s="649">
        <f t="shared" si="9"/>
        <v>1.3000000000000123E-2</v>
      </c>
      <c r="Y25" s="649">
        <f t="shared" si="9"/>
        <v>-4.8816638162716863E-2</v>
      </c>
      <c r="Z25" s="699">
        <f t="shared" si="9"/>
        <v>3.3681152772999989E-2</v>
      </c>
      <c r="AA25" s="654"/>
    </row>
    <row r="26" spans="2:27" ht="17.25" thickBot="1">
      <c r="B26" s="670"/>
      <c r="C26" s="660"/>
      <c r="D26" s="282" t="s">
        <v>285</v>
      </c>
      <c r="E26" s="277" t="s">
        <v>252</v>
      </c>
      <c r="F26" s="278">
        <v>3.7669999999999999</v>
      </c>
      <c r="G26" s="278">
        <v>4.093</v>
      </c>
      <c r="H26" s="278">
        <v>3.4134660000000001</v>
      </c>
      <c r="I26" s="278">
        <v>5.0197820000000002</v>
      </c>
      <c r="J26" s="279">
        <v>0.14050000000000001</v>
      </c>
      <c r="K26" s="279">
        <v>0.1</v>
      </c>
      <c r="L26" s="278">
        <v>40.93</v>
      </c>
      <c r="M26" s="280">
        <v>130.815</v>
      </c>
      <c r="N26" s="281"/>
      <c r="P26" s="646"/>
      <c r="Q26" s="648"/>
      <c r="R26" s="648"/>
      <c r="S26" s="650"/>
      <c r="T26" s="700"/>
      <c r="U26" s="650"/>
      <c r="V26" s="650"/>
      <c r="W26" s="650"/>
      <c r="X26" s="650"/>
      <c r="Y26" s="650"/>
      <c r="Z26" s="700"/>
      <c r="AA26" s="655"/>
    </row>
    <row r="27" spans="2:27">
      <c r="B27" s="669">
        <v>11</v>
      </c>
      <c r="C27" s="658" t="s">
        <v>293</v>
      </c>
      <c r="D27" s="270" t="s">
        <v>205</v>
      </c>
      <c r="E27" s="271" t="s">
        <v>222</v>
      </c>
      <c r="F27" s="272">
        <v>3.7909999999999999</v>
      </c>
      <c r="G27" s="272">
        <v>4.3369999999999997</v>
      </c>
      <c r="H27" s="272">
        <v>3.5940590000000001</v>
      </c>
      <c r="I27" s="272">
        <v>5.207891</v>
      </c>
      <c r="J27" s="273">
        <v>0.14030000000000001</v>
      </c>
      <c r="K27" s="273">
        <v>0.1028</v>
      </c>
      <c r="L27" s="272">
        <v>42.188715999999999</v>
      </c>
      <c r="M27" s="274">
        <v>96.4</v>
      </c>
      <c r="N27" s="275"/>
      <c r="P27" s="645">
        <f>IF(B27="","",B27)</f>
        <v>11</v>
      </c>
      <c r="Q27" s="647" t="str">
        <f>IFERROR(IF(D28="","",D28),"")</f>
        <v>101G17004</v>
      </c>
      <c r="R27" s="647" t="str">
        <f>IFERROR(IF(B27="","","Ref. 대비 차이"),"")</f>
        <v>Ref. 대비 차이</v>
      </c>
      <c r="S27" s="649">
        <f t="shared" ref="S27:Z27" si="10">IFERROR(IF(1-(F27/F28)="","",1-(F27/F28)),"")</f>
        <v>2.3684210526315752E-3</v>
      </c>
      <c r="T27" s="699">
        <f t="shared" si="10"/>
        <v>2.953680912955936E-2</v>
      </c>
      <c r="U27" s="649">
        <f t="shared" si="10"/>
        <v>2.7232706530344375E-2</v>
      </c>
      <c r="V27" s="649">
        <f t="shared" si="10"/>
        <v>3.0969976931095156E-2</v>
      </c>
      <c r="W27" s="649">
        <f t="shared" si="10"/>
        <v>0</v>
      </c>
      <c r="X27" s="649">
        <f t="shared" si="10"/>
        <v>-9.7370983446931625E-4</v>
      </c>
      <c r="Y27" s="649">
        <f t="shared" si="10"/>
        <v>3.0480849483649264E-2</v>
      </c>
      <c r="Z27" s="699">
        <f t="shared" si="10"/>
        <v>2.0325203252032464E-2</v>
      </c>
      <c r="AA27" s="654"/>
    </row>
    <row r="28" spans="2:27" ht="17.25" thickBot="1">
      <c r="B28" s="670"/>
      <c r="C28" s="660"/>
      <c r="D28" s="282" t="s">
        <v>291</v>
      </c>
      <c r="E28" s="277" t="s">
        <v>232</v>
      </c>
      <c r="F28" s="278">
        <v>3.8</v>
      </c>
      <c r="G28" s="278">
        <v>4.4690000000000003</v>
      </c>
      <c r="H28" s="278">
        <v>3.6946750000000002</v>
      </c>
      <c r="I28" s="278">
        <v>5.3743340000000002</v>
      </c>
      <c r="J28" s="279">
        <v>0.14030000000000001</v>
      </c>
      <c r="K28" s="279">
        <v>0.1027</v>
      </c>
      <c r="L28" s="278">
        <v>43.515093</v>
      </c>
      <c r="M28" s="280">
        <v>98.4</v>
      </c>
      <c r="N28" s="281"/>
      <c r="P28" s="646"/>
      <c r="Q28" s="648"/>
      <c r="R28" s="648"/>
      <c r="S28" s="650"/>
      <c r="T28" s="700"/>
      <c r="U28" s="650"/>
      <c r="V28" s="650"/>
      <c r="W28" s="650"/>
      <c r="X28" s="650"/>
      <c r="Y28" s="650"/>
      <c r="Z28" s="700"/>
      <c r="AA28" s="655"/>
    </row>
    <row r="29" spans="2:27">
      <c r="B29" s="669">
        <v>12</v>
      </c>
      <c r="C29" s="658" t="s">
        <v>301</v>
      </c>
      <c r="D29" s="270" t="s">
        <v>298</v>
      </c>
      <c r="E29" s="271" t="s">
        <v>233</v>
      </c>
      <c r="F29" s="272">
        <v>3.931</v>
      </c>
      <c r="G29" s="272">
        <v>4.4640000000000004</v>
      </c>
      <c r="H29" s="272">
        <v>3.567555</v>
      </c>
      <c r="I29" s="272">
        <v>5.5490539999999999</v>
      </c>
      <c r="J29" s="273">
        <v>0.1386</v>
      </c>
      <c r="K29" s="273">
        <v>9.9599999999999994E-2</v>
      </c>
      <c r="L29" s="272">
        <v>44.819277</v>
      </c>
      <c r="M29" s="274">
        <v>92.9</v>
      </c>
      <c r="N29" s="275"/>
      <c r="P29" s="645">
        <f t="shared" ref="P29" si="11">IF(B29="","",B29)</f>
        <v>12</v>
      </c>
      <c r="Q29" s="647" t="str">
        <f t="shared" ref="Q29" si="12">IFERROR(IF(D30="","",D30),"")</f>
        <v>101G17008</v>
      </c>
      <c r="R29" s="647" t="str">
        <f t="shared" ref="R29" si="13">IFERROR(IF(B29="","","Ref. 대비 차이"),"")</f>
        <v>Ref. 대비 차이</v>
      </c>
      <c r="S29" s="649">
        <f t="shared" ref="S29:Z29" si="14">IFERROR(IF(1-(F29/F30)="","",1-(F29/F30)),"")</f>
        <v>5.0620096178183305E-3</v>
      </c>
      <c r="T29" s="699">
        <f t="shared" si="14"/>
        <v>3.9586919104991236E-2</v>
      </c>
      <c r="U29" s="649">
        <f t="shared" si="14"/>
        <v>3.4700461415536177E-2</v>
      </c>
      <c r="V29" s="649">
        <f t="shared" si="14"/>
        <v>4.1939968946656969E-2</v>
      </c>
      <c r="W29" s="649">
        <f t="shared" si="14"/>
        <v>2.1598272138229069E-3</v>
      </c>
      <c r="X29" s="649">
        <f t="shared" si="14"/>
        <v>-5.0454086781028806E-3</v>
      </c>
      <c r="Y29" s="649">
        <f t="shared" si="14"/>
        <v>4.4408270764909386E-2</v>
      </c>
      <c r="Z29" s="699">
        <f t="shared" si="14"/>
        <v>-4.6171171171171199E-2</v>
      </c>
      <c r="AA29" s="654"/>
    </row>
    <row r="30" spans="2:27" ht="17.25" thickBot="1">
      <c r="B30" s="670"/>
      <c r="C30" s="660"/>
      <c r="D30" s="282" t="s">
        <v>294</v>
      </c>
      <c r="E30" s="277" t="s">
        <v>214</v>
      </c>
      <c r="F30" s="278">
        <v>3.9510000000000001</v>
      </c>
      <c r="G30" s="278">
        <v>4.6479999999999997</v>
      </c>
      <c r="H30" s="278">
        <v>3.6958009999999999</v>
      </c>
      <c r="I30" s="278">
        <v>5.7919689999999999</v>
      </c>
      <c r="J30" s="279">
        <v>0.1389</v>
      </c>
      <c r="K30" s="279">
        <v>9.9099999999999994E-2</v>
      </c>
      <c r="L30" s="278">
        <v>46.902118999999999</v>
      </c>
      <c r="M30" s="280">
        <v>88.8</v>
      </c>
      <c r="N30" s="281"/>
      <c r="P30" s="646"/>
      <c r="Q30" s="648"/>
      <c r="R30" s="648"/>
      <c r="S30" s="650"/>
      <c r="T30" s="700"/>
      <c r="U30" s="650"/>
      <c r="V30" s="650"/>
      <c r="W30" s="650"/>
      <c r="X30" s="650"/>
      <c r="Y30" s="650"/>
      <c r="Z30" s="700"/>
      <c r="AA30" s="655"/>
    </row>
    <row r="31" spans="2:27">
      <c r="B31" s="669">
        <v>13</v>
      </c>
      <c r="C31" s="658" t="s">
        <v>310</v>
      </c>
      <c r="D31" s="270" t="s">
        <v>298</v>
      </c>
      <c r="E31" s="271" t="s">
        <v>246</v>
      </c>
      <c r="F31" s="272">
        <v>3.8519999999999999</v>
      </c>
      <c r="G31" s="272">
        <v>3.972</v>
      </c>
      <c r="H31" s="272">
        <v>3.2394590000000001</v>
      </c>
      <c r="I31" s="272">
        <v>5.0302259999999999</v>
      </c>
      <c r="J31" s="273">
        <v>0.1394</v>
      </c>
      <c r="K31" s="273">
        <v>9.7199999999999995E-2</v>
      </c>
      <c r="L31" s="272">
        <v>40.864198000000002</v>
      </c>
      <c r="M31" s="274">
        <v>55.4</v>
      </c>
      <c r="N31" s="285" t="s">
        <v>323</v>
      </c>
      <c r="P31" s="645">
        <f t="shared" ref="P31" si="15">IF(B31="","",B31)</f>
        <v>13</v>
      </c>
      <c r="Q31" s="647" t="str">
        <f t="shared" ref="Q31" si="16">IFERROR(IF(D32="","",D32),"")</f>
        <v>101G17007</v>
      </c>
      <c r="R31" s="647" t="str">
        <f t="shared" ref="R31" si="17">IFERROR(IF(B31="","","Ref. 대비 차이"),"")</f>
        <v>Ref. 대비 차이</v>
      </c>
      <c r="S31" s="649">
        <f t="shared" ref="S31:Z31" si="18">IFERROR(IF(1-(F31/F32)="","",1-(F31/F32)),"")</f>
        <v>1.0373443983402453E-3</v>
      </c>
      <c r="T31" s="699">
        <f t="shared" si="18"/>
        <v>-1.6636805733299287E-2</v>
      </c>
      <c r="U31" s="649">
        <f t="shared" si="18"/>
        <v>-1.7692587290352613E-2</v>
      </c>
      <c r="V31" s="649">
        <f t="shared" si="18"/>
        <v>-2.5012231330994839E-2</v>
      </c>
      <c r="W31" s="649">
        <f t="shared" si="18"/>
        <v>2.1474588403721517E-3</v>
      </c>
      <c r="X31" s="649">
        <f t="shared" si="18"/>
        <v>8.1632653061225469E-3</v>
      </c>
      <c r="Y31" s="649">
        <f t="shared" si="18"/>
        <v>-2.5004197043761112E-2</v>
      </c>
      <c r="Z31" s="699">
        <f t="shared" si="18"/>
        <v>7.1684587813619638E-3</v>
      </c>
      <c r="AA31" s="654"/>
    </row>
    <row r="32" spans="2:27" ht="17.25" thickBot="1">
      <c r="B32" s="670"/>
      <c r="C32" s="660"/>
      <c r="D32" s="282" t="s">
        <v>306</v>
      </c>
      <c r="E32" s="277" t="s">
        <v>232</v>
      </c>
      <c r="F32" s="278">
        <v>3.8559999999999999</v>
      </c>
      <c r="G32" s="278">
        <v>3.907</v>
      </c>
      <c r="H32" s="278">
        <v>3.183141</v>
      </c>
      <c r="I32" s="278">
        <v>4.9074790000000004</v>
      </c>
      <c r="J32" s="279">
        <v>0.13969999999999999</v>
      </c>
      <c r="K32" s="279">
        <v>9.8000000000000004E-2</v>
      </c>
      <c r="L32" s="278">
        <v>39.867347000000002</v>
      </c>
      <c r="M32" s="280">
        <v>55.8</v>
      </c>
      <c r="N32" s="281"/>
      <c r="P32" s="646"/>
      <c r="Q32" s="648"/>
      <c r="R32" s="648"/>
      <c r="S32" s="650"/>
      <c r="T32" s="700"/>
      <c r="U32" s="650"/>
      <c r="V32" s="650"/>
      <c r="W32" s="650"/>
      <c r="X32" s="650"/>
      <c r="Y32" s="650"/>
      <c r="Z32" s="700"/>
      <c r="AA32" s="655"/>
    </row>
    <row r="33" spans="2:27">
      <c r="B33" s="669">
        <v>14</v>
      </c>
      <c r="C33" s="658" t="s">
        <v>317</v>
      </c>
      <c r="D33" s="270" t="s">
        <v>298</v>
      </c>
      <c r="E33" s="271" t="s">
        <v>228</v>
      </c>
      <c r="F33" s="272">
        <v>3.831</v>
      </c>
      <c r="G33" s="272">
        <v>4.6379999999999999</v>
      </c>
      <c r="H33" s="272">
        <v>3.803366</v>
      </c>
      <c r="I33" s="272">
        <v>5.8403729999999996</v>
      </c>
      <c r="J33" s="273">
        <v>0.1386</v>
      </c>
      <c r="K33" s="273">
        <v>9.8100000000000007E-2</v>
      </c>
      <c r="L33" s="272">
        <v>47.278286999999999</v>
      </c>
      <c r="M33" s="274">
        <v>33.817999999999998</v>
      </c>
      <c r="N33" s="275"/>
      <c r="P33" s="645">
        <f t="shared" ref="P33" si="19">IF(B33="","",B33)</f>
        <v>14</v>
      </c>
      <c r="Q33" s="647" t="str">
        <f t="shared" ref="Q33" si="20">IFERROR(IF(D34="","",D34),"")</f>
        <v>101G17009</v>
      </c>
      <c r="R33" s="647" t="str">
        <f t="shared" ref="R33" si="21">IFERROR(IF(B33="","","Ref. 대비 차이"),"")</f>
        <v>Ref. 대비 차이</v>
      </c>
      <c r="S33" s="649">
        <f t="shared" ref="S33:Z33" si="22">IFERROR(IF(1-(F33/F34)="","",1-(F33/F34)),"")</f>
        <v>4.9350649350650144E-3</v>
      </c>
      <c r="T33" s="699">
        <f t="shared" si="22"/>
        <v>4.0347610180012428E-2</v>
      </c>
      <c r="U33" s="649">
        <f t="shared" si="22"/>
        <v>3.5588017896830748E-2</v>
      </c>
      <c r="V33" s="649">
        <f t="shared" si="22"/>
        <v>4.0846648400122754E-2</v>
      </c>
      <c r="W33" s="649">
        <f t="shared" si="22"/>
        <v>-7.2202166064982976E-4</v>
      </c>
      <c r="X33" s="649">
        <f t="shared" si="22"/>
        <v>-2.0429009193054792E-3</v>
      </c>
      <c r="Y33" s="649">
        <f t="shared" si="22"/>
        <v>4.230410292152198E-2</v>
      </c>
      <c r="Z33" s="699">
        <f t="shared" si="22"/>
        <v>-3.0502483468933805E-2</v>
      </c>
      <c r="AA33" s="654"/>
    </row>
    <row r="34" spans="2:27" ht="17.25" thickBot="1">
      <c r="B34" s="670"/>
      <c r="C34" s="660"/>
      <c r="D34" s="282" t="s">
        <v>319</v>
      </c>
      <c r="E34" s="277" t="s">
        <v>242</v>
      </c>
      <c r="F34" s="278">
        <v>3.85</v>
      </c>
      <c r="G34" s="278">
        <v>4.8330000000000002</v>
      </c>
      <c r="H34" s="278">
        <v>3.9437150000000001</v>
      </c>
      <c r="I34" s="278">
        <v>6.0890919999999999</v>
      </c>
      <c r="J34" s="279">
        <v>0.13850000000000001</v>
      </c>
      <c r="K34" s="279">
        <v>9.7900000000000001E-2</v>
      </c>
      <c r="L34" s="278">
        <v>49.366700999999999</v>
      </c>
      <c r="M34" s="280">
        <v>32.817</v>
      </c>
      <c r="N34" s="281"/>
      <c r="P34" s="646"/>
      <c r="Q34" s="648"/>
      <c r="R34" s="648"/>
      <c r="S34" s="650"/>
      <c r="T34" s="700"/>
      <c r="U34" s="650"/>
      <c r="V34" s="650"/>
      <c r="W34" s="650"/>
      <c r="X34" s="650"/>
      <c r="Y34" s="650"/>
      <c r="Z34" s="700"/>
      <c r="AA34" s="655"/>
    </row>
    <row r="35" spans="2:27">
      <c r="B35" s="669">
        <v>15</v>
      </c>
      <c r="C35" s="658" t="s">
        <v>316</v>
      </c>
      <c r="D35" s="270" t="s">
        <v>298</v>
      </c>
      <c r="E35" s="271" t="s">
        <v>228</v>
      </c>
      <c r="F35" s="272">
        <v>3.831</v>
      </c>
      <c r="G35" s="272">
        <v>4.6379999999999999</v>
      </c>
      <c r="H35" s="272">
        <v>3.803366</v>
      </c>
      <c r="I35" s="272">
        <v>5.8403729999999996</v>
      </c>
      <c r="J35" s="273">
        <v>0.1386</v>
      </c>
      <c r="K35" s="273">
        <v>9.8100000000000007E-2</v>
      </c>
      <c r="L35" s="272">
        <v>47.278286999999999</v>
      </c>
      <c r="M35" s="274">
        <v>33.817999999999998</v>
      </c>
      <c r="N35" s="275"/>
      <c r="P35" s="645">
        <f t="shared" ref="P35" si="23">IF(B35="","",B35)</f>
        <v>15</v>
      </c>
      <c r="Q35" s="647" t="str">
        <f t="shared" ref="Q35" si="24">IFERROR(IF(D36="","",D36),"")</f>
        <v>101G17006</v>
      </c>
      <c r="R35" s="647" t="str">
        <f t="shared" ref="R35" si="25">IFERROR(IF(B35="","","Ref. 대비 차이"),"")</f>
        <v>Ref. 대비 차이</v>
      </c>
      <c r="S35" s="649">
        <f t="shared" ref="S35:Z35" si="26">IFERROR(IF(1-(F35/F36)="","",1-(F35/F36)),"")</f>
        <v>-2.6171159382359921E-3</v>
      </c>
      <c r="T35" s="699">
        <f t="shared" si="26"/>
        <v>-2.1810971579643068E-2</v>
      </c>
      <c r="U35" s="649">
        <f t="shared" si="26"/>
        <v>-1.9143749750463845E-2</v>
      </c>
      <c r="V35" s="649">
        <f t="shared" si="26"/>
        <v>-3.132247712075964E-2</v>
      </c>
      <c r="W35" s="649">
        <f t="shared" si="26"/>
        <v>-4.3478260869564966E-3</v>
      </c>
      <c r="X35" s="649">
        <f t="shared" si="26"/>
        <v>1.5060240963855276E-2</v>
      </c>
      <c r="Y35" s="649">
        <f t="shared" si="26"/>
        <v>-3.7434985984575064E-2</v>
      </c>
      <c r="Z35" s="699">
        <f t="shared" si="26"/>
        <v>8.6493787142085443E-2</v>
      </c>
      <c r="AA35" s="654"/>
    </row>
    <row r="36" spans="2:27" ht="17.25" thickBot="1">
      <c r="B36" s="670"/>
      <c r="C36" s="660"/>
      <c r="D36" s="282" t="s">
        <v>320</v>
      </c>
      <c r="E36" s="277" t="s">
        <v>232</v>
      </c>
      <c r="F36" s="278">
        <v>3.8210000000000002</v>
      </c>
      <c r="G36" s="278">
        <v>4.5389999999999997</v>
      </c>
      <c r="H36" s="278">
        <v>3.7319230000000001</v>
      </c>
      <c r="I36" s="278">
        <v>5.6629940000000003</v>
      </c>
      <c r="J36" s="279">
        <v>0.13800000000000001</v>
      </c>
      <c r="K36" s="279">
        <v>9.9599999999999994E-2</v>
      </c>
      <c r="L36" s="278">
        <v>45.572288999999998</v>
      </c>
      <c r="M36" s="280">
        <v>37.020000000000003</v>
      </c>
      <c r="N36" s="281"/>
      <c r="P36" s="646"/>
      <c r="Q36" s="648"/>
      <c r="R36" s="648"/>
      <c r="S36" s="650"/>
      <c r="T36" s="700"/>
      <c r="U36" s="650"/>
      <c r="V36" s="650"/>
      <c r="W36" s="650"/>
      <c r="X36" s="650"/>
      <c r="Y36" s="650"/>
      <c r="Z36" s="700"/>
      <c r="AA36" s="655"/>
    </row>
    <row r="37" spans="2:27">
      <c r="B37" s="669">
        <v>16</v>
      </c>
      <c r="C37" s="658" t="s">
        <v>326</v>
      </c>
      <c r="D37" s="270" t="s">
        <v>298</v>
      </c>
      <c r="E37" s="271" t="s">
        <v>227</v>
      </c>
      <c r="F37" s="272">
        <v>3.8159999999999998</v>
      </c>
      <c r="G37" s="272">
        <v>4.5449999999999999</v>
      </c>
      <c r="H37" s="272">
        <v>3.741752</v>
      </c>
      <c r="I37" s="272">
        <v>5.6442249999999996</v>
      </c>
      <c r="J37" s="273">
        <v>0.13850000000000001</v>
      </c>
      <c r="K37" s="273">
        <v>9.98E-2</v>
      </c>
      <c r="L37" s="272">
        <v>45.541082000000003</v>
      </c>
      <c r="M37" s="274">
        <v>34.200000000000003</v>
      </c>
      <c r="N37" s="285" t="s">
        <v>323</v>
      </c>
      <c r="P37" s="645">
        <f t="shared" ref="P37" si="27">IF(B37="","",B37)</f>
        <v>16</v>
      </c>
      <c r="Q37" s="647" t="str">
        <f t="shared" ref="Q37" si="28">IFERROR(IF(D38="","",D38),"")</f>
        <v>101G17010</v>
      </c>
      <c r="R37" s="647" t="str">
        <f t="shared" ref="R37" si="29">IFERROR(IF(B37="","","Ref. 대비 차이"),"")</f>
        <v>Ref. 대비 차이</v>
      </c>
      <c r="S37" s="649">
        <f t="shared" ref="S37:Z37" si="30">IFERROR(IF(1-(F37/F38)="","",1-(F37/F38)),"")</f>
        <v>-7.8678206136895135E-4</v>
      </c>
      <c r="T37" s="699">
        <f t="shared" si="30"/>
        <v>-8.2076308784382324E-3</v>
      </c>
      <c r="U37" s="649">
        <f t="shared" si="30"/>
        <v>-7.4150337716407666E-3</v>
      </c>
      <c r="V37" s="649">
        <f t="shared" si="30"/>
        <v>-4.9599670107087768E-3</v>
      </c>
      <c r="W37" s="649">
        <f t="shared" si="30"/>
        <v>2.1613832853025761E-3</v>
      </c>
      <c r="X37" s="649">
        <f t="shared" si="30"/>
        <v>-5.0352467270895485E-3</v>
      </c>
      <c r="Y37" s="649">
        <f t="shared" si="30"/>
        <v>-3.156497682794468E-3</v>
      </c>
      <c r="Z37" s="699">
        <f t="shared" si="30"/>
        <v>5.8139534883719923E-3</v>
      </c>
      <c r="AA37" s="654"/>
    </row>
    <row r="38" spans="2:27" ht="17.25" thickBot="1">
      <c r="B38" s="670"/>
      <c r="C38" s="660"/>
      <c r="D38" s="282" t="s">
        <v>328</v>
      </c>
      <c r="E38" s="277" t="s">
        <v>232</v>
      </c>
      <c r="F38" s="278">
        <v>3.8130000000000002</v>
      </c>
      <c r="G38" s="278">
        <v>4.508</v>
      </c>
      <c r="H38" s="278">
        <v>3.7142110000000002</v>
      </c>
      <c r="I38" s="278">
        <v>5.6163679999999996</v>
      </c>
      <c r="J38" s="279">
        <v>0.13880000000000001</v>
      </c>
      <c r="K38" s="279">
        <v>9.9299999999999999E-2</v>
      </c>
      <c r="L38" s="278">
        <v>45.397784000000001</v>
      </c>
      <c r="M38" s="280">
        <v>34.4</v>
      </c>
      <c r="N38" s="281"/>
      <c r="P38" s="646"/>
      <c r="Q38" s="648"/>
      <c r="R38" s="648"/>
      <c r="S38" s="650"/>
      <c r="T38" s="700"/>
      <c r="U38" s="650"/>
      <c r="V38" s="650"/>
      <c r="W38" s="650"/>
      <c r="X38" s="650"/>
      <c r="Y38" s="650"/>
      <c r="Z38" s="700"/>
      <c r="AA38" s="655"/>
    </row>
    <row r="39" spans="2:27">
      <c r="B39" s="669">
        <v>17</v>
      </c>
      <c r="C39" s="658" t="s">
        <v>332</v>
      </c>
      <c r="D39" s="270" t="s">
        <v>298</v>
      </c>
      <c r="E39" s="271" t="s">
        <v>227</v>
      </c>
      <c r="F39" s="272">
        <v>3.847</v>
      </c>
      <c r="G39" s="272">
        <v>4.3040000000000003</v>
      </c>
      <c r="H39" s="272">
        <v>3.5147919999999999</v>
      </c>
      <c r="I39" s="272">
        <v>5.3073800000000002</v>
      </c>
      <c r="J39" s="273">
        <v>0.13850000000000001</v>
      </c>
      <c r="K39" s="273">
        <v>0.10059999999999999</v>
      </c>
      <c r="L39" s="272">
        <v>42.783299999999997</v>
      </c>
      <c r="M39" s="274">
        <v>41</v>
      </c>
      <c r="N39" s="275"/>
      <c r="P39" s="645">
        <f t="shared" ref="P39" si="31">IF(B39="","",B39)</f>
        <v>17</v>
      </c>
      <c r="Q39" s="647" t="str">
        <f t="shared" ref="Q39" si="32">IFERROR(IF(D40="","",D40),"")</f>
        <v>101G17005</v>
      </c>
      <c r="R39" s="647" t="str">
        <f t="shared" ref="R39" si="33">IFERROR(IF(B39="","","Ref. 대비 차이"),"")</f>
        <v>Ref. 대비 차이</v>
      </c>
      <c r="S39" s="649">
        <f t="shared" ref="S39:Z39" si="34">IFERROR(IF(1-(F39/F40)="","",1-(F39/F40)),"")</f>
        <v>0</v>
      </c>
      <c r="T39" s="699">
        <f t="shared" si="34"/>
        <v>-1.5813075289119682E-2</v>
      </c>
      <c r="U39" s="649">
        <f t="shared" si="34"/>
        <v>-1.5813231902064517E-2</v>
      </c>
      <c r="V39" s="649">
        <f t="shared" si="34"/>
        <v>-1.4323547000028469E-2</v>
      </c>
      <c r="W39" s="649">
        <f t="shared" si="34"/>
        <v>4.3134435657798953E-3</v>
      </c>
      <c r="X39" s="649">
        <f t="shared" si="34"/>
        <v>-4.9950049950049369E-3</v>
      </c>
      <c r="Y39" s="649">
        <f t="shared" si="34"/>
        <v>-1.0764305676910224E-2</v>
      </c>
      <c r="Z39" s="699">
        <f t="shared" si="34"/>
        <v>-7.3710073710073765E-3</v>
      </c>
      <c r="AA39" s="654"/>
    </row>
    <row r="40" spans="2:27" ht="17.25" thickBot="1">
      <c r="B40" s="670"/>
      <c r="C40" s="660"/>
      <c r="D40" s="282" t="s">
        <v>329</v>
      </c>
      <c r="E40" s="277" t="s">
        <v>232</v>
      </c>
      <c r="F40" s="278">
        <v>3.847</v>
      </c>
      <c r="G40" s="278">
        <v>4.2370000000000001</v>
      </c>
      <c r="H40" s="278">
        <v>3.4600770000000001</v>
      </c>
      <c r="I40" s="278">
        <v>5.2324330000000003</v>
      </c>
      <c r="J40" s="279">
        <v>0.1391</v>
      </c>
      <c r="K40" s="279">
        <v>0.10009999999999999</v>
      </c>
      <c r="L40" s="278">
        <v>42.327672</v>
      </c>
      <c r="M40" s="280">
        <v>40.700000000000003</v>
      </c>
      <c r="N40" s="281"/>
      <c r="P40" s="646"/>
      <c r="Q40" s="648"/>
      <c r="R40" s="648"/>
      <c r="S40" s="650"/>
      <c r="T40" s="700"/>
      <c r="U40" s="650"/>
      <c r="V40" s="650"/>
      <c r="W40" s="650"/>
      <c r="X40" s="650"/>
      <c r="Y40" s="650"/>
      <c r="Z40" s="700"/>
      <c r="AA40" s="655"/>
    </row>
    <row r="41" spans="2:27">
      <c r="B41" s="669">
        <v>18</v>
      </c>
      <c r="C41" s="658" t="s">
        <v>336</v>
      </c>
      <c r="D41" s="270" t="s">
        <v>298</v>
      </c>
      <c r="E41" s="271" t="s">
        <v>228</v>
      </c>
      <c r="F41" s="272">
        <v>3.819</v>
      </c>
      <c r="G41" s="272">
        <v>4.0199999999999996</v>
      </c>
      <c r="H41" s="272">
        <v>3.306937</v>
      </c>
      <c r="I41" s="272">
        <v>4.7977959999999999</v>
      </c>
      <c r="J41" s="273">
        <v>0.13739999999999999</v>
      </c>
      <c r="K41" s="273">
        <v>0.106</v>
      </c>
      <c r="L41" s="272">
        <v>37.924528000000002</v>
      </c>
      <c r="M41" s="274">
        <v>39.6</v>
      </c>
      <c r="N41" s="275"/>
      <c r="P41" s="645">
        <f t="shared" ref="P41" si="35">IF(B41="","",B41)</f>
        <v>18</v>
      </c>
      <c r="Q41" s="647" t="str">
        <f t="shared" ref="Q41" si="36">IFERROR(IF(D42="","",D42),"")</f>
        <v>101G17011</v>
      </c>
      <c r="R41" s="647" t="str">
        <f t="shared" ref="R41" si="37">IFERROR(IF(B41="","","Ref. 대비 차이"),"")</f>
        <v>Ref. 대비 차이</v>
      </c>
      <c r="S41" s="649">
        <f t="shared" ref="S41:Z41" si="38">IFERROR(IF(1-(F41/F42)="","",1-(F41/F42)),"")</f>
        <v>2.6178010471200608E-4</v>
      </c>
      <c r="T41" s="699">
        <f t="shared" si="38"/>
        <v>-2.4937655860348684E-3</v>
      </c>
      <c r="U41" s="649">
        <f t="shared" si="38"/>
        <v>-2.7563437600348628E-3</v>
      </c>
      <c r="V41" s="649">
        <f t="shared" si="38"/>
        <v>9.7759373164406638E-3</v>
      </c>
      <c r="W41" s="649">
        <f t="shared" si="38"/>
        <v>5.0687907313541336E-3</v>
      </c>
      <c r="X41" s="649">
        <f t="shared" si="38"/>
        <v>-1.9230769230769162E-2</v>
      </c>
      <c r="Y41" s="649">
        <f t="shared" si="38"/>
        <v>1.6421211103610722E-2</v>
      </c>
      <c r="Z41" s="699">
        <f t="shared" si="38"/>
        <v>-3.6649214659685736E-2</v>
      </c>
      <c r="AA41" s="654"/>
    </row>
    <row r="42" spans="2:27" ht="17.25" thickBot="1">
      <c r="B42" s="670"/>
      <c r="C42" s="660"/>
      <c r="D42" s="282" t="s">
        <v>338</v>
      </c>
      <c r="E42" s="277" t="s">
        <v>238</v>
      </c>
      <c r="F42" s="278">
        <v>3.82</v>
      </c>
      <c r="G42" s="278">
        <v>4.01</v>
      </c>
      <c r="H42" s="278">
        <v>3.297847</v>
      </c>
      <c r="I42" s="278">
        <v>4.8451620000000002</v>
      </c>
      <c r="J42" s="279">
        <v>0.1381</v>
      </c>
      <c r="K42" s="279">
        <v>0.104</v>
      </c>
      <c r="L42" s="278">
        <v>38.557692000000003</v>
      </c>
      <c r="M42" s="280">
        <v>38.200000000000003</v>
      </c>
      <c r="N42" s="281"/>
      <c r="P42" s="646"/>
      <c r="Q42" s="648"/>
      <c r="R42" s="648"/>
      <c r="S42" s="650"/>
      <c r="T42" s="700"/>
      <c r="U42" s="650"/>
      <c r="V42" s="650"/>
      <c r="W42" s="650"/>
      <c r="X42" s="650"/>
      <c r="Y42" s="650"/>
      <c r="Z42" s="700"/>
      <c r="AA42" s="655"/>
    </row>
    <row r="43" spans="2:27">
      <c r="B43" s="669">
        <v>19</v>
      </c>
      <c r="C43" s="658" t="s">
        <v>339</v>
      </c>
      <c r="D43" s="270" t="s">
        <v>298</v>
      </c>
      <c r="E43" s="271" t="s">
        <v>232</v>
      </c>
      <c r="F43" s="272">
        <v>3.9239999999999999</v>
      </c>
      <c r="G43" s="272">
        <v>4.2119999999999997</v>
      </c>
      <c r="H43" s="272">
        <v>3.3721649999999999</v>
      </c>
      <c r="I43" s="272">
        <v>5.1802820000000001</v>
      </c>
      <c r="J43" s="273">
        <v>0.1389</v>
      </c>
      <c r="K43" s="273">
        <v>0.1008</v>
      </c>
      <c r="L43" s="272">
        <v>41.785713999999999</v>
      </c>
      <c r="M43" s="274">
        <v>41.2</v>
      </c>
      <c r="N43" s="275"/>
      <c r="P43" s="645">
        <f t="shared" ref="P43" si="39">IF(B43="","",B43)</f>
        <v>19</v>
      </c>
      <c r="Q43" s="647" t="str">
        <f t="shared" ref="Q43" si="40">IFERROR(IF(D44="","",D44),"")</f>
        <v>101G18001</v>
      </c>
      <c r="R43" s="647" t="str">
        <f t="shared" ref="R43" si="41">IFERROR(IF(B43="","","Ref. 대비 차이"),"")</f>
        <v>Ref. 대비 차이</v>
      </c>
      <c r="S43" s="649">
        <f t="shared" ref="S43:Z43" si="42">IFERROR(IF(1-(F43/F44)="","",1-(F43/F44)),"")</f>
        <v>3.8080731150038627E-3</v>
      </c>
      <c r="T43" s="699">
        <f t="shared" si="42"/>
        <v>3.3944954128440452E-2</v>
      </c>
      <c r="U43" s="649">
        <f t="shared" si="42"/>
        <v>3.0252234236115116E-2</v>
      </c>
      <c r="V43" s="649">
        <f t="shared" si="42"/>
        <v>3.5772565649052512E-2</v>
      </c>
      <c r="W43" s="649">
        <f t="shared" si="42"/>
        <v>2.1551724137930384E-3</v>
      </c>
      <c r="X43" s="649">
        <f t="shared" si="42"/>
        <v>-3.9840637450199168E-3</v>
      </c>
      <c r="Y43" s="649">
        <f t="shared" si="42"/>
        <v>3.7778516449538335E-2</v>
      </c>
      <c r="Z43" s="699">
        <f t="shared" si="42"/>
        <v>-7.8534031413612482E-2</v>
      </c>
      <c r="AA43" s="654"/>
    </row>
    <row r="44" spans="2:27" ht="17.25" thickBot="1">
      <c r="B44" s="670"/>
      <c r="C44" s="660"/>
      <c r="D44" s="282" t="s">
        <v>340</v>
      </c>
      <c r="E44" s="277" t="s">
        <v>227</v>
      </c>
      <c r="F44" s="278">
        <v>3.9390000000000001</v>
      </c>
      <c r="G44" s="278">
        <v>4.3600000000000003</v>
      </c>
      <c r="H44" s="278">
        <v>3.477363</v>
      </c>
      <c r="I44" s="278">
        <v>5.3724689999999997</v>
      </c>
      <c r="J44" s="279">
        <v>0.13919999999999999</v>
      </c>
      <c r="K44" s="279">
        <v>0.1004</v>
      </c>
      <c r="L44" s="278">
        <v>43.426295000000003</v>
      </c>
      <c r="M44" s="280">
        <v>38.200000000000003</v>
      </c>
      <c r="N44" s="281"/>
      <c r="P44" s="646"/>
      <c r="Q44" s="648"/>
      <c r="R44" s="648"/>
      <c r="S44" s="650"/>
      <c r="T44" s="700"/>
      <c r="U44" s="650"/>
      <c r="V44" s="650"/>
      <c r="W44" s="650"/>
      <c r="X44" s="650"/>
      <c r="Y44" s="650"/>
      <c r="Z44" s="700"/>
      <c r="AA44" s="655"/>
    </row>
    <row r="45" spans="2:27">
      <c r="B45" s="669">
        <v>20</v>
      </c>
      <c r="C45" s="658" t="s">
        <v>345</v>
      </c>
      <c r="D45" s="270" t="s">
        <v>298</v>
      </c>
      <c r="E45" s="271" t="s">
        <v>252</v>
      </c>
      <c r="F45" s="272">
        <v>3.8290000000000002</v>
      </c>
      <c r="G45" s="272">
        <v>4.7229999999999999</v>
      </c>
      <c r="H45" s="272">
        <v>3.8750930000000001</v>
      </c>
      <c r="I45" s="272">
        <v>5.8520250000000003</v>
      </c>
      <c r="J45" s="273">
        <v>0.1386</v>
      </c>
      <c r="K45" s="273">
        <v>9.9900000000000003E-2</v>
      </c>
      <c r="L45" s="272">
        <v>47.277276999999998</v>
      </c>
      <c r="M45" s="274">
        <v>20.6</v>
      </c>
      <c r="N45" s="275"/>
      <c r="P45" s="645">
        <f t="shared" ref="P45" si="43">IF(B45="","",B45)</f>
        <v>20</v>
      </c>
      <c r="Q45" s="647" t="str">
        <f t="shared" ref="Q45" si="44">IFERROR(IF(D46="","",D46),"")</f>
        <v>101G18002</v>
      </c>
      <c r="R45" s="647" t="str">
        <f t="shared" ref="R45" si="45">IFERROR(IF(B45="","","Ref. 대비 차이"),"")</f>
        <v>Ref. 대비 차이</v>
      </c>
      <c r="S45" s="649">
        <f t="shared" ref="S45:Z45" si="46">IFERROR(IF(1-(F45/F46)="","",1-(F45/F46)),"")</f>
        <v>3.6429872495445936E-3</v>
      </c>
      <c r="T45" s="699">
        <f t="shared" si="46"/>
        <v>2.2557947019867575E-2</v>
      </c>
      <c r="U45" s="649">
        <f t="shared" si="46"/>
        <v>1.8983914507069599E-2</v>
      </c>
      <c r="V45" s="649">
        <f t="shared" si="46"/>
        <v>2.2028987057314153E-2</v>
      </c>
      <c r="W45" s="649">
        <f t="shared" si="46"/>
        <v>2.1598272138229069E-3</v>
      </c>
      <c r="X45" s="649">
        <f t="shared" si="46"/>
        <v>-3.0120481927711218E-3</v>
      </c>
      <c r="Y45" s="649">
        <f t="shared" si="46"/>
        <v>2.5493209638047909E-2</v>
      </c>
      <c r="Z45" s="699">
        <f t="shared" si="46"/>
        <v>-5.6410256410256432E-2</v>
      </c>
      <c r="AA45" s="654"/>
    </row>
    <row r="46" spans="2:27" ht="17.25" thickBot="1">
      <c r="B46" s="670"/>
      <c r="C46" s="660"/>
      <c r="D46" s="282" t="s">
        <v>342</v>
      </c>
      <c r="E46" s="277" t="s">
        <v>240</v>
      </c>
      <c r="F46" s="278">
        <v>3.843</v>
      </c>
      <c r="G46" s="278">
        <v>4.8319999999999999</v>
      </c>
      <c r="H46" s="278">
        <v>3.950081</v>
      </c>
      <c r="I46" s="278">
        <v>5.9838430000000002</v>
      </c>
      <c r="J46" s="279">
        <v>0.1389</v>
      </c>
      <c r="K46" s="279">
        <v>9.9599999999999994E-2</v>
      </c>
      <c r="L46" s="278">
        <v>48.514055999999997</v>
      </c>
      <c r="M46" s="280">
        <v>19.5</v>
      </c>
      <c r="N46" s="281"/>
      <c r="P46" s="646"/>
      <c r="Q46" s="648"/>
      <c r="R46" s="648"/>
      <c r="S46" s="650"/>
      <c r="T46" s="700"/>
      <c r="U46" s="650"/>
      <c r="V46" s="650"/>
      <c r="W46" s="650"/>
      <c r="X46" s="650"/>
      <c r="Y46" s="650"/>
      <c r="Z46" s="700"/>
      <c r="AA46" s="655"/>
    </row>
    <row r="47" spans="2:27">
      <c r="B47" s="669">
        <v>21</v>
      </c>
      <c r="C47" s="658" t="s">
        <v>364</v>
      </c>
      <c r="D47" s="270" t="s">
        <v>298</v>
      </c>
      <c r="E47" s="271" t="s">
        <v>240</v>
      </c>
      <c r="F47" s="286">
        <v>3.7829999999999999</v>
      </c>
      <c r="G47" s="286">
        <v>3.93</v>
      </c>
      <c r="H47" s="286">
        <v>3.2636660000000002</v>
      </c>
      <c r="I47" s="286">
        <v>4.812856</v>
      </c>
      <c r="J47" s="287">
        <v>0.13950000000000001</v>
      </c>
      <c r="K47" s="287">
        <v>0.1011</v>
      </c>
      <c r="L47" s="286">
        <v>38.872404000000003</v>
      </c>
      <c r="M47" s="274">
        <v>40.5</v>
      </c>
      <c r="N47" s="275"/>
      <c r="P47" s="645">
        <f t="shared" ref="P47" si="47">IF(B47="","",B47)</f>
        <v>21</v>
      </c>
      <c r="Q47" s="647" t="str">
        <f t="shared" ref="Q47" si="48">IFERROR(IF(D48="","",D48),"")</f>
        <v>101G18003</v>
      </c>
      <c r="R47" s="647" t="str">
        <f t="shared" ref="R47" si="49">IFERROR(IF(B47="","","Ref. 대비 차이"),"")</f>
        <v>Ref. 대비 차이</v>
      </c>
      <c r="S47" s="649">
        <f t="shared" ref="S47:Z47" si="50">IFERROR(IF(1-(F47/F48)="","",1-(F47/F48)),"")</f>
        <v>1.8469656992085026E-3</v>
      </c>
      <c r="T47" s="699">
        <f t="shared" si="50"/>
        <v>4.029304029304015E-2</v>
      </c>
      <c r="U47" s="649">
        <f t="shared" si="50"/>
        <v>3.8517161603094929E-2</v>
      </c>
      <c r="V47" s="649">
        <f t="shared" si="50"/>
        <v>4.431527300577498E-2</v>
      </c>
      <c r="W47" s="649">
        <f t="shared" si="50"/>
        <v>0</v>
      </c>
      <c r="X47" s="649">
        <f t="shared" si="50"/>
        <v>-5.9701492537311829E-3</v>
      </c>
      <c r="Y47" s="649">
        <f t="shared" si="50"/>
        <v>4.5988627817678096E-2</v>
      </c>
      <c r="Z47" s="699">
        <f t="shared" si="50"/>
        <v>-7.4270557029177731E-2</v>
      </c>
      <c r="AA47" s="654"/>
    </row>
    <row r="48" spans="2:27" ht="17.25" thickBot="1">
      <c r="B48" s="670"/>
      <c r="C48" s="660"/>
      <c r="D48" s="282" t="s">
        <v>362</v>
      </c>
      <c r="E48" s="277" t="s">
        <v>241</v>
      </c>
      <c r="F48" s="288">
        <v>3.79</v>
      </c>
      <c r="G48" s="288">
        <v>4.0949999999999998</v>
      </c>
      <c r="H48" s="288">
        <v>3.394409</v>
      </c>
      <c r="I48" s="288">
        <v>5.0360290000000001</v>
      </c>
      <c r="J48" s="289">
        <v>0.13950000000000001</v>
      </c>
      <c r="K48" s="289">
        <v>0.10050000000000001</v>
      </c>
      <c r="L48" s="288">
        <v>40.746268999999998</v>
      </c>
      <c r="M48" s="280">
        <v>37.700000000000003</v>
      </c>
      <c r="N48" s="281"/>
      <c r="P48" s="646"/>
      <c r="Q48" s="648"/>
      <c r="R48" s="648"/>
      <c r="S48" s="650"/>
      <c r="T48" s="700"/>
      <c r="U48" s="650"/>
      <c r="V48" s="650"/>
      <c r="W48" s="650"/>
      <c r="X48" s="650"/>
      <c r="Y48" s="650"/>
      <c r="Z48" s="700"/>
      <c r="AA48" s="655"/>
    </row>
    <row r="49" spans="2:27">
      <c r="B49" s="669">
        <v>22</v>
      </c>
      <c r="C49" s="658"/>
      <c r="D49" s="270"/>
      <c r="E49" s="271"/>
      <c r="F49" s="272"/>
      <c r="G49" s="272"/>
      <c r="H49" s="272"/>
      <c r="I49" s="272"/>
      <c r="J49" s="273"/>
      <c r="K49" s="273"/>
      <c r="L49" s="272"/>
      <c r="M49" s="274"/>
      <c r="N49" s="275"/>
      <c r="P49" s="645">
        <f t="shared" ref="P49" si="51">IF(B49="","",B49)</f>
        <v>22</v>
      </c>
      <c r="Q49" s="647" t="str">
        <f t="shared" ref="Q49" si="52">IFERROR(IF(D50="","",D50),"")</f>
        <v/>
      </c>
      <c r="R49" s="647" t="str">
        <f t="shared" ref="R49" si="53">IFERROR(IF(B49="","","Ref. 대비 차이"),"")</f>
        <v>Ref. 대비 차이</v>
      </c>
      <c r="S49" s="649" t="str">
        <f t="shared" ref="S49:Z49" si="54">IFERROR(IF(1-(F49/F50)="","",1-(F49/F50)),"")</f>
        <v/>
      </c>
      <c r="T49" s="699" t="str">
        <f t="shared" si="54"/>
        <v/>
      </c>
      <c r="U49" s="649" t="str">
        <f t="shared" si="54"/>
        <v/>
      </c>
      <c r="V49" s="649" t="str">
        <f t="shared" si="54"/>
        <v/>
      </c>
      <c r="W49" s="649" t="str">
        <f t="shared" si="54"/>
        <v/>
      </c>
      <c r="X49" s="649" t="str">
        <f t="shared" si="54"/>
        <v/>
      </c>
      <c r="Y49" s="649" t="str">
        <f t="shared" si="54"/>
        <v/>
      </c>
      <c r="Z49" s="699" t="str">
        <f t="shared" si="54"/>
        <v/>
      </c>
      <c r="AA49" s="654"/>
    </row>
    <row r="50" spans="2:27" ht="17.25" thickBot="1">
      <c r="B50" s="670"/>
      <c r="C50" s="660"/>
      <c r="D50" s="282"/>
      <c r="E50" s="277"/>
      <c r="F50" s="278"/>
      <c r="G50" s="278"/>
      <c r="H50" s="278"/>
      <c r="I50" s="278"/>
      <c r="J50" s="279"/>
      <c r="K50" s="279"/>
      <c r="L50" s="278"/>
      <c r="M50" s="280"/>
      <c r="N50" s="281"/>
      <c r="P50" s="646"/>
      <c r="Q50" s="648"/>
      <c r="R50" s="648"/>
      <c r="S50" s="650"/>
      <c r="T50" s="700"/>
      <c r="U50" s="650"/>
      <c r="V50" s="650"/>
      <c r="W50" s="650"/>
      <c r="X50" s="650"/>
      <c r="Y50" s="650"/>
      <c r="Z50" s="700"/>
      <c r="AA50" s="655"/>
    </row>
    <row r="51" spans="2:27">
      <c r="B51" s="669">
        <v>23</v>
      </c>
      <c r="C51" s="658"/>
      <c r="D51" s="270"/>
      <c r="E51" s="271"/>
      <c r="F51" s="272"/>
      <c r="G51" s="272"/>
      <c r="H51" s="272"/>
      <c r="I51" s="272"/>
      <c r="J51" s="273"/>
      <c r="K51" s="273"/>
      <c r="L51" s="272"/>
      <c r="M51" s="274"/>
      <c r="N51" s="275"/>
      <c r="P51" s="645">
        <f t="shared" ref="P51" si="55">IF(B51="","",B51)</f>
        <v>23</v>
      </c>
      <c r="Q51" s="647" t="str">
        <f t="shared" ref="Q51" si="56">IFERROR(IF(D52="","",D52),"")</f>
        <v/>
      </c>
      <c r="R51" s="647" t="str">
        <f t="shared" ref="R51" si="57">IFERROR(IF(B51="","","Ref. 대비 차이"),"")</f>
        <v>Ref. 대비 차이</v>
      </c>
      <c r="S51" s="649" t="str">
        <f t="shared" ref="S51:Z51" si="58">IFERROR(IF(1-(F51/F52)="","",1-(F51/F52)),"")</f>
        <v/>
      </c>
      <c r="T51" s="699" t="str">
        <f t="shared" si="58"/>
        <v/>
      </c>
      <c r="U51" s="649" t="str">
        <f t="shared" si="58"/>
        <v/>
      </c>
      <c r="V51" s="649" t="str">
        <f t="shared" si="58"/>
        <v/>
      </c>
      <c r="W51" s="649" t="str">
        <f t="shared" si="58"/>
        <v/>
      </c>
      <c r="X51" s="649" t="str">
        <f t="shared" si="58"/>
        <v/>
      </c>
      <c r="Y51" s="649" t="str">
        <f t="shared" si="58"/>
        <v/>
      </c>
      <c r="Z51" s="699" t="str">
        <f t="shared" si="58"/>
        <v/>
      </c>
      <c r="AA51" s="654"/>
    </row>
    <row r="52" spans="2:27" ht="17.25" thickBot="1">
      <c r="B52" s="670"/>
      <c r="C52" s="660"/>
      <c r="D52" s="282"/>
      <c r="E52" s="277"/>
      <c r="F52" s="278"/>
      <c r="G52" s="278"/>
      <c r="H52" s="278"/>
      <c r="I52" s="278"/>
      <c r="J52" s="279"/>
      <c r="K52" s="279"/>
      <c r="L52" s="278"/>
      <c r="M52" s="280"/>
      <c r="N52" s="281"/>
      <c r="P52" s="646"/>
      <c r="Q52" s="648"/>
      <c r="R52" s="648"/>
      <c r="S52" s="650"/>
      <c r="T52" s="700"/>
      <c r="U52" s="650"/>
      <c r="V52" s="650"/>
      <c r="W52" s="650"/>
      <c r="X52" s="650"/>
      <c r="Y52" s="650"/>
      <c r="Z52" s="700"/>
      <c r="AA52" s="655"/>
    </row>
  </sheetData>
  <mergeCells count="322">
    <mergeCell ref="Z9:Z10"/>
    <mergeCell ref="Z7:Z8"/>
    <mergeCell ref="B9:B10"/>
    <mergeCell ref="C9:C10"/>
    <mergeCell ref="P9:P10"/>
    <mergeCell ref="Q9:Q10"/>
    <mergeCell ref="R9:R10"/>
    <mergeCell ref="S9:S10"/>
    <mergeCell ref="T9:T10"/>
    <mergeCell ref="U9:U10"/>
    <mergeCell ref="T7:T8"/>
    <mergeCell ref="U7:U8"/>
    <mergeCell ref="B7:B8"/>
    <mergeCell ref="C7:C8"/>
    <mergeCell ref="P7:P8"/>
    <mergeCell ref="Q7:Q8"/>
    <mergeCell ref="R7:R8"/>
    <mergeCell ref="S7:S8"/>
    <mergeCell ref="AA7:AA8"/>
    <mergeCell ref="V7:V8"/>
    <mergeCell ref="W7:W8"/>
    <mergeCell ref="X7:X8"/>
    <mergeCell ref="Y7:Y8"/>
    <mergeCell ref="B11:B12"/>
    <mergeCell ref="C11:C12"/>
    <mergeCell ref="P11:P12"/>
    <mergeCell ref="Q11:Q12"/>
    <mergeCell ref="R11:R12"/>
    <mergeCell ref="S11:S12"/>
    <mergeCell ref="V9:V10"/>
    <mergeCell ref="Z11:Z12"/>
    <mergeCell ref="AA11:AA12"/>
    <mergeCell ref="T11:T12"/>
    <mergeCell ref="U11:U12"/>
    <mergeCell ref="V11:V12"/>
    <mergeCell ref="W11:W12"/>
    <mergeCell ref="X11:X12"/>
    <mergeCell ref="Y11:Y12"/>
    <mergeCell ref="W9:W10"/>
    <mergeCell ref="X9:X10"/>
    <mergeCell ref="Y9:Y10"/>
    <mergeCell ref="AA9:AA10"/>
    <mergeCell ref="AA15:AA16"/>
    <mergeCell ref="Z13:Z14"/>
    <mergeCell ref="AA13:AA14"/>
    <mergeCell ref="B15:B16"/>
    <mergeCell ref="C15:C16"/>
    <mergeCell ref="P15:P16"/>
    <mergeCell ref="Q15:Q16"/>
    <mergeCell ref="R15:R16"/>
    <mergeCell ref="S15:S16"/>
    <mergeCell ref="T15:T16"/>
    <mergeCell ref="U15:U16"/>
    <mergeCell ref="T13:T14"/>
    <mergeCell ref="U13:U14"/>
    <mergeCell ref="V13:V14"/>
    <mergeCell ref="W13:W14"/>
    <mergeCell ref="X13:X14"/>
    <mergeCell ref="Y13:Y14"/>
    <mergeCell ref="C13:C14"/>
    <mergeCell ref="P13:P14"/>
    <mergeCell ref="Q13:Q14"/>
    <mergeCell ref="R13:R14"/>
    <mergeCell ref="S13:S14"/>
    <mergeCell ref="B13:B14"/>
    <mergeCell ref="P17:P18"/>
    <mergeCell ref="Q17:Q18"/>
    <mergeCell ref="R17:R18"/>
    <mergeCell ref="S17:S18"/>
    <mergeCell ref="V15:V16"/>
    <mergeCell ref="W15:W16"/>
    <mergeCell ref="X15:X16"/>
    <mergeCell ref="Y15:Y16"/>
    <mergeCell ref="Z15:Z16"/>
    <mergeCell ref="V19:V20"/>
    <mergeCell ref="W19:W20"/>
    <mergeCell ref="X19:X20"/>
    <mergeCell ref="Y19:Y20"/>
    <mergeCell ref="Z19:Z20"/>
    <mergeCell ref="AA19:AA20"/>
    <mergeCell ref="Z17:Z18"/>
    <mergeCell ref="AA17:AA18"/>
    <mergeCell ref="B19:B20"/>
    <mergeCell ref="C19:C20"/>
    <mergeCell ref="P19:P20"/>
    <mergeCell ref="Q19:Q20"/>
    <mergeCell ref="R19:R20"/>
    <mergeCell ref="S19:S20"/>
    <mergeCell ref="T19:T20"/>
    <mergeCell ref="U19:U20"/>
    <mergeCell ref="T17:T18"/>
    <mergeCell ref="U17:U18"/>
    <mergeCell ref="V17:V18"/>
    <mergeCell ref="W17:W18"/>
    <mergeCell ref="X17:X18"/>
    <mergeCell ref="Y17:Y18"/>
    <mergeCell ref="B17:B18"/>
    <mergeCell ref="C17:C18"/>
    <mergeCell ref="AA23:AA24"/>
    <mergeCell ref="Z21:Z22"/>
    <mergeCell ref="AA21:AA22"/>
    <mergeCell ref="B23:B24"/>
    <mergeCell ref="C23:C24"/>
    <mergeCell ref="P23:P24"/>
    <mergeCell ref="Q23:Q24"/>
    <mergeCell ref="R23:R24"/>
    <mergeCell ref="S23:S24"/>
    <mergeCell ref="T23:T24"/>
    <mergeCell ref="U23:U24"/>
    <mergeCell ref="T21:T22"/>
    <mergeCell ref="U21:U22"/>
    <mergeCell ref="V21:V22"/>
    <mergeCell ref="W21:W22"/>
    <mergeCell ref="X21:X22"/>
    <mergeCell ref="Y21:Y22"/>
    <mergeCell ref="B21:B22"/>
    <mergeCell ref="C21:C22"/>
    <mergeCell ref="P21:P22"/>
    <mergeCell ref="Q21:Q22"/>
    <mergeCell ref="R21:R22"/>
    <mergeCell ref="S21:S22"/>
    <mergeCell ref="P25:P26"/>
    <mergeCell ref="Q25:Q26"/>
    <mergeCell ref="R25:R26"/>
    <mergeCell ref="S25:S26"/>
    <mergeCell ref="V23:V24"/>
    <mergeCell ref="W23:W24"/>
    <mergeCell ref="X23:X24"/>
    <mergeCell ref="Y23:Y24"/>
    <mergeCell ref="Z23:Z24"/>
    <mergeCell ref="V27:V28"/>
    <mergeCell ref="W27:W28"/>
    <mergeCell ref="X27:X28"/>
    <mergeCell ref="Y27:Y28"/>
    <mergeCell ref="Z27:Z28"/>
    <mergeCell ref="AA27:AA28"/>
    <mergeCell ref="Z25:Z26"/>
    <mergeCell ref="AA25:AA26"/>
    <mergeCell ref="B27:B28"/>
    <mergeCell ref="C27:C28"/>
    <mergeCell ref="P27:P28"/>
    <mergeCell ref="Q27:Q28"/>
    <mergeCell ref="R27:R28"/>
    <mergeCell ref="S27:S28"/>
    <mergeCell ref="T27:T28"/>
    <mergeCell ref="U27:U28"/>
    <mergeCell ref="T25:T26"/>
    <mergeCell ref="U25:U26"/>
    <mergeCell ref="V25:V26"/>
    <mergeCell ref="W25:W26"/>
    <mergeCell ref="X25:X26"/>
    <mergeCell ref="Y25:Y26"/>
    <mergeCell ref="B25:B26"/>
    <mergeCell ref="C25:C26"/>
    <mergeCell ref="V29:V30"/>
    <mergeCell ref="W29:W30"/>
    <mergeCell ref="X29:X30"/>
    <mergeCell ref="Y29:Y30"/>
    <mergeCell ref="Z29:Z30"/>
    <mergeCell ref="AA29:AA30"/>
    <mergeCell ref="B29:B30"/>
    <mergeCell ref="C29:C30"/>
    <mergeCell ref="P29:P30"/>
    <mergeCell ref="Q29:Q30"/>
    <mergeCell ref="R29:R30"/>
    <mergeCell ref="S29:S30"/>
    <mergeCell ref="T29:T30"/>
    <mergeCell ref="U29:U30"/>
    <mergeCell ref="AA31:AA32"/>
    <mergeCell ref="B31:B32"/>
    <mergeCell ref="C31:C32"/>
    <mergeCell ref="P31:P32"/>
    <mergeCell ref="Q31:Q32"/>
    <mergeCell ref="R31:R32"/>
    <mergeCell ref="S31:S32"/>
    <mergeCell ref="T31:T32"/>
    <mergeCell ref="U31:U32"/>
    <mergeCell ref="P33:P34"/>
    <mergeCell ref="Q33:Q34"/>
    <mergeCell ref="R33:R34"/>
    <mergeCell ref="S33:S34"/>
    <mergeCell ref="V31:V32"/>
    <mergeCell ref="W31:W32"/>
    <mergeCell ref="X31:X32"/>
    <mergeCell ref="Y31:Y32"/>
    <mergeCell ref="Z31:Z32"/>
    <mergeCell ref="V35:V36"/>
    <mergeCell ref="W35:W36"/>
    <mergeCell ref="X35:X36"/>
    <mergeCell ref="Y35:Y36"/>
    <mergeCell ref="Z35:Z36"/>
    <mergeCell ref="AA35:AA36"/>
    <mergeCell ref="Z33:Z34"/>
    <mergeCell ref="AA33:AA34"/>
    <mergeCell ref="B35:B36"/>
    <mergeCell ref="C35:C36"/>
    <mergeCell ref="P35:P36"/>
    <mergeCell ref="Q35:Q36"/>
    <mergeCell ref="R35:R36"/>
    <mergeCell ref="S35:S36"/>
    <mergeCell ref="T35:T36"/>
    <mergeCell ref="U35:U36"/>
    <mergeCell ref="T33:T34"/>
    <mergeCell ref="U33:U34"/>
    <mergeCell ref="V33:V34"/>
    <mergeCell ref="W33:W34"/>
    <mergeCell ref="X33:X34"/>
    <mergeCell ref="Y33:Y34"/>
    <mergeCell ref="B33:B34"/>
    <mergeCell ref="C33:C34"/>
    <mergeCell ref="Z37:Z38"/>
    <mergeCell ref="AA37:AA38"/>
    <mergeCell ref="T37:T38"/>
    <mergeCell ref="U37:U38"/>
    <mergeCell ref="V37:V38"/>
    <mergeCell ref="W37:W38"/>
    <mergeCell ref="X37:X38"/>
    <mergeCell ref="Y37:Y38"/>
    <mergeCell ref="B37:B38"/>
    <mergeCell ref="C37:C38"/>
    <mergeCell ref="P37:P38"/>
    <mergeCell ref="Q37:Q38"/>
    <mergeCell ref="R37:R38"/>
    <mergeCell ref="S37:S38"/>
    <mergeCell ref="V39:V40"/>
    <mergeCell ref="W39:W40"/>
    <mergeCell ref="X39:X40"/>
    <mergeCell ref="Y39:Y40"/>
    <mergeCell ref="Z39:Z40"/>
    <mergeCell ref="AA39:AA40"/>
    <mergeCell ref="B39:B40"/>
    <mergeCell ref="C39:C40"/>
    <mergeCell ref="P39:P40"/>
    <mergeCell ref="Q39:Q40"/>
    <mergeCell ref="R39:R40"/>
    <mergeCell ref="S39:S40"/>
    <mergeCell ref="T39:T40"/>
    <mergeCell ref="U39:U40"/>
    <mergeCell ref="Z41:Z42"/>
    <mergeCell ref="AA41:AA42"/>
    <mergeCell ref="T41:T42"/>
    <mergeCell ref="U41:U42"/>
    <mergeCell ref="V41:V42"/>
    <mergeCell ref="W41:W42"/>
    <mergeCell ref="X41:X42"/>
    <mergeCell ref="Y41:Y42"/>
    <mergeCell ref="B41:B42"/>
    <mergeCell ref="C41:C42"/>
    <mergeCell ref="P41:P42"/>
    <mergeCell ref="Q41:Q42"/>
    <mergeCell ref="R41:R42"/>
    <mergeCell ref="S41:S42"/>
    <mergeCell ref="Z43:Z44"/>
    <mergeCell ref="AA43:AA44"/>
    <mergeCell ref="T43:T44"/>
    <mergeCell ref="U43:U44"/>
    <mergeCell ref="V43:V44"/>
    <mergeCell ref="W43:W44"/>
    <mergeCell ref="X43:X44"/>
    <mergeCell ref="Y43:Y44"/>
    <mergeCell ref="B43:B44"/>
    <mergeCell ref="C43:C44"/>
    <mergeCell ref="P43:P44"/>
    <mergeCell ref="Q43:Q44"/>
    <mergeCell ref="R43:R44"/>
    <mergeCell ref="S43:S44"/>
    <mergeCell ref="B47:B48"/>
    <mergeCell ref="C47:C48"/>
    <mergeCell ref="P47:P48"/>
    <mergeCell ref="Q47:Q48"/>
    <mergeCell ref="R47:R48"/>
    <mergeCell ref="S47:S48"/>
    <mergeCell ref="Z45:Z46"/>
    <mergeCell ref="AA45:AA46"/>
    <mergeCell ref="T45:T46"/>
    <mergeCell ref="U45:U46"/>
    <mergeCell ref="V45:V46"/>
    <mergeCell ref="W45:W46"/>
    <mergeCell ref="X45:X46"/>
    <mergeCell ref="Y45:Y46"/>
    <mergeCell ref="B45:B46"/>
    <mergeCell ref="C45:C46"/>
    <mergeCell ref="P45:P46"/>
    <mergeCell ref="Q45:Q46"/>
    <mergeCell ref="R45:R46"/>
    <mergeCell ref="S45:S46"/>
    <mergeCell ref="Z47:Z48"/>
    <mergeCell ref="AA47:AA48"/>
    <mergeCell ref="T47:T48"/>
    <mergeCell ref="U47:U48"/>
    <mergeCell ref="V47:V48"/>
    <mergeCell ref="W47:W48"/>
    <mergeCell ref="X47:X48"/>
    <mergeCell ref="Y47:Y48"/>
    <mergeCell ref="V49:V50"/>
    <mergeCell ref="W49:W50"/>
    <mergeCell ref="X49:X50"/>
    <mergeCell ref="Y49:Y50"/>
    <mergeCell ref="Z49:Z50"/>
    <mergeCell ref="AA49:AA50"/>
    <mergeCell ref="B49:B50"/>
    <mergeCell ref="C49:C50"/>
    <mergeCell ref="P49:P50"/>
    <mergeCell ref="Z51:Z52"/>
    <mergeCell ref="AA51:AA52"/>
    <mergeCell ref="T51:T52"/>
    <mergeCell ref="U51:U52"/>
    <mergeCell ref="V51:V52"/>
    <mergeCell ref="W51:W52"/>
    <mergeCell ref="X51:X52"/>
    <mergeCell ref="Y51:Y52"/>
    <mergeCell ref="B51:B52"/>
    <mergeCell ref="C51:C52"/>
    <mergeCell ref="P51:P52"/>
    <mergeCell ref="Q51:Q52"/>
    <mergeCell ref="R51:R52"/>
    <mergeCell ref="S51:S52"/>
    <mergeCell ref="Q49:Q50"/>
    <mergeCell ref="R49:R50"/>
    <mergeCell ref="S49:S50"/>
    <mergeCell ref="T49:T50"/>
    <mergeCell ref="U49:U50"/>
  </mergeCells>
  <phoneticPr fontId="19" type="noConversion"/>
  <conditionalFormatting sqref="S7:Z7 S9:Z9 S11:Z11 S13:Z13 S15:Z15 S17:Z17 S19:Z19 S21:Z21 S23:Z23 S25:Z25 S27:Z27 S29:Z29 S31:Z31 S33:Z33 S35:Z35 S37:Z37 S39:Z39 S41:Z41 S43:Z43 S45:Z45 S47:Z47 S49:Z49 S51:Z51">
    <cfRule type="cellIs" dxfId="12" priority="1" operator="notBetween">
      <formula>0.05</formula>
      <formula>-0.05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125"/>
  <sheetViews>
    <sheetView zoomScale="85" zoomScaleNormal="85" workbookViewId="0">
      <selection activeCell="C13" sqref="C13"/>
    </sheetView>
  </sheetViews>
  <sheetFormatPr defaultRowHeight="16.5"/>
  <cols>
    <col min="1" max="1" width="14.125" style="414" customWidth="1"/>
    <col min="2" max="2" width="15.125" style="551" customWidth="1"/>
    <col min="3" max="3" width="16.5" style="551" customWidth="1"/>
    <col min="4" max="4" width="33.5" style="551" customWidth="1"/>
    <col min="5" max="5" width="11" style="551" customWidth="1"/>
    <col min="6" max="6" width="14.75" style="551" customWidth="1"/>
    <col min="7" max="7" width="14.5" style="552" customWidth="1"/>
    <col min="8" max="8" width="9" style="551"/>
    <col min="9" max="9" width="17" style="553" customWidth="1"/>
    <col min="10" max="10" width="9" style="555"/>
    <col min="15" max="15" width="9" style="414"/>
    <col min="19" max="22" width="9" style="414"/>
    <col min="23" max="24" width="9" style="415"/>
    <col min="25" max="25" width="9" style="414"/>
    <col min="26" max="26" width="11.625" style="414" customWidth="1"/>
    <col min="27" max="27" width="10" customWidth="1"/>
    <col min="29" max="29" width="9" customWidth="1"/>
  </cols>
  <sheetData>
    <row r="1" spans="1:32" s="414" customFormat="1">
      <c r="A1" s="414">
        <v>1</v>
      </c>
      <c r="B1" s="551">
        <v>2</v>
      </c>
      <c r="C1" s="551">
        <v>3</v>
      </c>
      <c r="D1" s="551">
        <v>4</v>
      </c>
      <c r="E1" s="551">
        <v>5</v>
      </c>
      <c r="F1" s="551">
        <v>6</v>
      </c>
      <c r="G1" s="552">
        <v>7</v>
      </c>
      <c r="H1" s="551">
        <v>8</v>
      </c>
      <c r="I1" s="553">
        <v>9</v>
      </c>
      <c r="J1" s="551">
        <v>10</v>
      </c>
      <c r="K1" s="414">
        <v>11</v>
      </c>
      <c r="L1" s="414">
        <v>12</v>
      </c>
      <c r="M1" s="414">
        <v>13</v>
      </c>
      <c r="N1" s="414">
        <v>14</v>
      </c>
      <c r="O1" s="414">
        <v>15</v>
      </c>
      <c r="P1" s="414">
        <v>16</v>
      </c>
      <c r="Q1" s="414">
        <v>17</v>
      </c>
      <c r="R1" s="414">
        <v>18</v>
      </c>
      <c r="S1" s="414">
        <v>19</v>
      </c>
      <c r="T1" s="414">
        <v>20</v>
      </c>
      <c r="U1" s="414">
        <v>21</v>
      </c>
      <c r="V1" s="414">
        <v>22</v>
      </c>
      <c r="W1" s="415">
        <v>23</v>
      </c>
      <c r="X1" s="415">
        <v>24</v>
      </c>
      <c r="Y1" s="414">
        <v>25</v>
      </c>
      <c r="Z1" s="414">
        <v>26</v>
      </c>
      <c r="AA1" s="414">
        <v>27</v>
      </c>
      <c r="AB1" s="414">
        <v>28</v>
      </c>
      <c r="AC1" s="414">
        <v>29</v>
      </c>
      <c r="AE1" s="414" t="s">
        <v>611</v>
      </c>
      <c r="AF1" s="414">
        <v>201121</v>
      </c>
    </row>
    <row r="2" spans="1:32" ht="16.5" customHeight="1">
      <c r="A2" s="554" t="s">
        <v>612</v>
      </c>
      <c r="B2" s="555"/>
      <c r="C2" s="555" t="s">
        <v>613</v>
      </c>
      <c r="D2" s="555"/>
      <c r="E2" s="555"/>
      <c r="F2" s="556"/>
      <c r="G2" s="557"/>
      <c r="H2" s="558"/>
      <c r="I2" s="559"/>
      <c r="J2" s="559"/>
      <c r="K2" s="560"/>
      <c r="L2" s="560"/>
      <c r="M2" s="560"/>
      <c r="N2" s="560"/>
      <c r="O2" s="414">
        <v>2</v>
      </c>
      <c r="P2" s="701" t="s">
        <v>614</v>
      </c>
      <c r="Q2" s="701"/>
      <c r="R2" s="701"/>
      <c r="S2" s="701"/>
      <c r="T2" s="701"/>
      <c r="U2" s="701"/>
      <c r="V2" s="701"/>
      <c r="W2" s="701"/>
      <c r="X2" s="701"/>
      <c r="Y2" s="701"/>
      <c r="Z2" s="701"/>
      <c r="AA2" s="701"/>
      <c r="AB2" s="701"/>
    </row>
    <row r="3" spans="1:32">
      <c r="A3" s="554">
        <v>10</v>
      </c>
      <c r="B3" s="555"/>
      <c r="C3" s="555" t="s">
        <v>777</v>
      </c>
      <c r="D3" s="555"/>
      <c r="E3" s="555"/>
      <c r="F3" s="555"/>
      <c r="G3" s="561"/>
      <c r="H3" s="562"/>
      <c r="I3" s="563"/>
      <c r="J3" s="564"/>
      <c r="K3" s="565"/>
      <c r="L3" s="566"/>
      <c r="M3" s="567"/>
      <c r="N3" s="568"/>
      <c r="O3" s="414">
        <v>3</v>
      </c>
      <c r="P3" s="241" t="s">
        <v>615</v>
      </c>
      <c r="Q3" s="240"/>
      <c r="R3" s="240"/>
      <c r="S3" s="418"/>
      <c r="T3" s="418"/>
      <c r="U3" s="418"/>
      <c r="V3" s="418"/>
      <c r="W3" s="419"/>
      <c r="X3" s="419"/>
      <c r="Y3" s="418"/>
      <c r="Z3" s="416"/>
      <c r="AA3" s="417"/>
      <c r="AB3" s="240"/>
      <c r="AF3" t="s">
        <v>606</v>
      </c>
    </row>
    <row r="4" spans="1:32" ht="17.25" thickBot="1">
      <c r="B4" s="555"/>
      <c r="C4" s="555" t="s">
        <v>616</v>
      </c>
      <c r="D4" s="555"/>
      <c r="E4" s="555"/>
      <c r="F4" s="555"/>
      <c r="G4" s="561"/>
      <c r="H4" s="562"/>
      <c r="I4" s="563"/>
      <c r="J4" s="564"/>
      <c r="K4" s="565"/>
      <c r="L4" s="566"/>
      <c r="M4" s="567"/>
      <c r="N4" s="568"/>
      <c r="O4" s="414">
        <v>4</v>
      </c>
      <c r="P4" s="240" t="s">
        <v>617</v>
      </c>
      <c r="Q4" s="240"/>
      <c r="R4" s="240"/>
      <c r="S4" s="418"/>
      <c r="T4" s="418"/>
      <c r="U4" s="418"/>
      <c r="V4" s="418"/>
      <c r="W4" s="419"/>
      <c r="X4" s="419"/>
      <c r="Y4" s="418"/>
      <c r="Z4" s="416"/>
      <c r="AA4" s="417"/>
      <c r="AB4" s="240"/>
      <c r="AF4" t="s">
        <v>618</v>
      </c>
    </row>
    <row r="5" spans="1:32" ht="17.25" thickBot="1">
      <c r="B5" s="551" t="s">
        <v>619</v>
      </c>
      <c r="C5" s="569" t="s">
        <v>785</v>
      </c>
      <c r="G5" s="570"/>
      <c r="H5" s="571"/>
      <c r="I5" s="572"/>
      <c r="J5" s="573"/>
      <c r="K5" s="574"/>
      <c r="L5" s="566"/>
      <c r="M5" s="575"/>
      <c r="N5" s="575"/>
      <c r="O5" s="414">
        <v>5</v>
      </c>
      <c r="P5" s="313" t="s">
        <v>620</v>
      </c>
      <c r="Q5" s="250" t="s">
        <v>621</v>
      </c>
      <c r="R5" s="250" t="s">
        <v>622</v>
      </c>
      <c r="S5" s="420" t="s">
        <v>2</v>
      </c>
      <c r="T5" s="420" t="s">
        <v>3</v>
      </c>
      <c r="U5" s="420" t="s">
        <v>623</v>
      </c>
      <c r="V5" s="420" t="s">
        <v>16</v>
      </c>
      <c r="W5" s="421" t="s">
        <v>6</v>
      </c>
      <c r="X5" s="422" t="s">
        <v>7</v>
      </c>
      <c r="Y5" s="423" t="s">
        <v>624</v>
      </c>
      <c r="Z5" s="424" t="s">
        <v>625</v>
      </c>
      <c r="AA5" s="425" t="s">
        <v>626</v>
      </c>
      <c r="AB5" s="254" t="s">
        <v>627</v>
      </c>
      <c r="AF5" t="s">
        <v>628</v>
      </c>
    </row>
    <row r="6" spans="1:32">
      <c r="E6" s="555"/>
      <c r="F6" s="555"/>
      <c r="G6" s="576"/>
      <c r="H6" s="577"/>
      <c r="I6" s="563"/>
      <c r="J6" s="578"/>
      <c r="K6" s="579"/>
      <c r="L6" s="580"/>
      <c r="M6" s="581"/>
      <c r="N6" s="581"/>
      <c r="O6" s="414">
        <v>6</v>
      </c>
      <c r="P6" s="314">
        <v>1</v>
      </c>
      <c r="Q6" s="271" t="s">
        <v>388</v>
      </c>
      <c r="R6" s="291" t="s">
        <v>213</v>
      </c>
      <c r="S6" s="426"/>
      <c r="T6" s="426"/>
      <c r="U6" s="426"/>
      <c r="V6" s="427"/>
      <c r="W6" s="428"/>
      <c r="X6" s="428"/>
      <c r="Y6" s="429"/>
      <c r="Z6" s="430"/>
      <c r="AA6" s="431"/>
      <c r="AB6" s="275"/>
    </row>
    <row r="7" spans="1:32">
      <c r="E7" s="555"/>
      <c r="F7" s="555"/>
      <c r="G7" s="576"/>
      <c r="H7" s="577"/>
      <c r="I7" s="563"/>
      <c r="J7" s="578"/>
      <c r="K7" s="579"/>
      <c r="L7" s="566"/>
      <c r="M7" s="582"/>
      <c r="N7" s="582"/>
      <c r="O7" s="414">
        <v>7</v>
      </c>
      <c r="P7" s="315">
        <v>2</v>
      </c>
      <c r="Q7" s="583"/>
      <c r="R7" s="584" t="s">
        <v>214</v>
      </c>
      <c r="S7" s="585"/>
      <c r="T7" s="585"/>
      <c r="U7" s="585"/>
      <c r="V7" s="585"/>
      <c r="W7" s="586"/>
      <c r="X7" s="586"/>
      <c r="Y7" s="587"/>
      <c r="Z7" s="433"/>
      <c r="AA7" s="434"/>
      <c r="AB7" s="432"/>
    </row>
    <row r="8" spans="1:32">
      <c r="F8" s="555"/>
      <c r="G8" s="576"/>
      <c r="H8" s="577"/>
      <c r="I8" s="563"/>
      <c r="J8" s="578"/>
      <c r="K8" s="579"/>
      <c r="L8" s="588"/>
      <c r="M8" s="589"/>
      <c r="N8" s="589"/>
      <c r="O8" s="414">
        <v>8</v>
      </c>
      <c r="P8" s="315">
        <v>3</v>
      </c>
      <c r="Q8" s="590"/>
      <c r="R8" s="584" t="s">
        <v>217</v>
      </c>
      <c r="S8" s="585"/>
      <c r="T8" s="585"/>
      <c r="U8" s="585"/>
      <c r="V8" s="585"/>
      <c r="W8" s="586"/>
      <c r="X8" s="586"/>
      <c r="Y8" s="587"/>
      <c r="Z8" s="435"/>
      <c r="AA8" s="436"/>
      <c r="AB8" s="437"/>
    </row>
    <row r="9" spans="1:32">
      <c r="E9" s="555"/>
      <c r="G9" s="576"/>
      <c r="H9" s="577"/>
      <c r="I9" s="563"/>
      <c r="J9" s="578"/>
      <c r="K9" s="579"/>
      <c r="L9" s="566"/>
      <c r="M9" s="567"/>
      <c r="N9" s="568"/>
      <c r="O9" s="414">
        <v>9</v>
      </c>
      <c r="P9" s="315">
        <v>4</v>
      </c>
      <c r="Q9" s="590"/>
      <c r="R9" s="584" t="s">
        <v>218</v>
      </c>
      <c r="S9" s="585"/>
      <c r="T9" s="585"/>
      <c r="U9" s="585"/>
      <c r="V9" s="585"/>
      <c r="W9" s="586"/>
      <c r="X9" s="586"/>
      <c r="Y9" s="587"/>
      <c r="Z9" s="433"/>
      <c r="AA9" s="434"/>
      <c r="AB9" s="438"/>
    </row>
    <row r="10" spans="1:32" ht="17.25" thickBot="1">
      <c r="B10" s="591"/>
      <c r="C10" s="592"/>
      <c r="D10" s="593"/>
      <c r="E10" s="577"/>
      <c r="F10" s="577"/>
      <c r="G10" s="576"/>
      <c r="H10" s="577"/>
      <c r="I10" s="563"/>
      <c r="J10" s="578"/>
      <c r="K10" s="579"/>
      <c r="L10" s="566"/>
      <c r="M10" s="567"/>
      <c r="N10" s="568"/>
      <c r="O10" s="414">
        <v>10</v>
      </c>
      <c r="P10" s="322">
        <v>5</v>
      </c>
      <c r="Q10" s="594"/>
      <c r="R10" s="595" t="s">
        <v>240</v>
      </c>
      <c r="S10" s="596"/>
      <c r="T10" s="596"/>
      <c r="U10" s="596"/>
      <c r="V10" s="596"/>
      <c r="W10" s="597"/>
      <c r="X10" s="597"/>
      <c r="Y10" s="598"/>
      <c r="Z10" s="599"/>
      <c r="AA10" s="600"/>
      <c r="AB10" s="439"/>
    </row>
    <row r="11" spans="1:32" ht="17.25" thickBot="1">
      <c r="B11" s="591"/>
      <c r="C11" s="592"/>
      <c r="D11" s="593"/>
      <c r="E11" s="601"/>
      <c r="F11" s="601"/>
      <c r="G11" s="576"/>
      <c r="H11" s="577"/>
      <c r="I11" s="602"/>
      <c r="J11" s="603"/>
      <c r="K11" s="604"/>
      <c r="L11" s="588"/>
      <c r="M11" s="567"/>
      <c r="N11" s="568"/>
      <c r="O11" s="414">
        <v>11</v>
      </c>
      <c r="P11" s="325"/>
      <c r="Q11" s="326"/>
      <c r="R11" s="440" t="s">
        <v>465</v>
      </c>
      <c r="S11" s="441" t="e">
        <f t="shared" ref="S11:Y11" si="0">AVERAGE(S6:S10)</f>
        <v>#DIV/0!</v>
      </c>
      <c r="T11" s="441" t="e">
        <f>AVERAGE(T6:T10)</f>
        <v>#DIV/0!</v>
      </c>
      <c r="U11" s="441" t="e">
        <f t="shared" si="0"/>
        <v>#DIV/0!</v>
      </c>
      <c r="V11" s="441" t="e">
        <f t="shared" si="0"/>
        <v>#DIV/0!</v>
      </c>
      <c r="W11" s="442" t="e">
        <f t="shared" si="0"/>
        <v>#DIV/0!</v>
      </c>
      <c r="X11" s="442" t="e">
        <f t="shared" si="0"/>
        <v>#DIV/0!</v>
      </c>
      <c r="Y11" s="443" t="e">
        <f t="shared" si="0"/>
        <v>#DIV/0!</v>
      </c>
      <c r="Z11" s="444"/>
      <c r="AA11" s="445"/>
      <c r="AB11" s="446"/>
    </row>
    <row r="12" spans="1:32">
      <c r="B12" s="591"/>
      <c r="C12" s="605"/>
      <c r="D12" s="593"/>
      <c r="E12" s="577"/>
      <c r="F12" s="577"/>
      <c r="G12" s="576"/>
      <c r="H12" s="577"/>
      <c r="I12" s="563"/>
      <c r="J12" s="578"/>
      <c r="K12" s="579"/>
      <c r="L12" s="566"/>
      <c r="M12" s="567"/>
      <c r="N12" s="568"/>
      <c r="O12" s="414">
        <v>12</v>
      </c>
      <c r="P12" s="314">
        <v>6</v>
      </c>
      <c r="Q12" s="271" t="s">
        <v>629</v>
      </c>
      <c r="R12" s="447" t="s">
        <v>241</v>
      </c>
      <c r="S12" s="426"/>
      <c r="T12" s="426"/>
      <c r="U12" s="426"/>
      <c r="V12" s="427"/>
      <c r="W12" s="428"/>
      <c r="X12" s="428"/>
      <c r="Y12" s="429"/>
      <c r="Z12" s="449"/>
      <c r="AA12" s="450"/>
      <c r="AB12" s="606"/>
    </row>
    <row r="13" spans="1:32">
      <c r="B13" s="591"/>
      <c r="C13" s="556"/>
      <c r="D13" s="593"/>
      <c r="E13" s="577"/>
      <c r="F13" s="577"/>
      <c r="G13" s="576"/>
      <c r="H13" s="577"/>
      <c r="I13" s="563"/>
      <c r="J13" s="578"/>
      <c r="K13" s="579"/>
      <c r="L13" s="566"/>
      <c r="M13" s="567"/>
      <c r="N13" s="568"/>
      <c r="O13" s="414">
        <v>13</v>
      </c>
      <c r="P13" s="315">
        <v>7</v>
      </c>
      <c r="Q13" s="590"/>
      <c r="R13" s="584" t="s">
        <v>242</v>
      </c>
      <c r="S13" s="585"/>
      <c r="T13" s="585"/>
      <c r="U13" s="585"/>
      <c r="V13" s="585"/>
      <c r="W13" s="586"/>
      <c r="X13" s="586"/>
      <c r="Y13" s="587"/>
      <c r="Z13" s="433"/>
      <c r="AA13" s="434"/>
      <c r="AB13" s="438"/>
    </row>
    <row r="14" spans="1:32">
      <c r="B14" s="591"/>
      <c r="C14" s="556"/>
      <c r="D14" s="593"/>
      <c r="E14" s="577"/>
      <c r="F14" s="577"/>
      <c r="G14" s="576"/>
      <c r="H14" s="577"/>
      <c r="I14" s="563"/>
      <c r="J14" s="578"/>
      <c r="K14" s="579"/>
      <c r="L14" s="566"/>
      <c r="M14" s="567"/>
      <c r="N14" s="568"/>
      <c r="O14" s="414">
        <v>14</v>
      </c>
      <c r="P14" s="315">
        <v>8</v>
      </c>
      <c r="Q14" s="590"/>
      <c r="R14" s="584" t="s">
        <v>222</v>
      </c>
      <c r="S14" s="585"/>
      <c r="T14" s="585"/>
      <c r="U14" s="585"/>
      <c r="V14" s="585"/>
      <c r="W14" s="586"/>
      <c r="X14" s="586"/>
      <c r="Y14" s="587"/>
      <c r="Z14" s="433"/>
      <c r="AA14" s="434"/>
      <c r="AB14" s="438"/>
    </row>
    <row r="15" spans="1:32">
      <c r="B15" s="591"/>
      <c r="C15" s="556"/>
      <c r="D15" s="593"/>
      <c r="E15" s="577"/>
      <c r="F15" s="577"/>
      <c r="G15" s="576"/>
      <c r="H15" s="577"/>
      <c r="I15" s="563"/>
      <c r="J15" s="578"/>
      <c r="K15" s="579"/>
      <c r="L15" s="566"/>
      <c r="M15" s="567"/>
      <c r="N15" s="568"/>
      <c r="O15" s="414">
        <v>15</v>
      </c>
      <c r="P15" s="315">
        <v>9</v>
      </c>
      <c r="Q15" s="590"/>
      <c r="R15" s="584" t="s">
        <v>223</v>
      </c>
      <c r="S15" s="585"/>
      <c r="T15" s="585"/>
      <c r="U15" s="585"/>
      <c r="V15" s="585"/>
      <c r="W15" s="586"/>
      <c r="X15" s="586"/>
      <c r="Y15" s="587"/>
      <c r="Z15" s="433"/>
      <c r="AA15" s="434"/>
      <c r="AB15" s="438"/>
    </row>
    <row r="16" spans="1:32" ht="17.25" thickBot="1">
      <c r="B16" s="591"/>
      <c r="C16" s="556"/>
      <c r="D16" s="593"/>
      <c r="E16" s="577"/>
      <c r="F16" s="577"/>
      <c r="G16" s="576"/>
      <c r="H16" s="577"/>
      <c r="I16" s="563"/>
      <c r="J16" s="578"/>
      <c r="K16" s="579"/>
      <c r="L16" s="566"/>
      <c r="M16" s="567"/>
      <c r="N16" s="568"/>
      <c r="O16" s="414">
        <v>16</v>
      </c>
      <c r="P16" s="322">
        <v>10</v>
      </c>
      <c r="Q16" s="594"/>
      <c r="R16" s="595" t="s">
        <v>243</v>
      </c>
      <c r="S16" s="596"/>
      <c r="T16" s="596"/>
      <c r="U16" s="596"/>
      <c r="V16" s="596"/>
      <c r="W16" s="597"/>
      <c r="X16" s="597"/>
      <c r="Y16" s="598"/>
      <c r="Z16" s="599"/>
      <c r="AA16" s="600"/>
      <c r="AB16" s="439"/>
    </row>
    <row r="17" spans="2:31" ht="17.25" thickBot="1">
      <c r="B17" s="591"/>
      <c r="C17" s="556"/>
      <c r="D17" s="593"/>
      <c r="E17" s="601"/>
      <c r="F17" s="601"/>
      <c r="G17" s="576"/>
      <c r="H17" s="577"/>
      <c r="I17" s="602"/>
      <c r="J17" s="603"/>
      <c r="K17" s="604"/>
      <c r="L17" s="588"/>
      <c r="M17" s="567"/>
      <c r="N17" s="568"/>
      <c r="O17" s="414">
        <v>17</v>
      </c>
      <c r="P17" s="325" t="s">
        <v>455</v>
      </c>
      <c r="Q17" s="326"/>
      <c r="R17" s="440" t="s">
        <v>465</v>
      </c>
      <c r="S17" s="441" t="e">
        <f t="shared" ref="S17:Y17" si="1">AVERAGE(S12:S16)</f>
        <v>#DIV/0!</v>
      </c>
      <c r="T17" s="441" t="e">
        <f t="shared" si="1"/>
        <v>#DIV/0!</v>
      </c>
      <c r="U17" s="441" t="e">
        <f t="shared" si="1"/>
        <v>#DIV/0!</v>
      </c>
      <c r="V17" s="441" t="e">
        <f t="shared" si="1"/>
        <v>#DIV/0!</v>
      </c>
      <c r="W17" s="442" t="e">
        <f t="shared" si="1"/>
        <v>#DIV/0!</v>
      </c>
      <c r="X17" s="442" t="e">
        <f t="shared" si="1"/>
        <v>#DIV/0!</v>
      </c>
      <c r="Y17" s="443" t="e">
        <f t="shared" si="1"/>
        <v>#DIV/0!</v>
      </c>
      <c r="Z17" s="444"/>
      <c r="AA17" s="445"/>
      <c r="AB17" s="446"/>
    </row>
    <row r="18" spans="2:31">
      <c r="B18" s="591"/>
      <c r="C18" s="605"/>
      <c r="D18" s="593"/>
      <c r="E18" s="577"/>
      <c r="F18" s="577"/>
      <c r="G18" s="576"/>
      <c r="H18" s="577"/>
      <c r="I18" s="563"/>
      <c r="J18" s="578"/>
      <c r="K18" s="579"/>
      <c r="L18" s="566"/>
      <c r="M18" s="567"/>
      <c r="N18" s="568"/>
      <c r="O18" s="414">
        <v>18</v>
      </c>
      <c r="P18" s="333">
        <v>11</v>
      </c>
      <c r="Q18" s="271" t="s">
        <v>630</v>
      </c>
      <c r="R18" s="447" t="s">
        <v>244</v>
      </c>
      <c r="S18" s="426"/>
      <c r="T18" s="426"/>
      <c r="U18" s="426"/>
      <c r="V18" s="427"/>
      <c r="W18" s="428"/>
      <c r="X18" s="428"/>
      <c r="Y18" s="429"/>
      <c r="Z18" s="449"/>
      <c r="AA18" s="450"/>
      <c r="AB18" s="606"/>
    </row>
    <row r="19" spans="2:31">
      <c r="B19" s="591"/>
      <c r="C19" s="605"/>
      <c r="D19" s="593"/>
      <c r="E19" s="577"/>
      <c r="F19" s="577"/>
      <c r="G19" s="576"/>
      <c r="H19" s="577"/>
      <c r="I19" s="563"/>
      <c r="J19" s="578"/>
      <c r="K19" s="579"/>
      <c r="L19" s="566"/>
      <c r="M19" s="567"/>
      <c r="N19" s="568"/>
      <c r="O19" s="414">
        <v>19</v>
      </c>
      <c r="P19" s="335">
        <v>12</v>
      </c>
      <c r="Q19" s="583"/>
      <c r="R19" s="584" t="s">
        <v>245</v>
      </c>
      <c r="S19" s="585"/>
      <c r="T19" s="585"/>
      <c r="U19" s="585"/>
      <c r="V19" s="585"/>
      <c r="W19" s="586"/>
      <c r="X19" s="586"/>
      <c r="Y19" s="587"/>
      <c r="Z19" s="433"/>
      <c r="AA19" s="434"/>
      <c r="AB19" s="438"/>
    </row>
    <row r="20" spans="2:31">
      <c r="B20" s="591"/>
      <c r="C20" s="556"/>
      <c r="D20" s="593"/>
      <c r="E20" s="577"/>
      <c r="F20" s="577"/>
      <c r="G20" s="576"/>
      <c r="H20" s="577"/>
      <c r="I20" s="563"/>
      <c r="J20" s="578"/>
      <c r="K20" s="579"/>
      <c r="L20" s="566"/>
      <c r="M20" s="607"/>
      <c r="N20" s="568"/>
      <c r="O20" s="414">
        <v>20</v>
      </c>
      <c r="P20" s="335">
        <v>13</v>
      </c>
      <c r="Q20" s="590"/>
      <c r="R20" s="584" t="s">
        <v>631</v>
      </c>
      <c r="S20" s="585"/>
      <c r="T20" s="585"/>
      <c r="U20" s="585"/>
      <c r="V20" s="585"/>
      <c r="W20" s="586"/>
      <c r="X20" s="586"/>
      <c r="Y20" s="587"/>
      <c r="Z20" s="433"/>
      <c r="AA20" s="434"/>
      <c r="AB20" s="438"/>
    </row>
    <row r="21" spans="2:31">
      <c r="B21" s="591"/>
      <c r="C21" s="556"/>
      <c r="D21" s="593"/>
      <c r="E21" s="577"/>
      <c r="F21" s="577"/>
      <c r="G21" s="576"/>
      <c r="H21" s="577"/>
      <c r="I21" s="563"/>
      <c r="J21" s="578"/>
      <c r="K21" s="579"/>
      <c r="L21" s="566"/>
      <c r="M21" s="567"/>
      <c r="N21" s="568"/>
      <c r="O21" s="414">
        <v>21</v>
      </c>
      <c r="P21" s="335">
        <v>14</v>
      </c>
      <c r="Q21" s="590"/>
      <c r="R21" s="584" t="s">
        <v>228</v>
      </c>
      <c r="S21" s="585"/>
      <c r="T21" s="585"/>
      <c r="U21" s="585"/>
      <c r="V21" s="585"/>
      <c r="W21" s="586"/>
      <c r="X21" s="586"/>
      <c r="Y21" s="587"/>
      <c r="Z21" s="433"/>
      <c r="AA21" s="434"/>
      <c r="AB21" s="438"/>
    </row>
    <row r="22" spans="2:31" ht="17.25" thickBot="1">
      <c r="B22" s="591"/>
      <c r="C22" s="556"/>
      <c r="D22" s="593"/>
      <c r="E22" s="577"/>
      <c r="F22" s="577"/>
      <c r="G22" s="576"/>
      <c r="H22" s="577"/>
      <c r="I22" s="563"/>
      <c r="J22" s="578"/>
      <c r="K22" s="579"/>
      <c r="L22" s="566"/>
      <c r="M22" s="567"/>
      <c r="N22" s="568"/>
      <c r="O22" s="414">
        <v>22</v>
      </c>
      <c r="P22" s="336">
        <v>15</v>
      </c>
      <c r="Q22" s="594"/>
      <c r="R22" s="595" t="s">
        <v>246</v>
      </c>
      <c r="S22" s="596"/>
      <c r="T22" s="596"/>
      <c r="U22" s="596"/>
      <c r="V22" s="596"/>
      <c r="W22" s="597"/>
      <c r="X22" s="597"/>
      <c r="Y22" s="598"/>
      <c r="Z22" s="599"/>
      <c r="AA22" s="600"/>
      <c r="AB22" s="439"/>
    </row>
    <row r="23" spans="2:31" ht="17.25" thickBot="1">
      <c r="B23" s="591"/>
      <c r="C23" s="556"/>
      <c r="D23" s="593"/>
      <c r="E23" s="601"/>
      <c r="F23" s="601"/>
      <c r="G23" s="576"/>
      <c r="H23" s="577"/>
      <c r="I23" s="602"/>
      <c r="J23" s="603"/>
      <c r="K23" s="604"/>
      <c r="L23" s="588"/>
      <c r="M23" s="567"/>
      <c r="N23" s="568"/>
      <c r="O23" s="414">
        <v>23</v>
      </c>
      <c r="P23" s="337"/>
      <c r="Q23" s="326"/>
      <c r="R23" s="440" t="s">
        <v>465</v>
      </c>
      <c r="S23" s="441" t="e">
        <f t="shared" ref="S23:Y23" si="2">AVERAGE(S18:S22)</f>
        <v>#DIV/0!</v>
      </c>
      <c r="T23" s="441" t="e">
        <f t="shared" si="2"/>
        <v>#DIV/0!</v>
      </c>
      <c r="U23" s="441" t="e">
        <f t="shared" si="2"/>
        <v>#DIV/0!</v>
      </c>
      <c r="V23" s="441" t="e">
        <f t="shared" si="2"/>
        <v>#DIV/0!</v>
      </c>
      <c r="W23" s="442" t="e">
        <f t="shared" si="2"/>
        <v>#DIV/0!</v>
      </c>
      <c r="X23" s="442" t="e">
        <f t="shared" si="2"/>
        <v>#DIV/0!</v>
      </c>
      <c r="Y23" s="443" t="e">
        <f t="shared" si="2"/>
        <v>#DIV/0!</v>
      </c>
      <c r="Z23" s="444"/>
      <c r="AA23" s="445"/>
      <c r="AB23" s="446"/>
    </row>
    <row r="24" spans="2:31">
      <c r="B24" s="591"/>
      <c r="C24" s="605"/>
      <c r="D24" s="593"/>
      <c r="E24" s="577"/>
      <c r="F24" s="577"/>
      <c r="G24" s="576"/>
      <c r="H24" s="577"/>
      <c r="I24" s="563"/>
      <c r="J24" s="578"/>
      <c r="K24" s="579"/>
      <c r="L24" s="566"/>
      <c r="M24" s="567"/>
      <c r="N24" s="568"/>
      <c r="O24" s="414">
        <v>24</v>
      </c>
      <c r="P24" s="333">
        <v>16</v>
      </c>
      <c r="Q24" s="271" t="s">
        <v>632</v>
      </c>
      <c r="R24" s="447" t="s">
        <v>247</v>
      </c>
      <c r="S24" s="426"/>
      <c r="T24" s="426"/>
      <c r="U24" s="426"/>
      <c r="V24" s="427"/>
      <c r="W24" s="428"/>
      <c r="X24" s="428"/>
      <c r="Y24" s="429"/>
      <c r="Z24" s="449"/>
      <c r="AA24" s="450"/>
      <c r="AB24" s="606"/>
    </row>
    <row r="25" spans="2:31">
      <c r="B25" s="591"/>
      <c r="C25" s="556"/>
      <c r="D25" s="593"/>
      <c r="E25" s="577"/>
      <c r="F25" s="577"/>
      <c r="G25" s="576"/>
      <c r="H25" s="577"/>
      <c r="I25" s="563"/>
      <c r="J25" s="578"/>
      <c r="K25" s="579"/>
      <c r="L25" s="566"/>
      <c r="M25" s="567"/>
      <c r="N25" s="568"/>
      <c r="O25" s="414">
        <v>25</v>
      </c>
      <c r="P25" s="335">
        <v>17</v>
      </c>
      <c r="Q25" s="590"/>
      <c r="R25" s="584" t="s">
        <v>248</v>
      </c>
      <c r="S25" s="585"/>
      <c r="T25" s="585"/>
      <c r="U25" s="585"/>
      <c r="V25" s="585"/>
      <c r="W25" s="586"/>
      <c r="X25" s="586"/>
      <c r="Y25" s="587"/>
      <c r="Z25" s="433"/>
      <c r="AA25" s="434"/>
      <c r="AB25" s="438"/>
    </row>
    <row r="26" spans="2:31">
      <c r="B26" s="591"/>
      <c r="C26" s="556"/>
      <c r="D26" s="593"/>
      <c r="E26" s="577"/>
      <c r="F26" s="577"/>
      <c r="G26" s="576"/>
      <c r="H26" s="577"/>
      <c r="I26" s="563"/>
      <c r="J26" s="578"/>
      <c r="K26" s="579"/>
      <c r="L26" s="566"/>
      <c r="M26" s="567"/>
      <c r="N26" s="568"/>
      <c r="O26" s="414">
        <v>26</v>
      </c>
      <c r="P26" s="335">
        <v>18</v>
      </c>
      <c r="Q26" s="590"/>
      <c r="R26" s="584" t="s">
        <v>232</v>
      </c>
      <c r="S26" s="585"/>
      <c r="T26" s="585"/>
      <c r="U26" s="585"/>
      <c r="V26" s="585"/>
      <c r="W26" s="586"/>
      <c r="X26" s="586"/>
      <c r="Y26" s="587"/>
      <c r="Z26" s="433"/>
      <c r="AA26" s="434"/>
      <c r="AB26" s="438"/>
    </row>
    <row r="27" spans="2:31">
      <c r="B27" s="591"/>
      <c r="C27" s="556"/>
      <c r="D27" s="593"/>
      <c r="E27" s="577"/>
      <c r="F27" s="577"/>
      <c r="G27" s="576"/>
      <c r="H27" s="577"/>
      <c r="I27" s="563"/>
      <c r="J27" s="578"/>
      <c r="K27" s="579"/>
      <c r="L27" s="566"/>
      <c r="M27" s="567"/>
      <c r="N27" s="568"/>
      <c r="O27" s="414">
        <v>27</v>
      </c>
      <c r="P27" s="335">
        <v>19</v>
      </c>
      <c r="Q27" s="590"/>
      <c r="R27" s="584" t="s">
        <v>233</v>
      </c>
      <c r="S27" s="585"/>
      <c r="T27" s="585"/>
      <c r="U27" s="585"/>
      <c r="V27" s="585"/>
      <c r="W27" s="586"/>
      <c r="X27" s="586"/>
      <c r="Y27" s="587"/>
      <c r="Z27" s="433"/>
      <c r="AA27" s="434"/>
      <c r="AB27" s="438"/>
    </row>
    <row r="28" spans="2:31" ht="17.25" thickBot="1">
      <c r="B28" s="591"/>
      <c r="C28" s="556"/>
      <c r="D28" s="593"/>
      <c r="E28" s="577"/>
      <c r="F28" s="577"/>
      <c r="G28" s="576"/>
      <c r="H28" s="577"/>
      <c r="I28" s="563"/>
      <c r="J28" s="578"/>
      <c r="K28" s="579"/>
      <c r="L28" s="566"/>
      <c r="M28" s="567"/>
      <c r="N28" s="568"/>
      <c r="O28" s="414">
        <v>28</v>
      </c>
      <c r="P28" s="336">
        <v>20</v>
      </c>
      <c r="Q28" s="594"/>
      <c r="R28" s="595" t="s">
        <v>249</v>
      </c>
      <c r="S28" s="596"/>
      <c r="T28" s="596"/>
      <c r="U28" s="596"/>
      <c r="V28" s="596"/>
      <c r="W28" s="597"/>
      <c r="X28" s="597"/>
      <c r="Y28" s="598"/>
      <c r="Z28" s="599"/>
      <c r="AA28" s="600"/>
      <c r="AB28" s="439"/>
    </row>
    <row r="29" spans="2:31" ht="17.25" thickBot="1">
      <c r="B29" s="591"/>
      <c r="C29" s="556"/>
      <c r="D29" s="593"/>
      <c r="E29" s="601"/>
      <c r="F29" s="601"/>
      <c r="G29" s="576"/>
      <c r="H29" s="577"/>
      <c r="I29" s="602"/>
      <c r="J29" s="603"/>
      <c r="K29" s="604"/>
      <c r="L29" s="588"/>
      <c r="M29" s="567"/>
      <c r="N29" s="568"/>
      <c r="O29" s="414">
        <v>29</v>
      </c>
      <c r="P29" s="337"/>
      <c r="Q29" s="326"/>
      <c r="R29" s="440" t="s">
        <v>465</v>
      </c>
      <c r="S29" s="441" t="e">
        <f t="shared" ref="S29:Y29" si="3">AVERAGE(S24:S28)</f>
        <v>#DIV/0!</v>
      </c>
      <c r="T29" s="441" t="e">
        <f t="shared" si="3"/>
        <v>#DIV/0!</v>
      </c>
      <c r="U29" s="441" t="e">
        <f t="shared" si="3"/>
        <v>#DIV/0!</v>
      </c>
      <c r="V29" s="441" t="e">
        <f t="shared" si="3"/>
        <v>#DIV/0!</v>
      </c>
      <c r="W29" s="442" t="e">
        <f t="shared" si="3"/>
        <v>#DIV/0!</v>
      </c>
      <c r="X29" s="442" t="e">
        <f t="shared" si="3"/>
        <v>#DIV/0!</v>
      </c>
      <c r="Y29" s="443" t="e">
        <f t="shared" si="3"/>
        <v>#DIV/0!</v>
      </c>
      <c r="Z29" s="444"/>
      <c r="AA29" s="445"/>
      <c r="AB29" s="446"/>
      <c r="AE29" t="s">
        <v>633</v>
      </c>
    </row>
    <row r="30" spans="2:31">
      <c r="B30" s="591"/>
      <c r="C30" s="605"/>
      <c r="D30" s="593"/>
      <c r="E30" s="577"/>
      <c r="F30" s="577"/>
      <c r="G30" s="576"/>
      <c r="H30" s="577"/>
      <c r="I30" s="563"/>
      <c r="J30" s="578"/>
      <c r="K30" s="579"/>
      <c r="L30" s="566"/>
      <c r="M30" s="567"/>
      <c r="N30" s="568"/>
      <c r="O30" s="414">
        <v>30</v>
      </c>
      <c r="P30" s="333">
        <v>21</v>
      </c>
      <c r="Q30" s="271" t="s">
        <v>629</v>
      </c>
      <c r="R30" s="447" t="s">
        <v>250</v>
      </c>
      <c r="S30" s="426"/>
      <c r="T30" s="426"/>
      <c r="U30" s="426"/>
      <c r="V30" s="427"/>
      <c r="W30" s="428"/>
      <c r="X30" s="428"/>
      <c r="Y30" s="429"/>
      <c r="Z30" s="449"/>
      <c r="AA30" s="450"/>
      <c r="AB30" s="606"/>
      <c r="AE30" t="s">
        <v>634</v>
      </c>
    </row>
    <row r="31" spans="2:31">
      <c r="B31" s="591"/>
      <c r="C31" s="556"/>
      <c r="D31" s="593"/>
      <c r="E31" s="577"/>
      <c r="F31" s="577"/>
      <c r="G31" s="576"/>
      <c r="H31" s="577"/>
      <c r="I31" s="563"/>
      <c r="J31" s="578"/>
      <c r="K31" s="579"/>
      <c r="L31" s="566"/>
      <c r="M31" s="567"/>
      <c r="N31" s="568"/>
      <c r="O31" s="414">
        <v>31</v>
      </c>
      <c r="P31" s="335">
        <v>22</v>
      </c>
      <c r="Q31" s="590"/>
      <c r="R31" s="584" t="s">
        <v>251</v>
      </c>
      <c r="S31" s="585"/>
      <c r="T31" s="585"/>
      <c r="U31" s="585"/>
      <c r="V31" s="585"/>
      <c r="W31" s="586"/>
      <c r="X31" s="586"/>
      <c r="Y31" s="587"/>
      <c r="Z31" s="433"/>
      <c r="AA31" s="434"/>
      <c r="AB31" s="438"/>
      <c r="AE31" t="s">
        <v>635</v>
      </c>
    </row>
    <row r="32" spans="2:31">
      <c r="B32" s="591"/>
      <c r="C32" s="556"/>
      <c r="D32" s="593"/>
      <c r="E32" s="577"/>
      <c r="F32" s="577"/>
      <c r="G32" s="576"/>
      <c r="H32" s="577"/>
      <c r="I32" s="563"/>
      <c r="J32" s="578"/>
      <c r="K32" s="579"/>
      <c r="L32" s="566"/>
      <c r="M32" s="567"/>
      <c r="N32" s="568"/>
      <c r="O32" s="414">
        <v>32</v>
      </c>
      <c r="P32" s="335">
        <v>23</v>
      </c>
      <c r="Q32" s="590"/>
      <c r="R32" s="584" t="s">
        <v>237</v>
      </c>
      <c r="S32" s="585"/>
      <c r="T32" s="585"/>
      <c r="U32" s="585"/>
      <c r="V32" s="585"/>
      <c r="W32" s="586"/>
      <c r="X32" s="586"/>
      <c r="Y32" s="587"/>
      <c r="Z32" s="433"/>
      <c r="AA32" s="434"/>
      <c r="AB32" s="438"/>
    </row>
    <row r="33" spans="1:28">
      <c r="B33" s="591"/>
      <c r="C33" s="556"/>
      <c r="D33" s="593"/>
      <c r="E33" s="577"/>
      <c r="F33" s="577"/>
      <c r="G33" s="576"/>
      <c r="H33" s="577"/>
      <c r="I33" s="563"/>
      <c r="J33" s="578"/>
      <c r="K33" s="579"/>
      <c r="L33" s="566"/>
      <c r="M33" s="567"/>
      <c r="N33" s="568"/>
      <c r="O33" s="414">
        <v>33</v>
      </c>
      <c r="P33" s="335">
        <v>24</v>
      </c>
      <c r="Q33" s="590"/>
      <c r="R33" s="608" t="s">
        <v>238</v>
      </c>
      <c r="S33" s="585"/>
      <c r="T33" s="585"/>
      <c r="U33" s="585"/>
      <c r="V33" s="585"/>
      <c r="W33" s="586"/>
      <c r="X33" s="586"/>
      <c r="Y33" s="587"/>
      <c r="Z33" s="451"/>
      <c r="AA33" s="452"/>
      <c r="AB33" s="321"/>
    </row>
    <row r="34" spans="1:28" ht="17.25" thickBot="1">
      <c r="B34" s="591"/>
      <c r="C34" s="556"/>
      <c r="D34" s="593"/>
      <c r="E34" s="577"/>
      <c r="F34" s="577"/>
      <c r="G34" s="576"/>
      <c r="H34" s="577"/>
      <c r="I34" s="563"/>
      <c r="J34" s="578"/>
      <c r="K34" s="579"/>
      <c r="L34" s="566"/>
      <c r="M34" s="567"/>
      <c r="N34" s="568"/>
      <c r="O34" s="414">
        <v>34</v>
      </c>
      <c r="P34" s="336">
        <v>25</v>
      </c>
      <c r="Q34" s="594"/>
      <c r="R34" s="609" t="s">
        <v>252</v>
      </c>
      <c r="S34" s="596"/>
      <c r="T34" s="596"/>
      <c r="U34" s="596"/>
      <c r="V34" s="596"/>
      <c r="W34" s="597"/>
      <c r="X34" s="597"/>
      <c r="Y34" s="598"/>
      <c r="Z34" s="610"/>
      <c r="AA34" s="611"/>
      <c r="AB34" s="453"/>
    </row>
    <row r="35" spans="1:28" ht="17.25" thickBot="1">
      <c r="B35" s="591"/>
      <c r="C35" s="556"/>
      <c r="D35" s="593"/>
      <c r="E35" s="601"/>
      <c r="F35" s="601"/>
      <c r="G35" s="576"/>
      <c r="H35" s="577"/>
      <c r="I35" s="602"/>
      <c r="J35" s="603"/>
      <c r="K35" s="604"/>
      <c r="L35" s="588"/>
      <c r="M35" s="567"/>
      <c r="N35" s="568"/>
      <c r="O35" s="414">
        <v>35</v>
      </c>
      <c r="P35" s="339" t="s">
        <v>636</v>
      </c>
      <c r="Q35" s="340"/>
      <c r="R35" s="341" t="s">
        <v>465</v>
      </c>
      <c r="S35" s="454" t="e">
        <f t="shared" ref="S35:Y35" si="4">AVERAGE(S30:S34)</f>
        <v>#DIV/0!</v>
      </c>
      <c r="T35" s="454" t="e">
        <f t="shared" si="4"/>
        <v>#DIV/0!</v>
      </c>
      <c r="U35" s="454" t="e">
        <f t="shared" si="4"/>
        <v>#DIV/0!</v>
      </c>
      <c r="V35" s="454" t="e">
        <f t="shared" si="4"/>
        <v>#DIV/0!</v>
      </c>
      <c r="W35" s="455" t="e">
        <f t="shared" si="4"/>
        <v>#DIV/0!</v>
      </c>
      <c r="X35" s="455" t="e">
        <f t="shared" si="4"/>
        <v>#DIV/0!</v>
      </c>
      <c r="Y35" s="456" t="e">
        <f t="shared" si="4"/>
        <v>#DIV/0!</v>
      </c>
      <c r="Z35" s="457"/>
      <c r="AA35" s="458"/>
      <c r="AB35" s="344"/>
    </row>
    <row r="36" spans="1:28">
      <c r="B36" s="591"/>
      <c r="C36" s="556"/>
      <c r="D36" s="593"/>
      <c r="E36" s="601"/>
      <c r="F36" s="601"/>
      <c r="G36" s="576"/>
      <c r="H36" s="577"/>
      <c r="I36" s="602"/>
      <c r="J36" s="603"/>
      <c r="K36" s="604"/>
      <c r="L36" s="566"/>
      <c r="M36" s="567"/>
      <c r="N36" s="568"/>
      <c r="O36" s="414">
        <v>36</v>
      </c>
      <c r="P36" s="333"/>
      <c r="Q36" s="345"/>
      <c r="R36" s="291" t="s">
        <v>637</v>
      </c>
      <c r="S36" s="459" t="e">
        <f t="shared" ref="S36:Y36" si="5">MEDIAN(S6:S10,S12:S16,S18:S22,S24:S28,S30:S34)</f>
        <v>#NUM!</v>
      </c>
      <c r="T36" s="461" t="e">
        <f t="shared" si="5"/>
        <v>#NUM!</v>
      </c>
      <c r="U36" s="461" t="e">
        <f t="shared" si="5"/>
        <v>#NUM!</v>
      </c>
      <c r="V36" s="461" t="e">
        <f t="shared" si="5"/>
        <v>#NUM!</v>
      </c>
      <c r="W36" s="460" t="e">
        <f t="shared" si="5"/>
        <v>#NUM!</v>
      </c>
      <c r="X36" s="460" t="e">
        <f t="shared" si="5"/>
        <v>#NUM!</v>
      </c>
      <c r="Y36" s="461" t="e">
        <f t="shared" si="5"/>
        <v>#NUM!</v>
      </c>
      <c r="Z36" s="462"/>
      <c r="AA36" s="463"/>
      <c r="AB36" s="612"/>
    </row>
    <row r="37" spans="1:28">
      <c r="B37" s="591"/>
      <c r="C37" s="556"/>
      <c r="D37" s="593"/>
      <c r="E37" s="601"/>
      <c r="F37" s="601"/>
      <c r="G37" s="576"/>
      <c r="H37" s="577"/>
      <c r="I37" s="602"/>
      <c r="J37" s="603"/>
      <c r="K37" s="604"/>
      <c r="L37" s="566"/>
      <c r="M37" s="567"/>
      <c r="N37" s="568"/>
      <c r="O37" s="414">
        <v>37</v>
      </c>
      <c r="P37" s="335"/>
      <c r="Q37" s="590"/>
      <c r="R37" s="608" t="s">
        <v>457</v>
      </c>
      <c r="S37" s="613" t="e">
        <f t="shared" ref="S37:Y37" si="6">AVERAGE(S6:S10,S12:S16,S18:S22,S24:S28,S30:S34)</f>
        <v>#DIV/0!</v>
      </c>
      <c r="T37" s="614" t="e">
        <f t="shared" si="6"/>
        <v>#DIV/0!</v>
      </c>
      <c r="U37" s="614" t="e">
        <f t="shared" si="6"/>
        <v>#DIV/0!</v>
      </c>
      <c r="V37" s="614" t="e">
        <f t="shared" si="6"/>
        <v>#DIV/0!</v>
      </c>
      <c r="W37" s="615" t="e">
        <f t="shared" si="6"/>
        <v>#DIV/0!</v>
      </c>
      <c r="X37" s="615" t="e">
        <f t="shared" si="6"/>
        <v>#DIV/0!</v>
      </c>
      <c r="Y37" s="614" t="e">
        <f t="shared" si="6"/>
        <v>#DIV/0!</v>
      </c>
      <c r="Z37" s="451"/>
      <c r="AA37" s="452"/>
      <c r="AB37" s="321"/>
    </row>
    <row r="38" spans="1:28">
      <c r="B38" s="591"/>
      <c r="C38" s="556"/>
      <c r="D38" s="593"/>
      <c r="E38" s="601"/>
      <c r="F38" s="601"/>
      <c r="G38" s="576"/>
      <c r="H38" s="577"/>
      <c r="I38" s="602"/>
      <c r="J38" s="603"/>
      <c r="K38" s="604"/>
      <c r="L38" s="566"/>
      <c r="M38" s="567"/>
      <c r="N38" s="568"/>
      <c r="O38" s="414">
        <v>38</v>
      </c>
      <c r="P38" s="335"/>
      <c r="Q38" s="590"/>
      <c r="R38" s="608" t="s">
        <v>638</v>
      </c>
      <c r="S38" s="613">
        <f t="shared" ref="S38:Y38" si="7">MAX(S6:S10,S12:S16,S18:S22,S24:S28,S30:S34)</f>
        <v>0</v>
      </c>
      <c r="T38" s="614">
        <f t="shared" si="7"/>
        <v>0</v>
      </c>
      <c r="U38" s="614">
        <f t="shared" si="7"/>
        <v>0</v>
      </c>
      <c r="V38" s="614">
        <f t="shared" si="7"/>
        <v>0</v>
      </c>
      <c r="W38" s="615">
        <f t="shared" si="7"/>
        <v>0</v>
      </c>
      <c r="X38" s="615">
        <f t="shared" si="7"/>
        <v>0</v>
      </c>
      <c r="Y38" s="614">
        <f t="shared" si="7"/>
        <v>0</v>
      </c>
      <c r="Z38" s="451"/>
      <c r="AA38" s="452"/>
      <c r="AB38" s="321"/>
    </row>
    <row r="39" spans="1:28">
      <c r="B39" s="591"/>
      <c r="C39" s="556"/>
      <c r="D39" s="593"/>
      <c r="E39" s="601"/>
      <c r="F39" s="601"/>
      <c r="G39" s="576"/>
      <c r="H39" s="577"/>
      <c r="I39" s="602"/>
      <c r="J39" s="603"/>
      <c r="K39" s="604"/>
      <c r="L39" s="566"/>
      <c r="M39" s="567"/>
      <c r="N39" s="568"/>
      <c r="O39" s="414">
        <v>39</v>
      </c>
      <c r="P39" s="335"/>
      <c r="Q39" s="590"/>
      <c r="R39" s="608" t="s">
        <v>639</v>
      </c>
      <c r="S39" s="613">
        <f t="shared" ref="S39:Y39" si="8">MIN(S6:S10,S12:S16,S18:S22,S24:S28,S30:S34)</f>
        <v>0</v>
      </c>
      <c r="T39" s="614">
        <f t="shared" si="8"/>
        <v>0</v>
      </c>
      <c r="U39" s="614">
        <f t="shared" si="8"/>
        <v>0</v>
      </c>
      <c r="V39" s="614">
        <f t="shared" si="8"/>
        <v>0</v>
      </c>
      <c r="W39" s="615">
        <f t="shared" si="8"/>
        <v>0</v>
      </c>
      <c r="X39" s="615">
        <f t="shared" si="8"/>
        <v>0</v>
      </c>
      <c r="Y39" s="614">
        <f t="shared" si="8"/>
        <v>0</v>
      </c>
      <c r="Z39" s="451"/>
      <c r="AA39" s="452"/>
      <c r="AB39" s="321"/>
    </row>
    <row r="40" spans="1:28">
      <c r="B40" s="591"/>
      <c r="C40" s="556"/>
      <c r="D40" s="593"/>
      <c r="E40" s="601"/>
      <c r="F40" s="601"/>
      <c r="G40" s="576"/>
      <c r="H40" s="577"/>
      <c r="I40" s="602"/>
      <c r="J40" s="603"/>
      <c r="K40" s="604"/>
      <c r="L40" s="566"/>
      <c r="M40" s="567"/>
      <c r="N40" s="568"/>
      <c r="O40" s="414">
        <v>40</v>
      </c>
      <c r="P40" s="335"/>
      <c r="Q40" s="590"/>
      <c r="R40" s="608" t="s">
        <v>640</v>
      </c>
      <c r="S40" s="613">
        <f t="shared" ref="S40:Y40" si="9">S38-S39</f>
        <v>0</v>
      </c>
      <c r="T40" s="614">
        <f t="shared" si="9"/>
        <v>0</v>
      </c>
      <c r="U40" s="614">
        <f t="shared" si="9"/>
        <v>0</v>
      </c>
      <c r="V40" s="614">
        <f t="shared" si="9"/>
        <v>0</v>
      </c>
      <c r="W40" s="615">
        <f t="shared" si="9"/>
        <v>0</v>
      </c>
      <c r="X40" s="615">
        <f t="shared" si="9"/>
        <v>0</v>
      </c>
      <c r="Y40" s="614">
        <f t="shared" si="9"/>
        <v>0</v>
      </c>
      <c r="Z40" s="451"/>
      <c r="AA40" s="452"/>
      <c r="AB40" s="321"/>
    </row>
    <row r="41" spans="1:28" ht="17.25" thickBot="1">
      <c r="B41" s="591"/>
      <c r="C41" s="556"/>
      <c r="D41" s="593"/>
      <c r="E41" s="601"/>
      <c r="F41" s="601"/>
      <c r="G41" s="576"/>
      <c r="H41" s="577"/>
      <c r="I41" s="602"/>
      <c r="J41" s="603"/>
      <c r="K41" s="604"/>
      <c r="L41" s="566"/>
      <c r="M41" s="567"/>
      <c r="N41" s="568"/>
      <c r="O41" s="414">
        <v>41</v>
      </c>
      <c r="P41" s="336"/>
      <c r="Q41" s="594"/>
      <c r="R41" s="609" t="s">
        <v>641</v>
      </c>
      <c r="S41" s="616" t="e">
        <f t="shared" ref="S41:Y41" si="10">STDEVA(S6:S10,S12:S16,S18:S22,S24:S28,S30:S34)</f>
        <v>#DIV/0!</v>
      </c>
      <c r="T41" s="616" t="e">
        <f t="shared" si="10"/>
        <v>#DIV/0!</v>
      </c>
      <c r="U41" s="616" t="e">
        <f t="shared" si="10"/>
        <v>#DIV/0!</v>
      </c>
      <c r="V41" s="616" t="e">
        <f t="shared" si="10"/>
        <v>#DIV/0!</v>
      </c>
      <c r="W41" s="617" t="e">
        <f t="shared" si="10"/>
        <v>#DIV/0!</v>
      </c>
      <c r="X41" s="617" t="e">
        <f t="shared" si="10"/>
        <v>#DIV/0!</v>
      </c>
      <c r="Y41" s="616" t="e">
        <f t="shared" si="10"/>
        <v>#DIV/0!</v>
      </c>
      <c r="Z41" s="610"/>
      <c r="AA41" s="464"/>
      <c r="AB41" s="618"/>
    </row>
    <row r="42" spans="1:28" ht="17.25" thickBot="1">
      <c r="B42" s="555"/>
      <c r="C42" s="555"/>
      <c r="D42" s="555"/>
      <c r="E42" s="555"/>
      <c r="F42" s="555"/>
      <c r="G42" s="619"/>
      <c r="H42" s="555"/>
      <c r="O42" s="414">
        <v>42</v>
      </c>
      <c r="P42" s="465" t="s">
        <v>642</v>
      </c>
      <c r="Q42" s="466" t="s">
        <v>643</v>
      </c>
      <c r="R42" s="467" t="s">
        <v>644</v>
      </c>
      <c r="S42" s="468" t="s">
        <v>2</v>
      </c>
      <c r="T42" s="468" t="s">
        <v>3</v>
      </c>
      <c r="U42" s="468" t="s">
        <v>623</v>
      </c>
      <c r="V42" s="468" t="s">
        <v>16</v>
      </c>
      <c r="W42" s="469" t="s">
        <v>6</v>
      </c>
      <c r="X42" s="470" t="s">
        <v>7</v>
      </c>
      <c r="Y42" s="471" t="s">
        <v>645</v>
      </c>
      <c r="Z42" s="472" t="s">
        <v>646</v>
      </c>
      <c r="AA42" s="550" t="s">
        <v>647</v>
      </c>
      <c r="AB42" s="332"/>
    </row>
    <row r="43" spans="1:28">
      <c r="B43" s="620" t="s">
        <v>2</v>
      </c>
      <c r="C43" s="621" t="s">
        <v>3</v>
      </c>
      <c r="D43" s="621" t="s">
        <v>648</v>
      </c>
      <c r="E43" s="622" t="s">
        <v>16</v>
      </c>
      <c r="F43" s="623" t="s">
        <v>6</v>
      </c>
      <c r="G43" s="624" t="s">
        <v>7</v>
      </c>
      <c r="H43" s="625" t="s">
        <v>607</v>
      </c>
      <c r="I43" s="626" t="s">
        <v>647</v>
      </c>
      <c r="O43" s="414">
        <v>43</v>
      </c>
      <c r="P43" s="473"/>
      <c r="Q43" s="474" t="str">
        <f ca="1">IFERROR(OFFSET(P3,IF(VALUE(MID(R43,2,1))=1,3,IF(VALUE(MID(R43,2,1))=2,9,IF(VALUE(MID(R43,2,1))=3,15,IF(VALUE(MID(R43,2,1))=4,21,27)))),1),"")</f>
        <v/>
      </c>
      <c r="R43" s="475" t="str">
        <f>IF(P43="","","C"&amp;P43)</f>
        <v/>
      </c>
      <c r="S43" s="539" t="str">
        <f>IF(IFERROR(VLOOKUP(R43,R6:Y34,2,0),0),VLOOKUP(R43,R6:Y34,2,0),"")</f>
        <v/>
      </c>
      <c r="T43" s="539" t="str">
        <f>IF(IFERROR(VLOOKUP(R43,R6:Y34,3,0),0),VLOOKUP(R43,R6:Y34,3,0),"")</f>
        <v/>
      </c>
      <c r="U43" s="539" t="str">
        <f>IF(IFERROR(VLOOKUP(R43,R6:Y34,4,0),0),VLOOKUP(R43,R6:Y34,4,0),"")</f>
        <v/>
      </c>
      <c r="V43" s="539" t="str">
        <f>IF(IFERROR(VLOOKUP(R43,R6:Y34,5,0),0),VLOOKUP(R43,R6:Y34,5,0),"")</f>
        <v/>
      </c>
      <c r="W43" s="540" t="str">
        <f>IF(IFERROR(VLOOKUP(R43,R6:Y34,6,0),0),VLOOKUP(R43,R6:Y34,6,0),"")</f>
        <v/>
      </c>
      <c r="X43" s="540" t="str">
        <f>IF(IFERROR(VLOOKUP(R43,R6:Y34,7,0),0),VLOOKUP(R43,R6:Y34,7,0),"")</f>
        <v/>
      </c>
      <c r="Y43" s="541" t="str">
        <f>IF(IFERROR(VLOOKUP(R43,R6:Y34,8,0),0),VLOOKUP(R43,R6:Y34,8,0),"")</f>
        <v/>
      </c>
      <c r="Z43" s="542" t="str">
        <f>IF(IFERROR(VLOOKUP(R43,R6:AB35,9,0),0),VLOOKUP(R43,R6:AB35,9,0),"")</f>
        <v/>
      </c>
      <c r="AA43" s="541"/>
      <c r="AB43" s="321"/>
    </row>
    <row r="44" spans="1:28" ht="17.25" thickBot="1">
      <c r="A44" s="414" t="s">
        <v>649</v>
      </c>
      <c r="B44" s="627">
        <v>2</v>
      </c>
      <c r="C44" s="702">
        <v>1</v>
      </c>
      <c r="D44" s="703"/>
      <c r="E44" s="704"/>
      <c r="H44" s="628">
        <v>1</v>
      </c>
      <c r="O44" s="414">
        <v>44</v>
      </c>
      <c r="P44" s="473"/>
      <c r="Q44" s="474" t="str">
        <f ca="1">IFERROR(OFFSET(P3,IF(VALUE(MID(R44,2,1))=1,3,IF(VALUE(MID(R44,2,1))=2,9,IF(VALUE(MID(R44,2,1))=3,15,IF(VALUE(MID(R44,2,1))=4,21,27)))),1),"")</f>
        <v/>
      </c>
      <c r="R44" s="475" t="str">
        <f t="shared" ref="R44:R47" si="11">IF(P44="","","C"&amp;P44)</f>
        <v/>
      </c>
      <c r="S44" s="539" t="str">
        <f>IF(IFERROR(VLOOKUP(R44,R6:Y34,2,0),0),VLOOKUP(R44,R6:Y34,2,0),"")</f>
        <v/>
      </c>
      <c r="T44" s="539" t="str">
        <f>IF(IFERROR(VLOOKUP(R44,R6:Y34,3,0),0),VLOOKUP(R44,R6:Y34,3,0),"")</f>
        <v/>
      </c>
      <c r="U44" s="539" t="str">
        <f>IF(IFERROR(VLOOKUP(R44,R6:Y34,4,0),0),VLOOKUP(R44,R6:Y34,4,0),"")</f>
        <v/>
      </c>
      <c r="V44" s="539" t="str">
        <f>IF(IFERROR(VLOOKUP(R44,R6:Y34,5,0),0),VLOOKUP(R44,R6:Y34,5,0),"")</f>
        <v/>
      </c>
      <c r="W44" s="540" t="str">
        <f>IF(IFERROR(VLOOKUP(R44,R6:Y34,6,0),0),VLOOKUP(R44,R6:Y34,6,0),"")</f>
        <v/>
      </c>
      <c r="X44" s="540" t="str">
        <f>IF(IFERROR(VLOOKUP(R44,R6:Y34,7,0),0),VLOOKUP(R44,R6:Y34,7,0),"")</f>
        <v/>
      </c>
      <c r="Y44" s="541" t="str">
        <f>IF(IFERROR(VLOOKUP(R44,R6:Y34,8,0),0),VLOOKUP(R44,R6:Y34,8,0),"")</f>
        <v/>
      </c>
      <c r="Z44" s="542" t="str">
        <f>IF(IFERROR(VLOOKUP(R44,R6:AB35,9,0),0),VLOOKUP(R44,R6:AB35,9,0),"")</f>
        <v/>
      </c>
      <c r="AA44" s="541"/>
      <c r="AB44" s="321"/>
    </row>
    <row r="45" spans="1:28">
      <c r="B45" s="555"/>
      <c r="C45" s="555"/>
      <c r="D45" s="555"/>
      <c r="E45" s="555"/>
      <c r="F45" s="555"/>
      <c r="G45" s="619"/>
      <c r="H45" s="555"/>
      <c r="O45" s="414">
        <v>45</v>
      </c>
      <c r="P45" s="478"/>
      <c r="Q45" s="474" t="str">
        <f ca="1">IFERROR(OFFSET(P3,IF(VALUE(MID(R45,2,1))=1,3,IF(VALUE(MID(R45,2,1))=2,9,IF(VALUE(MID(R45,2,1))=3,15,IF(VALUE(MID(R45,2,1))=4,21,27)))),1),"")</f>
        <v/>
      </c>
      <c r="R45" s="475" t="str">
        <f t="shared" si="11"/>
        <v/>
      </c>
      <c r="S45" s="539" t="str">
        <f>IF(IFERROR(VLOOKUP(R45,R6:Y34,2,0),0),VLOOKUP(R45,R6:Y34,2,0),"")</f>
        <v/>
      </c>
      <c r="T45" s="539" t="str">
        <f>IF(IFERROR(VLOOKUP(R45,R6:Y34,3,0),0),VLOOKUP(R45,R6:Y34,3,0),"")</f>
        <v/>
      </c>
      <c r="U45" s="539" t="str">
        <f>IF(IFERROR(VLOOKUP(R45,R6:Y34,4,0),0),VLOOKUP(R45,R6:Y34,4,0),"")</f>
        <v/>
      </c>
      <c r="V45" s="539" t="str">
        <f>IF(IFERROR(VLOOKUP(R45,R6:Y34,5,0),0),VLOOKUP(R45,R6:Y34,5,0),"")</f>
        <v/>
      </c>
      <c r="W45" s="540" t="str">
        <f>IF(IFERROR(VLOOKUP(R45,R6:Y34,6,0),0),VLOOKUP(R45,R6:Y34,6,0),"")</f>
        <v/>
      </c>
      <c r="X45" s="540" t="str">
        <f>IF(IFERROR(VLOOKUP(R45,R6:Y34,7,0),0),VLOOKUP(R45,R6:Y34,7,0),"")</f>
        <v/>
      </c>
      <c r="Y45" s="541" t="str">
        <f>IF(IFERROR(VLOOKUP(R45,R6:Y34,8,0),0),VLOOKUP(R45,R6:Y34,8,0),"")</f>
        <v/>
      </c>
      <c r="Z45" s="542" t="str">
        <f>IF(IFERROR(VLOOKUP(R45,R6:AB35,9,0),0),VLOOKUP(R45,R6:AB35,9,0),"")</f>
        <v/>
      </c>
      <c r="AA45" s="541"/>
      <c r="AB45" s="321"/>
    </row>
    <row r="46" spans="1:28">
      <c r="O46" s="414">
        <v>46</v>
      </c>
      <c r="P46" s="478"/>
      <c r="Q46" s="474" t="str">
        <f ca="1">IFERROR(OFFSET(P3,IF(VALUE(MID(R46,2,1))=1,3,IF(VALUE(MID(R46,2,1))=2,9,IF(VALUE(MID(R46,2,1))=3,15,IF(VALUE(MID(R46,2,1))=4,21,27)))),1),"")</f>
        <v/>
      </c>
      <c r="R46" s="475" t="str">
        <f t="shared" si="11"/>
        <v/>
      </c>
      <c r="S46" s="539" t="str">
        <f>IF(IFERROR(VLOOKUP(R46,R6:Y34,2,0),0),VLOOKUP(R46,R6:Y34,2,0),"")</f>
        <v/>
      </c>
      <c r="T46" s="539" t="str">
        <f>IF(IFERROR(VLOOKUP(R46,R6:Y34,3,0),0),VLOOKUP(R46,R6:Y34,3,0),"")</f>
        <v/>
      </c>
      <c r="U46" s="539" t="str">
        <f>IF(IFERROR(VLOOKUP(R46,R6:Y34,4,0),0),VLOOKUP(R46,R6:Y34,4,0),"")</f>
        <v/>
      </c>
      <c r="V46" s="539" t="str">
        <f>IF(IFERROR(VLOOKUP(R46,R6:Y34,5,0),0),VLOOKUP(R46,R6:Y34,5,0),"")</f>
        <v/>
      </c>
      <c r="W46" s="540" t="str">
        <f>IF(IFERROR(VLOOKUP(R46,R6:Y34,6,0),0),VLOOKUP(R46,R6:Y34,6,0),"")</f>
        <v/>
      </c>
      <c r="X46" s="540" t="str">
        <f>IF(IFERROR(VLOOKUP(R46,R6:Y34,7,0),0),VLOOKUP(R46,R6:Y34,7,0),"")</f>
        <v/>
      </c>
      <c r="Y46" s="541" t="str">
        <f>IF(IFERROR(VLOOKUP(R46,R6:Y34,8,0),0),VLOOKUP(R46,R6:Y34,8,0),"")</f>
        <v/>
      </c>
      <c r="Z46" s="542" t="str">
        <f>IF(IFERROR(VLOOKUP(R46,R6:AB35,9,0),0),VLOOKUP(R46,R6:AB35,9,0),"")</f>
        <v/>
      </c>
      <c r="AA46" s="541"/>
      <c r="AB46" s="321"/>
    </row>
    <row r="47" spans="1:28" ht="17.25" thickBot="1">
      <c r="B47" s="551" t="s">
        <v>650</v>
      </c>
      <c r="C47" s="551" t="s">
        <v>651</v>
      </c>
      <c r="D47" s="551" t="s">
        <v>652</v>
      </c>
      <c r="E47" s="551" t="s">
        <v>653</v>
      </c>
      <c r="F47" s="551" t="s">
        <v>654</v>
      </c>
      <c r="G47" s="570" t="s">
        <v>655</v>
      </c>
      <c r="H47" s="571" t="s">
        <v>656</v>
      </c>
      <c r="I47" s="551" t="s">
        <v>657</v>
      </c>
      <c r="O47" s="414">
        <v>47</v>
      </c>
      <c r="P47" s="479"/>
      <c r="Q47" s="474" t="str">
        <f ca="1">IFERROR(OFFSET(P3,IF(VALUE(MID(R47,2,1))=1,3,IF(VALUE(MID(R47,2,1))=2,9,IF(VALUE(MID(R47,2,1))=3,15,IF(VALUE(MID(R47,2,1))=4,21,27)))),1),"")</f>
        <v/>
      </c>
      <c r="R47" s="543" t="str">
        <f t="shared" si="11"/>
        <v/>
      </c>
      <c r="S47" s="544" t="str">
        <f>IF(IFERROR(VLOOKUP(R47,R6:Y34,2,0),0),VLOOKUP(R47,R6:Y34,2,0),"")</f>
        <v/>
      </c>
      <c r="T47" s="544" t="str">
        <f>IF(IFERROR(VLOOKUP(R47,R6:Y34,3,0),0),VLOOKUP(R47,R6:Y34,3,0),"")</f>
        <v/>
      </c>
      <c r="U47" s="544" t="str">
        <f>IF(IFERROR(VLOOKUP(R47,R6:Y34,4,0),0),VLOOKUP(R47,R6:Y34,4,0),"")</f>
        <v/>
      </c>
      <c r="V47" s="544" t="str">
        <f>IF(IFERROR(VLOOKUP(R47,R6:Y34,5,0),0),VLOOKUP(R47,R6:Y34,5,0),"")</f>
        <v/>
      </c>
      <c r="W47" s="545" t="str">
        <f>IF(IFERROR(VLOOKUP(R47,R6:Y34,6,0),0),VLOOKUP(R47,R6:Y34,6,0),"")</f>
        <v/>
      </c>
      <c r="X47" s="545" t="str">
        <f>IF(IFERROR(VLOOKUP(R47,R6:Y34,7,0),0),VLOOKUP(R47,R6:Y34,7,0),"")</f>
        <v/>
      </c>
      <c r="Y47" s="546" t="str">
        <f>IF(IFERROR(VLOOKUP(R47,R6:Y34,8,0),0),VLOOKUP(R47,R6:Y34,8,0),"")</f>
        <v/>
      </c>
      <c r="Z47" s="547" t="str">
        <f>IF(IFERROR(VLOOKUP(R47,R6:AB35,9,0),0),VLOOKUP(R47,R6:AB35,9,0),"")</f>
        <v/>
      </c>
      <c r="AA47" s="546"/>
      <c r="AB47" s="618"/>
    </row>
    <row r="48" spans="1:28">
      <c r="B48" s="551" t="s">
        <v>658</v>
      </c>
      <c r="C48" s="551" t="s">
        <v>659</v>
      </c>
      <c r="D48" s="551" t="s">
        <v>660</v>
      </c>
      <c r="G48" s="576">
        <v>2</v>
      </c>
      <c r="H48" s="577" t="s">
        <v>661</v>
      </c>
      <c r="I48" s="553" t="s">
        <v>662</v>
      </c>
      <c r="O48" s="414">
        <v>48</v>
      </c>
      <c r="P48" s="480"/>
      <c r="Q48" s="448"/>
      <c r="R48" s="467" t="s">
        <v>644</v>
      </c>
      <c r="S48" s="468" t="s">
        <v>2</v>
      </c>
      <c r="T48" s="481" t="s">
        <v>3</v>
      </c>
      <c r="U48" s="481" t="s">
        <v>663</v>
      </c>
      <c r="V48" s="481" t="s">
        <v>16</v>
      </c>
      <c r="W48" s="469" t="s">
        <v>6</v>
      </c>
      <c r="X48" s="470" t="s">
        <v>7</v>
      </c>
      <c r="Y48" s="482" t="s">
        <v>645</v>
      </c>
      <c r="Z48" s="483" t="str">
        <f>Z42</f>
        <v>Max파장(nm)</v>
      </c>
      <c r="AA48" s="550" t="str">
        <f>AA42</f>
        <v>LifeTime</v>
      </c>
      <c r="AB48" s="448"/>
    </row>
    <row r="49" spans="2:28">
      <c r="B49" s="551" t="s">
        <v>664</v>
      </c>
      <c r="C49" s="551" t="s">
        <v>665</v>
      </c>
      <c r="D49" s="551" t="s">
        <v>666</v>
      </c>
      <c r="G49" s="576">
        <v>2</v>
      </c>
      <c r="H49" s="577" t="s">
        <v>667</v>
      </c>
      <c r="I49" s="553" t="s">
        <v>668</v>
      </c>
      <c r="O49" s="414">
        <v>49</v>
      </c>
      <c r="P49" s="484"/>
      <c r="Q49" s="438"/>
      <c r="R49" s="485" t="str">
        <f t="array" ref="R49:R53">R43:R47</f>
        <v/>
      </c>
      <c r="S49" s="539" t="str">
        <f t="array" ref="S49:V49">IF(S43:V43="","",S43:V43/S43:V43)</f>
        <v/>
      </c>
      <c r="T49" s="539" t="str">
        <v/>
      </c>
      <c r="U49" s="539" t="str">
        <v/>
      </c>
      <c r="V49" s="539" t="str">
        <v/>
      </c>
      <c r="W49" s="540" t="str">
        <f t="array" ref="W49:X49">IF(W43:X43="","",ABS(W43:X43-W43:X43))</f>
        <v/>
      </c>
      <c r="X49" s="540" t="str">
        <v/>
      </c>
      <c r="Y49" s="539" t="str">
        <f>IF(Y43="","",Y43/Y43)</f>
        <v/>
      </c>
      <c r="Z49" s="548" t="str">
        <f>IF(Z43="","",Z43-Z43)</f>
        <v/>
      </c>
      <c r="AA49" s="541" t="str">
        <f>IF(AA43="","",AA43/AA43)</f>
        <v/>
      </c>
      <c r="AB49" s="438"/>
    </row>
    <row r="50" spans="2:28">
      <c r="B50" s="551" t="s">
        <v>669</v>
      </c>
      <c r="C50" s="551" t="s">
        <v>670</v>
      </c>
      <c r="D50" s="551" t="s">
        <v>671</v>
      </c>
      <c r="G50" s="576">
        <v>2</v>
      </c>
      <c r="H50" s="577" t="s">
        <v>672</v>
      </c>
      <c r="I50" s="553" t="s">
        <v>673</v>
      </c>
      <c r="O50" s="414">
        <v>50</v>
      </c>
      <c r="P50" s="484"/>
      <c r="Q50" s="438"/>
      <c r="R50" s="485" t="str">
        <v/>
      </c>
      <c r="S50" s="539" t="str">
        <f t="array" ref="S50:V50">IF(S44:V44="","",S44:V44/S43:V43)</f>
        <v/>
      </c>
      <c r="T50" s="539" t="str">
        <v/>
      </c>
      <c r="U50" s="539" t="str">
        <v/>
      </c>
      <c r="V50" s="539" t="str">
        <v/>
      </c>
      <c r="W50" s="540" t="str">
        <f t="array" ref="W50:X50">IF(W44:X44="","",ABS(W44:X44-W43:X43))</f>
        <v/>
      </c>
      <c r="X50" s="540" t="str">
        <v/>
      </c>
      <c r="Y50" s="539" t="str">
        <f>IF(Y44="","",Y44/Y43)</f>
        <v/>
      </c>
      <c r="Z50" s="548" t="str">
        <f>IF(Z44="","",Z44-Z43)</f>
        <v/>
      </c>
      <c r="AA50" s="541" t="str">
        <f>IF(AA44="","",AA44/AA43)</f>
        <v/>
      </c>
      <c r="AB50" s="438"/>
    </row>
    <row r="51" spans="2:28">
      <c r="B51" s="551" t="s">
        <v>674</v>
      </c>
      <c r="C51" s="551" t="s">
        <v>675</v>
      </c>
      <c r="D51" s="551" t="s">
        <v>676</v>
      </c>
      <c r="G51" s="576">
        <v>2</v>
      </c>
      <c r="H51" s="577" t="s">
        <v>677</v>
      </c>
      <c r="I51" s="553" t="s">
        <v>678</v>
      </c>
      <c r="O51" s="414">
        <v>51</v>
      </c>
      <c r="P51" s="484"/>
      <c r="Q51" s="438"/>
      <c r="R51" s="485" t="str">
        <v/>
      </c>
      <c r="S51" s="539" t="str">
        <f t="array" ref="S51:V51">IF(S45:V45="","",S45:V45/S43:V43)</f>
        <v/>
      </c>
      <c r="T51" s="539" t="str">
        <v/>
      </c>
      <c r="U51" s="539" t="str">
        <v/>
      </c>
      <c r="V51" s="539" t="str">
        <v/>
      </c>
      <c r="W51" s="540" t="str">
        <f t="array" ref="W51:X51">IF(W45:X45="","",ABS(W45:X45-W43:X43))</f>
        <v/>
      </c>
      <c r="X51" s="540" t="str">
        <v/>
      </c>
      <c r="Y51" s="539" t="str">
        <f>IF(Y45="","",Y45/Y43)</f>
        <v/>
      </c>
      <c r="Z51" s="548" t="str">
        <f>IF(Z45="","",Z45-Z43)</f>
        <v/>
      </c>
      <c r="AA51" s="541" t="str">
        <f>IF(AA45="","",AA45/AA43)</f>
        <v/>
      </c>
      <c r="AB51" s="438"/>
    </row>
    <row r="52" spans="2:28">
      <c r="B52" s="551" t="s">
        <v>679</v>
      </c>
      <c r="C52" s="592" t="s">
        <v>680</v>
      </c>
      <c r="D52" s="593" t="s">
        <v>681</v>
      </c>
      <c r="E52" s="577"/>
      <c r="F52" s="577"/>
      <c r="G52" s="576">
        <v>2</v>
      </c>
      <c r="H52" s="577" t="s">
        <v>682</v>
      </c>
      <c r="I52" s="553" t="s">
        <v>683</v>
      </c>
      <c r="O52" s="414">
        <v>52</v>
      </c>
      <c r="P52" s="484"/>
      <c r="Q52" s="438"/>
      <c r="R52" s="485" t="str">
        <v/>
      </c>
      <c r="S52" s="539" t="str">
        <f t="array" ref="S52:V52">IF(S46:V46="","",S46:V46/S43:V43)</f>
        <v/>
      </c>
      <c r="T52" s="539" t="str">
        <v/>
      </c>
      <c r="U52" s="539" t="str">
        <v/>
      </c>
      <c r="V52" s="539" t="str">
        <v/>
      </c>
      <c r="W52" s="540" t="str">
        <f t="array" ref="W52:X52">IF(W46:X46="","",ABS(W46:X46-W43:X43))</f>
        <v/>
      </c>
      <c r="X52" s="540" t="str">
        <v/>
      </c>
      <c r="Y52" s="539" t="str">
        <f>IF(Y46="","",Y46/Y43)</f>
        <v/>
      </c>
      <c r="Z52" s="548" t="str">
        <f>IF(Z46="","",Z46-Z43)</f>
        <v/>
      </c>
      <c r="AA52" s="541" t="str">
        <f>IF(AA46="","",AA46/AA43)</f>
        <v/>
      </c>
      <c r="AB52" s="438"/>
    </row>
    <row r="53" spans="2:28" ht="17.25" thickBot="1">
      <c r="B53" s="591" t="s">
        <v>684</v>
      </c>
      <c r="C53" s="592" t="s">
        <v>685</v>
      </c>
      <c r="D53" s="593" t="s">
        <v>686</v>
      </c>
      <c r="E53" s="601"/>
      <c r="F53" s="601"/>
      <c r="G53" s="576">
        <v>2</v>
      </c>
      <c r="H53" s="577" t="s">
        <v>682</v>
      </c>
      <c r="I53" s="553" t="s">
        <v>687</v>
      </c>
      <c r="O53" s="414">
        <v>53</v>
      </c>
      <c r="P53" s="487" t="s">
        <v>688</v>
      </c>
      <c r="Q53" s="629"/>
      <c r="R53" s="486" t="str">
        <v/>
      </c>
      <c r="S53" s="544" t="str">
        <f t="array" ref="S53:V53">IF(S47:V47="","",S47:V47/S43:V43)</f>
        <v/>
      </c>
      <c r="T53" s="544" t="str">
        <v/>
      </c>
      <c r="U53" s="544" t="str">
        <v/>
      </c>
      <c r="V53" s="544" t="str">
        <v/>
      </c>
      <c r="W53" s="545" t="str">
        <f t="array" ref="W53:X53">IF(W47:X47="","",ABS(W47:X47-W43:X43))</f>
        <v/>
      </c>
      <c r="X53" s="545" t="str">
        <v/>
      </c>
      <c r="Y53" s="544" t="str">
        <f>IF(Y47="","",Y47/Y43)</f>
        <v/>
      </c>
      <c r="Z53" s="549" t="str">
        <f>IF(Z47="","",Z47-Z43)</f>
        <v/>
      </c>
      <c r="AA53" s="546" t="str">
        <f>IF(AA47="","",AA47/AA43)</f>
        <v/>
      </c>
      <c r="AB53" s="629"/>
    </row>
    <row r="54" spans="2:28">
      <c r="B54" s="591" t="s">
        <v>689</v>
      </c>
      <c r="C54" s="551" t="s">
        <v>690</v>
      </c>
      <c r="D54" s="551" t="s">
        <v>691</v>
      </c>
      <c r="E54" s="551" t="s">
        <v>692</v>
      </c>
      <c r="G54" s="552">
        <v>2</v>
      </c>
      <c r="H54" s="551" t="s">
        <v>693</v>
      </c>
      <c r="I54" s="553" t="s">
        <v>694</v>
      </c>
    </row>
    <row r="55" spans="2:28">
      <c r="B55" s="551" t="s">
        <v>695</v>
      </c>
      <c r="C55" s="551" t="s">
        <v>696</v>
      </c>
      <c r="D55" s="551" t="s">
        <v>681</v>
      </c>
      <c r="E55" s="551" t="s">
        <v>697</v>
      </c>
      <c r="G55" s="552">
        <v>2</v>
      </c>
      <c r="H55" s="551" t="s">
        <v>661</v>
      </c>
      <c r="I55" s="553" t="s">
        <v>698</v>
      </c>
    </row>
    <row r="56" spans="2:28">
      <c r="B56" s="551" t="s">
        <v>699</v>
      </c>
      <c r="C56" s="551" t="s">
        <v>700</v>
      </c>
      <c r="D56" s="551" t="s">
        <v>701</v>
      </c>
      <c r="G56" s="552">
        <v>2</v>
      </c>
      <c r="H56" s="551" t="s">
        <v>702</v>
      </c>
      <c r="I56" s="553" t="s">
        <v>703</v>
      </c>
    </row>
    <row r="57" spans="2:28">
      <c r="B57" s="551" t="s">
        <v>704</v>
      </c>
      <c r="C57" s="551" t="s">
        <v>705</v>
      </c>
      <c r="D57" s="551" t="s">
        <v>706</v>
      </c>
      <c r="G57" s="552">
        <v>2</v>
      </c>
      <c r="H57" s="551" t="s">
        <v>707</v>
      </c>
      <c r="I57" s="553" t="s">
        <v>703</v>
      </c>
    </row>
    <row r="58" spans="2:28">
      <c r="B58" s="551" t="s">
        <v>708</v>
      </c>
      <c r="C58" s="551" t="s">
        <v>709</v>
      </c>
      <c r="D58" s="551" t="s">
        <v>710</v>
      </c>
      <c r="E58" s="551" t="s">
        <v>697</v>
      </c>
      <c r="G58" s="552">
        <v>2</v>
      </c>
      <c r="H58" s="551" t="s">
        <v>682</v>
      </c>
      <c r="I58" s="553" t="s">
        <v>711</v>
      </c>
    </row>
    <row r="59" spans="2:28">
      <c r="B59" s="551" t="s">
        <v>712</v>
      </c>
      <c r="C59" s="551" t="s">
        <v>713</v>
      </c>
      <c r="D59" s="551" t="s">
        <v>681</v>
      </c>
      <c r="E59" s="551" t="s">
        <v>697</v>
      </c>
      <c r="G59" s="552">
        <v>2</v>
      </c>
      <c r="H59" s="551" t="s">
        <v>714</v>
      </c>
      <c r="I59" s="553" t="s">
        <v>715</v>
      </c>
    </row>
    <row r="60" spans="2:28">
      <c r="B60" s="551" t="s">
        <v>716</v>
      </c>
      <c r="C60" s="551" t="s">
        <v>717</v>
      </c>
      <c r="D60" s="551" t="s">
        <v>671</v>
      </c>
      <c r="E60" s="551" t="s">
        <v>697</v>
      </c>
      <c r="G60" s="552">
        <v>2</v>
      </c>
      <c r="H60" s="551" t="s">
        <v>714</v>
      </c>
      <c r="I60" s="553" t="s">
        <v>711</v>
      </c>
    </row>
    <row r="61" spans="2:28">
      <c r="B61" s="551" t="s">
        <v>718</v>
      </c>
      <c r="C61" s="551" t="s">
        <v>719</v>
      </c>
      <c r="D61" s="551" t="s">
        <v>681</v>
      </c>
      <c r="G61" s="552">
        <v>2</v>
      </c>
      <c r="H61" s="551" t="s">
        <v>720</v>
      </c>
      <c r="I61" s="553" t="s">
        <v>721</v>
      </c>
    </row>
    <row r="62" spans="2:28">
      <c r="B62" s="551" t="s">
        <v>722</v>
      </c>
      <c r="C62" s="551" t="s">
        <v>723</v>
      </c>
      <c r="D62" s="551" t="s">
        <v>724</v>
      </c>
      <c r="G62" s="552">
        <v>2</v>
      </c>
      <c r="H62" s="551" t="s">
        <v>707</v>
      </c>
      <c r="I62" s="553" t="s">
        <v>725</v>
      </c>
    </row>
    <row r="63" spans="2:28">
      <c r="B63" s="551" t="s">
        <v>726</v>
      </c>
      <c r="C63" s="551" t="s">
        <v>727</v>
      </c>
      <c r="D63" s="551" t="s">
        <v>728</v>
      </c>
      <c r="G63" s="552">
        <v>1</v>
      </c>
      <c r="H63" s="551" t="s">
        <v>693</v>
      </c>
      <c r="I63" s="553" t="s">
        <v>729</v>
      </c>
    </row>
    <row r="64" spans="2:28">
      <c r="B64" s="551" t="s">
        <v>730</v>
      </c>
      <c r="C64" s="551" t="s">
        <v>731</v>
      </c>
      <c r="D64" s="551" t="s">
        <v>732</v>
      </c>
      <c r="G64" s="552">
        <v>1</v>
      </c>
      <c r="H64" s="551" t="s">
        <v>734</v>
      </c>
      <c r="I64" s="553" t="s">
        <v>735</v>
      </c>
    </row>
    <row r="65" spans="2:9">
      <c r="B65" s="551" t="s">
        <v>736</v>
      </c>
      <c r="C65" s="551" t="s">
        <v>737</v>
      </c>
      <c r="D65" s="551" t="s">
        <v>738</v>
      </c>
      <c r="G65" s="552">
        <v>1</v>
      </c>
      <c r="H65" s="551" t="s">
        <v>672</v>
      </c>
      <c r="I65" s="553" t="s">
        <v>739</v>
      </c>
    </row>
    <row r="66" spans="2:9">
      <c r="B66" s="551" t="s">
        <v>740</v>
      </c>
      <c r="C66" s="551" t="s">
        <v>741</v>
      </c>
      <c r="D66" s="551" t="s">
        <v>691</v>
      </c>
      <c r="G66" s="552">
        <v>1</v>
      </c>
      <c r="H66" s="551" t="s">
        <v>693</v>
      </c>
      <c r="I66" s="553" t="s">
        <v>742</v>
      </c>
    </row>
    <row r="67" spans="2:9">
      <c r="B67" s="551" t="s">
        <v>743</v>
      </c>
      <c r="C67" s="551" t="s">
        <v>744</v>
      </c>
      <c r="D67" s="551" t="s">
        <v>745</v>
      </c>
      <c r="G67" s="552">
        <v>1</v>
      </c>
      <c r="H67" s="551" t="s">
        <v>702</v>
      </c>
      <c r="I67" s="553" t="s">
        <v>746</v>
      </c>
    </row>
    <row r="68" spans="2:9">
      <c r="B68" s="551" t="s">
        <v>747</v>
      </c>
      <c r="C68" s="551" t="s">
        <v>748</v>
      </c>
      <c r="D68" s="551" t="s">
        <v>749</v>
      </c>
      <c r="G68" s="552">
        <v>1</v>
      </c>
      <c r="H68" s="551" t="s">
        <v>702</v>
      </c>
      <c r="I68" s="553" t="s">
        <v>715</v>
      </c>
    </row>
    <row r="69" spans="2:9">
      <c r="B69" s="551" t="s">
        <v>750</v>
      </c>
      <c r="C69" s="551" t="s">
        <v>751</v>
      </c>
      <c r="D69" s="551" t="s">
        <v>752</v>
      </c>
      <c r="G69" s="552">
        <v>2</v>
      </c>
      <c r="H69" s="551" t="s">
        <v>753</v>
      </c>
      <c r="I69" s="553" t="s">
        <v>703</v>
      </c>
    </row>
    <row r="70" spans="2:9">
      <c r="B70" s="551" t="s">
        <v>754</v>
      </c>
      <c r="C70" s="551" t="s">
        <v>755</v>
      </c>
      <c r="D70" s="551" t="s">
        <v>671</v>
      </c>
      <c r="G70" s="552">
        <v>2</v>
      </c>
      <c r="H70" s="551" t="s">
        <v>677</v>
      </c>
      <c r="I70" s="553" t="s">
        <v>756</v>
      </c>
    </row>
    <row r="71" spans="2:9">
      <c r="B71" s="551" t="s">
        <v>757</v>
      </c>
      <c r="C71" s="551" t="s">
        <v>758</v>
      </c>
      <c r="D71" s="551" t="s">
        <v>681</v>
      </c>
      <c r="G71" s="552">
        <v>1</v>
      </c>
      <c r="H71" s="551" t="s">
        <v>759</v>
      </c>
      <c r="I71" s="553" t="s">
        <v>760</v>
      </c>
    </row>
    <row r="72" spans="2:9">
      <c r="B72" s="551" t="s">
        <v>761</v>
      </c>
      <c r="C72" s="551" t="s">
        <v>762</v>
      </c>
      <c r="D72" s="551" t="s">
        <v>706</v>
      </c>
      <c r="E72" s="551" t="s">
        <v>733</v>
      </c>
      <c r="G72" s="552">
        <v>2</v>
      </c>
      <c r="H72" s="551" t="s">
        <v>661</v>
      </c>
      <c r="I72" s="553" t="s">
        <v>711</v>
      </c>
    </row>
    <row r="73" spans="2:9">
      <c r="B73" s="551" t="s">
        <v>763</v>
      </c>
      <c r="C73" s="551" t="s">
        <v>764</v>
      </c>
      <c r="D73" s="551" t="s">
        <v>765</v>
      </c>
      <c r="G73" s="552">
        <v>1</v>
      </c>
      <c r="H73" s="551" t="s">
        <v>702</v>
      </c>
      <c r="I73" s="553" t="s">
        <v>703</v>
      </c>
    </row>
    <row r="74" spans="2:9">
      <c r="B74" s="551" t="s">
        <v>766</v>
      </c>
      <c r="C74" s="551" t="s">
        <v>767</v>
      </c>
      <c r="D74" s="551" t="s">
        <v>738</v>
      </c>
      <c r="G74" s="552">
        <v>1</v>
      </c>
      <c r="H74" s="551" t="s">
        <v>682</v>
      </c>
      <c r="I74" s="553" t="s">
        <v>742</v>
      </c>
    </row>
    <row r="75" spans="2:9">
      <c r="B75" s="551" t="s">
        <v>768</v>
      </c>
      <c r="C75" s="551" t="s">
        <v>769</v>
      </c>
      <c r="D75" s="551" t="s">
        <v>749</v>
      </c>
      <c r="G75" s="552">
        <v>1</v>
      </c>
      <c r="H75" s="551" t="s">
        <v>702</v>
      </c>
      <c r="I75" s="553" t="s">
        <v>770</v>
      </c>
    </row>
    <row r="76" spans="2:9">
      <c r="B76" s="551" t="s">
        <v>771</v>
      </c>
      <c r="C76" s="551" t="s">
        <v>772</v>
      </c>
      <c r="D76" s="551" t="s">
        <v>691</v>
      </c>
      <c r="G76" s="552">
        <v>1</v>
      </c>
      <c r="H76" s="551" t="s">
        <v>753</v>
      </c>
      <c r="I76" s="553" t="s">
        <v>773</v>
      </c>
    </row>
    <row r="77" spans="2:9">
      <c r="B77" s="551" t="s">
        <v>774</v>
      </c>
      <c r="C77" s="551" t="s">
        <v>775</v>
      </c>
      <c r="D77" s="551" t="s">
        <v>776</v>
      </c>
      <c r="G77" s="552">
        <v>1</v>
      </c>
      <c r="H77" s="551" t="s">
        <v>702</v>
      </c>
      <c r="I77" s="553" t="s">
        <v>746</v>
      </c>
    </row>
    <row r="97" spans="29:29">
      <c r="AC97">
        <v>1</v>
      </c>
    </row>
    <row r="98" spans="29:29">
      <c r="AC98">
        <v>2</v>
      </c>
    </row>
    <row r="99" spans="29:29">
      <c r="AC99">
        <v>3</v>
      </c>
    </row>
    <row r="100" spans="29:29">
      <c r="AC100">
        <v>4</v>
      </c>
    </row>
    <row r="101" spans="29:29">
      <c r="AC101">
        <v>5</v>
      </c>
    </row>
    <row r="102" spans="29:29">
      <c r="AC102">
        <v>6</v>
      </c>
    </row>
    <row r="103" spans="29:29">
      <c r="AC103">
        <v>7</v>
      </c>
    </row>
    <row r="104" spans="29:29">
      <c r="AC104">
        <v>8</v>
      </c>
    </row>
    <row r="105" spans="29:29">
      <c r="AC105">
        <v>9</v>
      </c>
    </row>
    <row r="106" spans="29:29">
      <c r="AC106">
        <v>10</v>
      </c>
    </row>
    <row r="107" spans="29:29">
      <c r="AC107">
        <v>11</v>
      </c>
    </row>
    <row r="108" spans="29:29">
      <c r="AC108">
        <v>12</v>
      </c>
    </row>
    <row r="109" spans="29:29">
      <c r="AC109">
        <v>13</v>
      </c>
    </row>
    <row r="110" spans="29:29">
      <c r="AC110">
        <v>14</v>
      </c>
    </row>
    <row r="125" spans="25:25">
      <c r="Y125" s="490"/>
    </row>
  </sheetData>
  <mergeCells count="2">
    <mergeCell ref="P2:AB2"/>
    <mergeCell ref="C44:E44"/>
  </mergeCells>
  <phoneticPr fontId="19" type="noConversion"/>
  <conditionalFormatting sqref="C11:M41 I6:M10">
    <cfRule type="expression" dxfId="11" priority="11">
      <formula>OR($M6="o",$M6="O")</formula>
    </cfRule>
  </conditionalFormatting>
  <conditionalFormatting sqref="R42:S42">
    <cfRule type="expression" dxfId="10" priority="10">
      <formula>OR($M41="o",$M41="O")</formula>
    </cfRule>
  </conditionalFormatting>
  <conditionalFormatting sqref="Q6:AA41">
    <cfRule type="expression" dxfId="9" priority="9">
      <formula>OR($M6="o",$M6="O")</formula>
    </cfRule>
  </conditionalFormatting>
  <conditionalFormatting sqref="R48">
    <cfRule type="expression" dxfId="8" priority="12">
      <formula>OR(#REF!="o",#REF!="O")</formula>
    </cfRule>
  </conditionalFormatting>
  <conditionalFormatting sqref="B43">
    <cfRule type="expression" dxfId="7" priority="6">
      <formula>OR($M42="o",$M42="O")</formula>
    </cfRule>
  </conditionalFormatting>
  <conditionalFormatting sqref="S49:V53 Y49:Y53">
    <cfRule type="expression" dxfId="6" priority="7">
      <formula>S49&lt;0.95</formula>
    </cfRule>
    <cfRule type="expression" dxfId="5" priority="8">
      <formula>S49&gt;1.05</formula>
    </cfRule>
  </conditionalFormatting>
  <conditionalFormatting sqref="AA49:AA53">
    <cfRule type="expression" dxfId="4" priority="4">
      <formula>AA49&gt;1.1</formula>
    </cfRule>
    <cfRule type="expression" dxfId="3" priority="5">
      <formula>AA49&lt;0.9</formula>
    </cfRule>
  </conditionalFormatting>
  <conditionalFormatting sqref="C6:H10">
    <cfRule type="expression" dxfId="2" priority="3">
      <formula>OR($M6="o",$M6="O")</formula>
    </cfRule>
  </conditionalFormatting>
  <conditionalFormatting sqref="C53:H53">
    <cfRule type="expression" dxfId="1" priority="2">
      <formula>OR($M53="o",$M53="O")</formula>
    </cfRule>
  </conditionalFormatting>
  <conditionalFormatting sqref="C48:H52">
    <cfRule type="expression" dxfId="0" priority="1">
      <formula>OR($M48="o",$M48="O")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ource">
                <anchor moveWithCells="1" sizeWithCells="1">
                  <from>
                    <xdr:col>1</xdr:col>
                    <xdr:colOff>19050</xdr:colOff>
                    <xdr:row>0</xdr:row>
                    <xdr:rowOff>152400</xdr:rowOff>
                  </from>
                  <to>
                    <xdr:col>1</xdr:col>
                    <xdr:colOff>895350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arget">
                <anchor moveWithCells="1" sizeWithCells="1">
                  <from>
                    <xdr:col>1</xdr:col>
                    <xdr:colOff>9525</xdr:colOff>
                    <xdr:row>2</xdr:row>
                    <xdr:rowOff>0</xdr:rowOff>
                  </from>
                  <to>
                    <xdr:col>1</xdr:col>
                    <xdr:colOff>885825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arget_OLED">
                <anchor moveWithCells="1" sizeWithCells="1">
                  <from>
                    <xdr:col>1</xdr:col>
                    <xdr:colOff>9525</xdr:colOff>
                    <xdr:row>3</xdr:row>
                    <xdr:rowOff>19050</xdr:rowOff>
                  </from>
                  <to>
                    <xdr:col>1</xdr:col>
                    <xdr:colOff>885825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종합</vt:lpstr>
      <vt:lpstr>101소자평가Data</vt:lpstr>
      <vt:lpstr>101소자평가Data (2)</vt:lpstr>
      <vt:lpstr>Raw Data(101)</vt:lpstr>
      <vt:lpstr>Raw Data(102)</vt:lpstr>
      <vt:lpstr>진단정리</vt:lpstr>
      <vt:lpstr>SPC 관리</vt:lpstr>
      <vt:lpstr>Setting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남효정</dc:creator>
  <cp:lastModifiedBy>LG</cp:lastModifiedBy>
  <dcterms:created xsi:type="dcterms:W3CDTF">2016-02-17T07:44:03Z</dcterms:created>
  <dcterms:modified xsi:type="dcterms:W3CDTF">2021-01-17T05:38:35Z</dcterms:modified>
</cp:coreProperties>
</file>