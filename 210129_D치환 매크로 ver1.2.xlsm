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31.58.50\공유폴더\08. 신규 증착기\기타\매크로 완성본(210129)\"/>
    </mc:Choice>
  </mc:AlternateContent>
  <bookViews>
    <workbookView xWindow="0" yWindow="0" windowWidth="28800" windowHeight="12285"/>
  </bookViews>
  <sheets>
    <sheet name="Load" sheetId="1" r:id="rId1"/>
  </sheets>
  <definedNames>
    <definedName name="ExternalData_1" localSheetId="0">Load!#REF!</definedName>
    <definedName name="ExternalData_10" localSheetId="0">Load!#REF!</definedName>
    <definedName name="ExternalData_11" localSheetId="0">Load!#REF!</definedName>
    <definedName name="ExternalData_12" localSheetId="0">Load!#REF!</definedName>
    <definedName name="ExternalData_13" localSheetId="0">Load!#REF!</definedName>
    <definedName name="ExternalData_14" localSheetId="0">Load!#REF!</definedName>
    <definedName name="ExternalData_15" localSheetId="0">Load!#REF!</definedName>
    <definedName name="ExternalData_16" localSheetId="0">Load!#REF!</definedName>
    <definedName name="ExternalData_17" localSheetId="0">Load!#REF!</definedName>
    <definedName name="ExternalData_18" localSheetId="0">Load!#REF!</definedName>
    <definedName name="ExternalData_19" localSheetId="0">Load!#REF!</definedName>
    <definedName name="ExternalData_2" localSheetId="0">Load!#REF!</definedName>
    <definedName name="ExternalData_20" localSheetId="0">Load!#REF!</definedName>
    <definedName name="ExternalData_21" localSheetId="0">Load!#REF!</definedName>
    <definedName name="ExternalData_22" localSheetId="0">Load!#REF!</definedName>
    <definedName name="ExternalData_23" localSheetId="0">Load!#REF!</definedName>
    <definedName name="ExternalData_24" localSheetId="0">Load!#REF!</definedName>
    <definedName name="ExternalData_25" localSheetId="0">Load!#REF!</definedName>
    <definedName name="ExternalData_26" localSheetId="0">Load!#REF!</definedName>
    <definedName name="ExternalData_27" localSheetId="0">Load!#REF!</definedName>
    <definedName name="ExternalData_28" localSheetId="0">Load!#REF!</definedName>
    <definedName name="ExternalData_29" localSheetId="0">Load!#REF!</definedName>
    <definedName name="ExternalData_3" localSheetId="0">Load!#REF!</definedName>
    <definedName name="ExternalData_30" localSheetId="0">Load!#REF!</definedName>
    <definedName name="ExternalData_31" localSheetId="0">Load!#REF!</definedName>
    <definedName name="ExternalData_32" localSheetId="0">Load!#REF!</definedName>
    <definedName name="ExternalData_33" localSheetId="0">Load!#REF!</definedName>
    <definedName name="ExternalData_34" localSheetId="0">Load!#REF!</definedName>
    <definedName name="ExternalData_35" localSheetId="0">Load!#REF!</definedName>
    <definedName name="ExternalData_36" localSheetId="0">Load!#REF!</definedName>
    <definedName name="ExternalData_37" localSheetId="0">Load!#REF!</definedName>
    <definedName name="ExternalData_38" localSheetId="0">Load!#REF!</definedName>
    <definedName name="ExternalData_4" localSheetId="0">Load!#REF!</definedName>
    <definedName name="ExternalData_5" localSheetId="0">Load!#REF!</definedName>
    <definedName name="ExternalData_6" localSheetId="0">Load!#REF!</definedName>
    <definedName name="ExternalData_7" localSheetId="0">Load!#REF!</definedName>
    <definedName name="ExternalData_8" localSheetId="0">Load!#REF!</definedName>
    <definedName name="ExternalData_9" localSheetId="0">Load!#REF!</definedName>
    <definedName name="LG_324_200407_265_280" localSheetId="0">Load!#REF!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J3" i="1" l="1" a="1"/>
  <c r="J3" i="1" s="1"/>
</calcChain>
</file>

<file path=xl/connections.xml><?xml version="1.0" encoding="utf-8"?>
<connections xmlns="http://schemas.openxmlformats.org/spreadsheetml/2006/main">
  <connection id="1" name="LG-324_200407_265_280" type="6" refreshedVersion="4" background="1" saveData="1">
    <textPr codePage="949" sourceFile="C:\Users\Admin\Desktop\증착기 관리\324 매크로\LG-324_200407\LG-324_200407_265_280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<sst xmlns="http://schemas.openxmlformats.org/spreadsheetml/2006/main" count="14" uniqueCount="14">
  <si>
    <t>구간설정</t>
    <phoneticPr fontId="1" type="noConversion"/>
  </si>
  <si>
    <t>End 분자량</t>
    <phoneticPr fontId="1" type="noConversion"/>
  </si>
  <si>
    <t>치환전 분자량</t>
    <phoneticPr fontId="1" type="noConversion"/>
  </si>
  <si>
    <t>전체 D치환 가능한 H수</t>
    <phoneticPr fontId="1" type="noConversion"/>
  </si>
  <si>
    <t>Setting</t>
    <phoneticPr fontId="1" type="noConversion"/>
  </si>
  <si>
    <t>Start 분자량</t>
    <phoneticPr fontId="1" type="noConversion"/>
  </si>
  <si>
    <t>파일명</t>
    <phoneticPr fontId="1" type="noConversion"/>
  </si>
  <si>
    <t>치환율</t>
    <phoneticPr fontId="1" type="noConversion"/>
  </si>
  <si>
    <t>Most Ab.</t>
    <phoneticPr fontId="1" type="noConversion"/>
  </si>
  <si>
    <t>Lot (비고)</t>
    <phoneticPr fontId="1" type="noConversion"/>
  </si>
  <si>
    <t>재료</t>
    <phoneticPr fontId="1" type="noConversion"/>
  </si>
  <si>
    <t>LG-324</t>
    <phoneticPr fontId="1" type="noConversion"/>
  </si>
  <si>
    <t>ver 1.2</t>
    <phoneticPr fontId="1" type="noConversion"/>
  </si>
  <si>
    <t>평균치환율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</si>
</sst>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7</xdr:row>
      <xdr:rowOff>95250</xdr:rowOff>
    </xdr:from>
    <xdr:to>
      <xdr:col>3</xdr:col>
      <xdr:colOff>9525</xdr:colOff>
      <xdr:row>8</xdr:row>
      <xdr:rowOff>190499</xdr:rowOff>
    </xdr:to>
    <xdr:sp macro="[0]!call_Peak_data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23925" y="1562100"/>
          <a:ext cx="2400300" cy="304799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파일 불러오기</a:t>
          </a:r>
        </a:p>
      </xdr:txBody>
    </xdr:sp>
    <xdr:clientData/>
  </xdr:twoCellAnchor>
  <xdr:twoCellAnchor>
    <xdr:from>
      <xdr:col>0</xdr:col>
      <xdr:colOff>923925</xdr:colOff>
      <xdr:row>10</xdr:row>
      <xdr:rowOff>28575</xdr:rowOff>
    </xdr:from>
    <xdr:to>
      <xdr:col>3</xdr:col>
      <xdr:colOff>9525</xdr:colOff>
      <xdr:row>11</xdr:row>
      <xdr:rowOff>123824</xdr:rowOff>
    </xdr:to>
    <xdr:sp macro="[0]!reset" textlink="">
      <xdr:nvSpPr>
        <xdr:cNvPr id="3" name="모서리가 둥근 직사각형 6">
          <a:extLst>
            <a:ext uri="{FF2B5EF4-FFF2-40B4-BE49-F238E27FC236}">
              <a16:creationId xmlns:a16="http://schemas.microsoft.com/office/drawing/2014/main" id="{08E346BD-BA55-45F5-A951-41D62AE49657}"/>
            </a:ext>
          </a:extLst>
        </xdr:cNvPr>
        <xdr:cNvSpPr/>
      </xdr:nvSpPr>
      <xdr:spPr>
        <a:xfrm>
          <a:off x="923925" y="2124075"/>
          <a:ext cx="2400300" cy="304799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전체 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6"/>
  <sheetViews>
    <sheetView showGridLines="0" tabSelected="1" workbookViewId="0">
      <selection activeCell="I8" sqref="I8"/>
    </sheetView>
  </sheetViews>
  <sheetFormatPr defaultColWidth="9" defaultRowHeight="16.5" x14ac:dyDescent="0.3"/>
  <cols>
    <col min="1" max="1" width="12.5" customWidth="1"/>
    <col min="2" max="2" width="21" customWidth="1"/>
    <col min="3" max="3" width="10" customWidth="1"/>
    <col min="4" max="4" width="12.125" customWidth="1"/>
    <col min="5" max="5" width="9" customWidth="1"/>
    <col min="6" max="6" width="12.25" style="4" customWidth="1"/>
    <col min="7" max="8" width="9" style="4" customWidth="1"/>
    <col min="9" max="9" width="11" style="4" customWidth="1"/>
    <col min="10" max="10" width="9" style="4" customWidth="1"/>
    <col min="11" max="11" width="15.625" style="10" customWidth="1"/>
    <col min="12" max="12" width="23.625" style="6" customWidth="1"/>
    <col min="13" max="13" width="9" style="13" customWidth="1"/>
    <col min="14" max="14" width="9" style="11" customWidth="1"/>
    <col min="15" max="16" width="9" customWidth="1"/>
  </cols>
  <sheetData>
    <row r="1" spans="1:16" x14ac:dyDescent="0.3">
      <c r="A1" s="2" t="s">
        <v>10</v>
      </c>
      <c r="B1" s="17" t="s">
        <v>4</v>
      </c>
      <c r="C1" s="18"/>
      <c r="G1" s="20"/>
      <c r="H1" s="20"/>
      <c r="I1" s="15" t="s">
        <v>13</v>
      </c>
      <c r="J1" s="20"/>
      <c r="K1" s="8" t="s">
        <v>9</v>
      </c>
      <c r="L1" s="7" t="s">
        <v>6</v>
      </c>
      <c r="M1" s="12" t="s">
        <v>7</v>
      </c>
      <c r="N1" s="9" t="s">
        <v>8</v>
      </c>
      <c r="P1" s="16" t="s">
        <v>12</v>
      </c>
    </row>
    <row r="2" spans="1:16" x14ac:dyDescent="0.3">
      <c r="A2" s="2" t="s">
        <v>11</v>
      </c>
      <c r="B2" s="2" t="s">
        <v>5</v>
      </c>
      <c r="C2" s="3">
        <v>443.1</v>
      </c>
      <c r="E2" s="1"/>
      <c r="G2" s="19"/>
      <c r="H2" s="19"/>
      <c r="I2" s="5" t="str">
        <f>IFERROR(AVERAGE(M2:M50),"")</f>
        <v/>
      </c>
      <c r="J2" s="19"/>
    </row>
    <row r="3" spans="1:16" x14ac:dyDescent="0.3">
      <c r="B3" s="2" t="s">
        <v>1</v>
      </c>
      <c r="C3" s="3">
        <v>454.1</v>
      </c>
      <c r="E3" s="1"/>
      <c r="G3" s="19"/>
      <c r="H3" s="19"/>
      <c r="I3" s="19"/>
      <c r="J3" s="19" t="str">
        <f t="array" ref="J3">IFERROR("M-"&amp;MODE(VALUE(RIGHT(N2,1))),"")</f>
        <v/>
      </c>
    </row>
    <row r="4" spans="1:16" x14ac:dyDescent="0.3">
      <c r="B4" s="2" t="s">
        <v>0</v>
      </c>
      <c r="C4" s="3">
        <v>1</v>
      </c>
      <c r="E4" s="1"/>
      <c r="G4" s="19"/>
      <c r="H4" s="19"/>
      <c r="I4" s="19"/>
      <c r="J4" s="19"/>
    </row>
    <row r="5" spans="1:16" x14ac:dyDescent="0.3">
      <c r="B5" s="2" t="s">
        <v>2</v>
      </c>
      <c r="C5" s="3">
        <v>431</v>
      </c>
      <c r="E5" s="1"/>
    </row>
    <row r="6" spans="1:16" x14ac:dyDescent="0.3">
      <c r="B6" s="2" t="s">
        <v>3</v>
      </c>
      <c r="C6" s="3">
        <v>22</v>
      </c>
      <c r="E6" s="1"/>
    </row>
    <row r="16" spans="1:16" x14ac:dyDescent="0.3">
      <c r="E16" s="14"/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LG</cp:lastModifiedBy>
  <dcterms:created xsi:type="dcterms:W3CDTF">2020-09-11T11:55:04Z</dcterms:created>
  <dcterms:modified xsi:type="dcterms:W3CDTF">2021-01-29T05:39:51Z</dcterms:modified>
</cp:coreProperties>
</file>